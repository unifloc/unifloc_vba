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rnt\unifloc_vba\examples\"/>
    </mc:Choice>
  </mc:AlternateContent>
  <xr:revisionPtr revIDLastSave="0" documentId="13_ncr:1_{F513C997-4C1B-4B42-A590-6BF666537937}" xr6:coauthVersionLast="45" xr6:coauthVersionMax="45" xr10:uidLastSave="{00000000-0000-0000-0000-000000000000}"/>
  <bookViews>
    <workbookView xWindow="-108" yWindow="-108" windowWidth="23256" windowHeight="14016" tabRatio="532" xr2:uid="{FF088AEC-2D6A-4BCA-937C-EA8B49A23D3A}"/>
  </bookViews>
  <sheets>
    <sheet name="z" sheetId="1" r:id="rId1"/>
  </sheets>
  <externalReferences>
    <externalReference r:id="rId2"/>
  </externalReferences>
  <definedNames>
    <definedName name="gg">z!$L$3</definedName>
    <definedName name="zcor">z!$L$4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58" i="1" l="1"/>
  <c r="E82" i="1" s="1"/>
  <c r="E105" i="1" s="1"/>
  <c r="D58" i="1"/>
  <c r="E57" i="1"/>
  <c r="E81" i="1" s="1"/>
  <c r="E104" i="1" s="1"/>
  <c r="D57" i="1"/>
  <c r="E56" i="1"/>
  <c r="E80" i="1" s="1"/>
  <c r="E103" i="1" s="1"/>
  <c r="D56" i="1"/>
  <c r="E55" i="1"/>
  <c r="E79" i="1" s="1"/>
  <c r="E102" i="1" s="1"/>
  <c r="D55" i="1"/>
  <c r="E54" i="1"/>
  <c r="E78" i="1" s="1"/>
  <c r="E101" i="1" s="1"/>
  <c r="D54" i="1"/>
  <c r="E53" i="1"/>
  <c r="E77" i="1" s="1"/>
  <c r="E100" i="1" s="1"/>
  <c r="D53" i="1"/>
  <c r="E52" i="1"/>
  <c r="E76" i="1" s="1"/>
  <c r="E99" i="1" s="1"/>
  <c r="D52" i="1"/>
  <c r="E51" i="1"/>
  <c r="E75" i="1" s="1"/>
  <c r="E98" i="1" s="1"/>
  <c r="D51" i="1"/>
  <c r="E50" i="1"/>
  <c r="E74" i="1" s="1"/>
  <c r="E97" i="1" s="1"/>
  <c r="D50" i="1"/>
  <c r="E49" i="1"/>
  <c r="E73" i="1" s="1"/>
  <c r="E96" i="1" s="1"/>
  <c r="D49" i="1"/>
  <c r="E48" i="1"/>
  <c r="E72" i="1" s="1"/>
  <c r="E95" i="1" s="1"/>
  <c r="D48" i="1"/>
  <c r="E47" i="1"/>
  <c r="E71" i="1" s="1"/>
  <c r="E94" i="1" s="1"/>
  <c r="D47" i="1"/>
  <c r="E46" i="1"/>
  <c r="E70" i="1" s="1"/>
  <c r="E93" i="1" s="1"/>
  <c r="D46" i="1"/>
  <c r="E45" i="1"/>
  <c r="E69" i="1" s="1"/>
  <c r="E92" i="1" s="1"/>
  <c r="D45" i="1"/>
  <c r="E44" i="1"/>
  <c r="E68" i="1" s="1"/>
  <c r="E91" i="1" s="1"/>
  <c r="D44" i="1"/>
  <c r="E43" i="1"/>
  <c r="E67" i="1" s="1"/>
  <c r="E90" i="1" s="1"/>
  <c r="D43" i="1"/>
  <c r="E42" i="1"/>
  <c r="E66" i="1" s="1"/>
  <c r="E89" i="1" s="1"/>
  <c r="D42" i="1"/>
  <c r="E41" i="1"/>
  <c r="E65" i="1" s="1"/>
  <c r="E88" i="1" s="1"/>
  <c r="D41" i="1"/>
  <c r="E40" i="1"/>
  <c r="E64" i="1" s="1"/>
  <c r="E87" i="1" s="1"/>
  <c r="D40" i="1"/>
  <c r="E39" i="1"/>
  <c r="E63" i="1" s="1"/>
  <c r="E86" i="1" s="1"/>
  <c r="D39" i="1"/>
  <c r="E38" i="1"/>
  <c r="E62" i="1" s="1"/>
  <c r="E85" i="1" s="1"/>
  <c r="D38" i="1"/>
  <c r="AK36" i="1"/>
  <c r="AJ36" i="1"/>
  <c r="AI36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P36" i="1"/>
  <c r="O36" i="1"/>
  <c r="N36" i="1"/>
  <c r="M36" i="1"/>
  <c r="L36" i="1"/>
  <c r="K36" i="1"/>
  <c r="J36" i="1"/>
  <c r="I36" i="1"/>
  <c r="H36" i="1"/>
  <c r="G36" i="1"/>
  <c r="F36" i="1"/>
  <c r="I39" i="1" a="1"/>
  <c r="AF74" i="1" a="1"/>
  <c r="AD74" i="1" a="1"/>
  <c r="X74" i="1" a="1"/>
  <c r="U43" i="1" a="1"/>
  <c r="O43" i="1" a="1"/>
  <c r="AE74" i="1" a="1"/>
  <c r="Y74" i="1" a="1"/>
  <c r="K43" i="1" a="1"/>
  <c r="AB42" i="1" a="1"/>
  <c r="AE42" i="1" a="1"/>
  <c r="AH42" i="1" a="1"/>
  <c r="AJ42" i="1" a="1"/>
  <c r="G42" i="1" a="1"/>
  <c r="AD41" i="1" a="1"/>
  <c r="L42" i="1" a="1"/>
  <c r="AA42" i="1" a="1"/>
  <c r="Z42" i="1" a="1"/>
  <c r="U41" i="1" a="1"/>
  <c r="AK40" i="1" a="1"/>
  <c r="G41" i="1" a="1"/>
  <c r="M41" i="1" a="1"/>
  <c r="X41" i="1" a="1"/>
  <c r="AD39" i="1" a="1"/>
  <c r="N40" i="1" a="1"/>
  <c r="AK39" i="1" a="1"/>
  <c r="AI39" i="1" a="1"/>
  <c r="I40" i="1" a="1"/>
  <c r="W40" i="1" a="1"/>
  <c r="O39" i="1" a="1"/>
  <c r="X39" i="1" a="1"/>
  <c r="AC74" i="1" a="1"/>
  <c r="W74" i="1" a="1"/>
  <c r="I43" i="1" a="1"/>
  <c r="Q43" i="1" a="1"/>
  <c r="H43" i="1" a="1"/>
  <c r="AI42" i="1" a="1"/>
  <c r="AC42" i="1" a="1"/>
  <c r="Y42" i="1" a="1"/>
  <c r="U42" i="1" a="1"/>
  <c r="AJ41" i="1" a="1"/>
  <c r="AF41" i="1" a="1"/>
  <c r="M42" i="1" a="1"/>
  <c r="T41" i="1" a="1"/>
  <c r="L41" i="1" a="1"/>
  <c r="AF40" i="1" a="1"/>
  <c r="AI40" i="1" a="1"/>
  <c r="W41" i="1" a="1"/>
  <c r="X40" i="1" a="1"/>
  <c r="L40" i="1" a="1"/>
  <c r="AF39" i="1" a="1"/>
  <c r="AH39" i="1" a="1"/>
  <c r="G40" i="1" a="1"/>
  <c r="J40" i="1" a="1"/>
  <c r="F39" i="1" a="1"/>
  <c r="W39" i="1" a="1"/>
  <c r="P39" i="1" a="1"/>
  <c r="L39" i="1" a="1"/>
  <c r="AK38" i="1" a="1"/>
  <c r="M38" i="1" a="1"/>
  <c r="AB38" i="1" a="1"/>
  <c r="Y38" i="1" a="1"/>
  <c r="AA93" i="1" a="1"/>
  <c r="Y49" i="1" a="1"/>
  <c r="V49" i="1" a="1"/>
  <c r="I49" i="1" a="1"/>
  <c r="U49" i="1" a="1"/>
  <c r="AD48" i="1" a="1"/>
  <c r="AH74" i="1" a="1"/>
  <c r="G43" i="1" a="1"/>
  <c r="L43" i="1" a="1"/>
  <c r="F42" i="1" a="1"/>
  <c r="S42" i="1" a="1"/>
  <c r="AD40" i="1" a="1"/>
  <c r="F41" i="1" a="1"/>
  <c r="O41" i="1" a="1"/>
  <c r="P40" i="1" a="1"/>
  <c r="H40" i="1" a="1"/>
  <c r="Q40" i="1" a="1"/>
  <c r="Z39" i="1" a="1"/>
  <c r="M39" i="1" a="1"/>
  <c r="F38" i="1" a="1"/>
  <c r="U48" i="1" a="1"/>
  <c r="J48" i="1" a="1"/>
  <c r="AH47" i="1" a="1"/>
  <c r="N47" i="1" a="1"/>
  <c r="L47" i="1" a="1"/>
  <c r="AF46" i="1" a="1"/>
  <c r="M46" i="1" a="1"/>
  <c r="AE45" i="1" a="1"/>
  <c r="AF44" i="1" a="1"/>
  <c r="U45" i="1" a="1"/>
  <c r="M44" i="1" a="1"/>
  <c r="L44" i="1" a="1"/>
  <c r="Q105" i="1" a="1"/>
  <c r="J105" i="1" a="1"/>
  <c r="AB103" i="1" a="1"/>
  <c r="L104" i="1" a="1"/>
  <c r="AI102" i="1" a="1"/>
  <c r="I102" i="1" a="1"/>
  <c r="R102" i="1" a="1"/>
  <c r="AK101" i="1" a="1"/>
  <c r="AG101" i="1" a="1"/>
  <c r="R101" i="1" a="1"/>
  <c r="AF100" i="1" a="1"/>
  <c r="AC100" i="1" a="1"/>
  <c r="AA101" i="1" a="1"/>
  <c r="AB100" i="1" a="1"/>
  <c r="U101" i="1" a="1"/>
  <c r="F100" i="1" a="1"/>
  <c r="AD99" i="1" a="1"/>
  <c r="AG99" i="1" a="1"/>
  <c r="O100" i="1" a="1"/>
  <c r="AH99" i="1" a="1"/>
  <c r="U99" i="1" a="1"/>
  <c r="AK98" i="1" a="1"/>
  <c r="AB98" i="1" a="1"/>
  <c r="W99" i="1" a="1"/>
  <c r="M99" i="1" a="1"/>
  <c r="W98" i="1" a="1"/>
  <c r="J98" i="1" a="1"/>
  <c r="M98" i="1" a="1"/>
  <c r="AD97" i="1" a="1"/>
  <c r="AK97" i="1" a="1"/>
  <c r="AC97" i="1" a="1"/>
  <c r="I97" i="1" a="1"/>
  <c r="Q97" i="1" a="1"/>
  <c r="V43" i="1" a="1"/>
  <c r="AG42" i="1" a="1"/>
  <c r="AK41" i="1" a="1"/>
  <c r="K42" i="1" a="1"/>
  <c r="X42" i="1" a="1"/>
  <c r="N41" i="1" a="1"/>
  <c r="AA41" i="1" a="1"/>
  <c r="V41" i="1" a="1"/>
  <c r="M40" i="1" a="1"/>
  <c r="R40" i="1" a="1"/>
  <c r="AJ38" i="1" a="1"/>
  <c r="U39" i="1" a="1"/>
  <c r="AG38" i="1" a="1"/>
  <c r="J38" i="1" a="1"/>
  <c r="K38" i="1" a="1"/>
  <c r="Z48" i="1" a="1"/>
  <c r="AB48" i="1" a="1"/>
  <c r="S49" i="1" a="1"/>
  <c r="AA48" i="1" a="1"/>
  <c r="P48" i="1" a="1"/>
  <c r="AE46" i="1" a="1"/>
  <c r="X46" i="1" a="1"/>
  <c r="F46" i="1" a="1"/>
  <c r="AJ45" i="1" a="1"/>
  <c r="M45" i="1" a="1"/>
  <c r="W45" i="1" a="1"/>
  <c r="O45" i="1" a="1"/>
  <c r="V44" i="1" a="1"/>
  <c r="J44" i="1" a="1"/>
  <c r="AB43" i="1" a="1"/>
  <c r="AE43" i="1" a="1"/>
  <c r="AH105" i="1" a="1"/>
  <c r="Y105" i="1" a="1"/>
  <c r="AJ104" i="1" a="1"/>
  <c r="AG104" i="1" a="1"/>
  <c r="AC103" i="1" a="1"/>
  <c r="O104" i="1" a="1"/>
  <c r="P104" i="1" a="1"/>
  <c r="F104" i="1" a="1"/>
  <c r="G103" i="1" a="1"/>
  <c r="S103" i="1" a="1"/>
  <c r="O103" i="1" a="1"/>
  <c r="AF101" i="1" a="1"/>
  <c r="AC101" i="1" a="1"/>
  <c r="AG74" i="1" a="1"/>
  <c r="AD42" i="1" a="1"/>
  <c r="AD38" i="1" a="1"/>
  <c r="L38" i="1" a="1"/>
  <c r="T38" i="1" a="1"/>
  <c r="P49" i="1" a="1"/>
  <c r="Z47" i="1" a="1"/>
  <c r="T48" i="1" a="1"/>
  <c r="AG47" i="1" a="1"/>
  <c r="AB47" i="1" a="1"/>
  <c r="R47" i="1" a="1"/>
  <c r="K47" i="1" a="1"/>
  <c r="AA46" i="1" a="1"/>
  <c r="AB46" i="1" a="1"/>
  <c r="Z45" i="1" a="1"/>
  <c r="W46" i="1" a="1"/>
  <c r="AK45" i="1" a="1"/>
  <c r="T45" i="1" a="1"/>
  <c r="X45" i="1" a="1"/>
  <c r="X44" i="1" a="1"/>
  <c r="Y44" i="1" a="1"/>
  <c r="O105" i="1" a="1"/>
  <c r="M105" i="1" a="1"/>
  <c r="AE103" i="1" a="1"/>
  <c r="H104" i="1" a="1"/>
  <c r="AB102" i="1" a="1"/>
  <c r="AE102" i="1" a="1"/>
  <c r="F102" i="1" a="1"/>
  <c r="W102" i="1" a="1"/>
  <c r="J102" i="1" a="1"/>
  <c r="Q101" i="1" a="1"/>
  <c r="L101" i="1" a="1"/>
  <c r="H101" i="1" a="1"/>
  <c r="Z101" i="1" a="1"/>
  <c r="S101" i="1" a="1"/>
  <c r="AG100" i="1" a="1"/>
  <c r="AJ99" i="1" a="1"/>
  <c r="AI99" i="1" a="1"/>
  <c r="S100" i="1" a="1"/>
  <c r="Z100" i="1" a="1"/>
  <c r="X100" i="1" a="1"/>
  <c r="AC98" i="1" a="1"/>
  <c r="AI98" i="1" a="1"/>
  <c r="AA99" i="1" a="1"/>
  <c r="V99" i="1" a="1"/>
  <c r="AG98" i="1" a="1"/>
  <c r="V98" i="1" a="1"/>
  <c r="F43" i="1" a="1"/>
  <c r="T42" i="1" a="1"/>
  <c r="AG41" i="1" a="1"/>
  <c r="AH41" i="1" a="1"/>
  <c r="I41" i="1" a="1"/>
  <c r="Z41" i="1" a="1"/>
  <c r="R41" i="1" a="1"/>
  <c r="F40" i="1" a="1"/>
  <c r="AA40" i="1" a="1"/>
  <c r="Y39" i="1" a="1"/>
  <c r="V39" i="1" a="1"/>
  <c r="AA39" i="1" a="1"/>
  <c r="G38" i="1" a="1"/>
  <c r="AA38" i="1" a="1"/>
  <c r="U38" i="1" a="1"/>
  <c r="O49" i="1" a="1"/>
  <c r="T49" i="1" a="1"/>
  <c r="G49" i="1" a="1"/>
  <c r="G48" i="1" a="1"/>
  <c r="S48" i="1" a="1"/>
  <c r="N48" i="1" a="1"/>
  <c r="AJ46" i="1" a="1"/>
  <c r="AC46" i="1" a="1"/>
  <c r="W47" i="1" a="1"/>
  <c r="Q46" i="1" a="1"/>
  <c r="H46" i="1" a="1"/>
  <c r="L46" i="1" a="1"/>
  <c r="J46" i="1" a="1"/>
  <c r="I45" i="1" a="1"/>
  <c r="K45" i="1" a="1"/>
  <c r="P45" i="1" a="1"/>
  <c r="I44" i="1" a="1"/>
  <c r="F44" i="1" a="1"/>
  <c r="AG43" i="1" a="1"/>
  <c r="AG105" i="1" a="1"/>
  <c r="AI105" i="1" a="1"/>
  <c r="K105" i="1" a="1"/>
  <c r="AA105" i="1" a="1"/>
  <c r="F105" i="1" a="1"/>
  <c r="AA104" i="1" a="1"/>
  <c r="AF103" i="1" a="1"/>
  <c r="AI103" i="1" a="1"/>
  <c r="AG103" i="1" a="1"/>
  <c r="AJ102" i="1" a="1"/>
  <c r="L103" i="1" a="1"/>
  <c r="AD102" i="1" a="1"/>
  <c r="AI101" i="1" a="1"/>
  <c r="AA102" i="1" a="1"/>
  <c r="AB74" i="1" a="1"/>
  <c r="S43" i="1" a="1"/>
  <c r="P38" i="1" a="1"/>
  <c r="AJ47" i="1" a="1"/>
  <c r="Z46" i="1" a="1"/>
  <c r="Y46" i="1" a="1"/>
  <c r="AJ44" i="1" a="1"/>
  <c r="R45" i="1" a="1"/>
  <c r="Z43" i="1" a="1"/>
  <c r="U44" i="1" a="1"/>
  <c r="AF104" i="1" a="1"/>
  <c r="H105" i="1" a="1"/>
  <c r="U104" i="1" a="1"/>
  <c r="AJ103" i="1" a="1"/>
  <c r="K103" i="1" a="1"/>
  <c r="AA103" i="1" a="1"/>
  <c r="P102" i="1" a="1"/>
  <c r="AH101" i="1" a="1"/>
  <c r="U102" i="1" a="1"/>
  <c r="M101" i="1" a="1"/>
  <c r="AH100" i="1" a="1"/>
  <c r="J101" i="1" a="1"/>
  <c r="T101" i="1" a="1"/>
  <c r="N101" i="1" a="1"/>
  <c r="V100" i="1" a="1"/>
  <c r="AE99" i="1" a="1"/>
  <c r="L100" i="1" a="1"/>
  <c r="R100" i="1" a="1"/>
  <c r="Y100" i="1" a="1"/>
  <c r="W100" i="1" a="1"/>
  <c r="O99" i="1" a="1"/>
  <c r="AH98" i="1" a="1"/>
  <c r="X99" i="1" a="1"/>
  <c r="S99" i="1" a="1"/>
  <c r="R99" i="1" a="1"/>
  <c r="T98" i="1" a="1"/>
  <c r="AB97" i="1" a="1"/>
  <c r="AF97" i="1" a="1"/>
  <c r="AE97" i="1" a="1"/>
  <c r="AH97" i="1" a="1"/>
  <c r="R97" i="1" a="1"/>
  <c r="AG96" i="1" a="1"/>
  <c r="Y97" i="1" a="1"/>
  <c r="H97" i="1" a="1"/>
  <c r="AA97" i="1" a="1"/>
  <c r="AF96" i="1" a="1"/>
  <c r="T96" i="1" a="1"/>
  <c r="AG95" i="1" a="1"/>
  <c r="G96" i="1" a="1"/>
  <c r="AK42" i="1" a="1"/>
  <c r="Q42" i="1" a="1"/>
  <c r="R42" i="1" a="1"/>
  <c r="N42" i="1" a="1"/>
  <c r="AG40" i="1" a="1"/>
  <c r="Y41" i="1" a="1"/>
  <c r="AE40" i="1" a="1"/>
  <c r="AB39" i="1" a="1"/>
  <c r="Z40" i="1" a="1"/>
  <c r="N39" i="1" a="1"/>
  <c r="AF38" i="1" a="1"/>
  <c r="AH38" i="1" a="1"/>
  <c r="R38" i="1" a="1"/>
  <c r="W38" i="1" a="1"/>
  <c r="Z49" i="1" a="1"/>
  <c r="AK48" i="1" a="1"/>
  <c r="F49" i="1" a="1"/>
  <c r="R49" i="1" a="1"/>
  <c r="X48" i="1" a="1"/>
  <c r="K48" i="1" a="1"/>
  <c r="AF47" i="1" a="1"/>
  <c r="M48" i="1" a="1"/>
  <c r="Y47" i="1" a="1"/>
  <c r="V47" i="1" a="1"/>
  <c r="J47" i="1" a="1"/>
  <c r="T47" i="1" a="1"/>
  <c r="U46" i="1" a="1"/>
  <c r="N46" i="1" a="1"/>
  <c r="T46" i="1" a="1"/>
  <c r="AG45" i="1" a="1"/>
  <c r="AI44" i="1" a="1"/>
  <c r="S45" i="1" a="1"/>
  <c r="V45" i="1" a="1"/>
  <c r="H45" i="1" a="1"/>
  <c r="H44" i="1" a="1"/>
  <c r="K44" i="1" a="1"/>
  <c r="R44" i="1" a="1"/>
  <c r="AB105" i="1" a="1"/>
  <c r="AK105" i="1" a="1"/>
  <c r="N105" i="1" a="1"/>
  <c r="AD104" i="1" a="1"/>
  <c r="AI104" i="1" a="1"/>
  <c r="T104" i="1" a="1"/>
  <c r="X104" i="1" a="1"/>
  <c r="V104" i="1" a="1"/>
  <c r="AD103" i="1" a="1"/>
  <c r="AF102" i="1" a="1"/>
  <c r="Z103" i="1" a="1"/>
  <c r="U103" i="1" a="1"/>
  <c r="Y102" i="1" a="1"/>
  <c r="M102" i="1" a="1"/>
  <c r="AA74" i="1" a="1"/>
  <c r="R43" i="1" a="1"/>
  <c r="AF42" i="1" a="1"/>
  <c r="AB41" i="1" a="1"/>
  <c r="P42" i="1" a="1"/>
  <c r="I42" i="1" a="1"/>
  <c r="AH40" i="1" a="1"/>
  <c r="AJ40" i="1" a="1"/>
  <c r="J41" i="1" a="1"/>
  <c r="AC39" i="1" a="1"/>
  <c r="Y40" i="1" a="1"/>
  <c r="H39" i="1" a="1"/>
  <c r="AC38" i="1" a="1"/>
  <c r="Q38" i="1" a="1"/>
  <c r="AH48" i="1" a="1"/>
  <c r="M49" i="1" a="1"/>
  <c r="W48" i="1" a="1"/>
  <c r="AD47" i="1" a="1"/>
  <c r="L48" i="1" a="1"/>
  <c r="S47" i="1" a="1"/>
  <c r="G47" i="1" a="1"/>
  <c r="S46" i="1" a="1"/>
  <c r="AF45" i="1" a="1"/>
  <c r="AD44" i="1" a="1"/>
  <c r="AC44" i="1" a="1"/>
  <c r="T44" i="1" a="1"/>
  <c r="AA43" i="1" a="1"/>
  <c r="AF105" i="1" a="1"/>
  <c r="AK104" i="1" a="1"/>
  <c r="S104" i="1" a="1"/>
  <c r="Z104" i="1" a="1"/>
  <c r="P103" i="1" a="1"/>
  <c r="I103" i="1" a="1"/>
  <c r="N102" i="1" a="1"/>
  <c r="H102" i="1" a="1"/>
  <c r="S102" i="1" a="1"/>
  <c r="F101" i="1" a="1"/>
  <c r="AJ100" i="1" a="1"/>
  <c r="I101" i="1" a="1"/>
  <c r="Y101" i="1" a="1"/>
  <c r="P101" i="1" a="1"/>
  <c r="T100" i="1" a="1"/>
  <c r="AC99" i="1" a="1"/>
  <c r="J100" i="1" a="1"/>
  <c r="G100" i="1" a="1"/>
  <c r="Q100" i="1" a="1"/>
  <c r="AF99" i="1" a="1"/>
  <c r="F99" i="1" a="1"/>
  <c r="AF98" i="1" a="1"/>
  <c r="I99" i="1" a="1"/>
  <c r="J99" i="1" a="1"/>
  <c r="L99" i="1" a="1"/>
  <c r="AI97" i="1" a="1"/>
  <c r="P43" i="1" a="1"/>
  <c r="Y43" i="1" a="1"/>
  <c r="AE41" i="1" a="1"/>
  <c r="W42" i="1" a="1"/>
  <c r="V42" i="1" a="1"/>
  <c r="K41" i="1" a="1"/>
  <c r="H41" i="1" a="1"/>
  <c r="V40" i="1" a="1"/>
  <c r="AG39" i="1" a="1"/>
  <c r="O40" i="1" a="1"/>
  <c r="AI38" i="1" a="1"/>
  <c r="R39" i="1" a="1"/>
  <c r="S39" i="1" a="1"/>
  <c r="N38" i="1" a="1"/>
  <c r="Z38" i="1" a="1"/>
  <c r="N49" i="1" a="1"/>
  <c r="W49" i="1" a="1"/>
  <c r="AG48" i="1" a="1"/>
  <c r="AC48" i="1" a="1"/>
  <c r="AC47" i="1" a="1"/>
  <c r="M47" i="1" a="1"/>
  <c r="Q47" i="1" a="1"/>
  <c r="AI45" i="1" a="1"/>
  <c r="AH45" i="1" a="1"/>
  <c r="AB44" i="1" a="1"/>
  <c r="J45" i="1" a="1"/>
  <c r="AH44" i="1" a="1"/>
  <c r="G45" i="1" a="1"/>
  <c r="AK43" i="1" a="1"/>
  <c r="AC43" i="1" a="1"/>
  <c r="Q44" i="1" a="1"/>
  <c r="AE105" i="1" a="1"/>
  <c r="P105" i="1" a="1"/>
  <c r="AH104" i="1" a="1"/>
  <c r="U105" i="1" a="1"/>
  <c r="AC104" i="1" a="1"/>
  <c r="K104" i="1" a="1"/>
  <c r="W104" i="1" a="1"/>
  <c r="J104" i="1" a="1"/>
  <c r="AK102" i="1" a="1"/>
  <c r="AC102" i="1" a="1"/>
  <c r="Y103" i="1" a="1"/>
  <c r="R103" i="1" a="1"/>
  <c r="Q102" i="1" a="1"/>
  <c r="K102" i="1" a="1"/>
  <c r="Z74" i="1" a="1"/>
  <c r="K39" i="1" a="1"/>
  <c r="G39" i="1" a="1"/>
  <c r="I48" i="1" a="1"/>
  <c r="O48" i="1" a="1"/>
  <c r="Y48" i="1" a="1"/>
  <c r="AK47" i="1" a="1"/>
  <c r="X47" i="1" a="1"/>
  <c r="P47" i="1" a="1"/>
  <c r="AD46" i="1" a="1"/>
  <c r="F47" i="1" a="1"/>
  <c r="I46" i="1" a="1"/>
  <c r="AC45" i="1" a="1"/>
  <c r="R46" i="1" a="1"/>
  <c r="AK44" i="1" a="1"/>
  <c r="AE44" i="1" a="1"/>
  <c r="S44" i="1" a="1"/>
  <c r="AD105" i="1" a="1"/>
  <c r="W105" i="1" a="1"/>
  <c r="G105" i="1" a="1"/>
  <c r="R104" i="1" a="1"/>
  <c r="V103" i="1" a="1"/>
  <c r="AH102" i="1" a="1"/>
  <c r="AJ101" i="1" a="1"/>
  <c r="G102" i="1" a="1"/>
  <c r="O102" i="1" a="1"/>
  <c r="O101" i="1" a="1"/>
  <c r="AD100" i="1" a="1"/>
  <c r="G101" i="1" a="1"/>
  <c r="X101" i="1" a="1"/>
  <c r="K101" i="1" a="1"/>
  <c r="P100" i="1" a="1"/>
  <c r="M100" i="1" a="1"/>
  <c r="H100" i="1" a="1"/>
  <c r="AA100" i="1" a="1"/>
  <c r="N100" i="1" a="1"/>
  <c r="Z99" i="1" a="1"/>
  <c r="K99" i="1" a="1"/>
  <c r="Y99" i="1" a="1"/>
  <c r="Q99" i="1" a="1"/>
  <c r="P99" i="1" a="1"/>
  <c r="G99" i="1" a="1"/>
  <c r="S98" i="1" a="1"/>
  <c r="H98" i="1" a="1"/>
  <c r="R98" i="1" a="1"/>
  <c r="Z98" i="1" a="1"/>
  <c r="J43" i="1" a="1"/>
  <c r="M43" i="1" a="1"/>
  <c r="T43" i="1" a="1"/>
  <c r="O42" i="1" a="1"/>
  <c r="AI41" i="1" a="1"/>
  <c r="AB40" i="1" a="1"/>
  <c r="P41" i="1" a="1"/>
  <c r="Q41" i="1" a="1"/>
  <c r="T40" i="1" a="1"/>
  <c r="K40" i="1" a="1"/>
  <c r="U40" i="1" a="1"/>
  <c r="AE38" i="1" a="1"/>
  <c r="I38" i="1" a="1"/>
  <c r="V38" i="1" a="1"/>
  <c r="L49" i="1" a="1"/>
  <c r="K49" i="1" a="1"/>
  <c r="AE48" i="1" a="1"/>
  <c r="AF48" i="1" a="1"/>
  <c r="V48" i="1" a="1"/>
  <c r="AA47" i="1" a="1"/>
  <c r="Q48" i="1" a="1"/>
  <c r="F48" i="1" a="1"/>
  <c r="U47" i="1" a="1"/>
  <c r="AG46" i="1" a="1"/>
  <c r="O47" i="1" a="1"/>
  <c r="AH46" i="1" a="1"/>
  <c r="K46" i="1" a="1"/>
  <c r="P46" i="1" a="1"/>
  <c r="G46" i="1" a="1"/>
  <c r="L45" i="1" a="1"/>
  <c r="Y45" i="1" a="1"/>
  <c r="F45" i="1" a="1"/>
  <c r="N44" i="1" a="1"/>
  <c r="O44" i="1" a="1"/>
  <c r="AD43" i="1" a="1"/>
  <c r="AJ43" i="1" a="1"/>
  <c r="AC105" i="1" a="1"/>
  <c r="Z105" i="1" a="1"/>
  <c r="T105" i="1" a="1"/>
  <c r="I105" i="1" a="1"/>
  <c r="S105" i="1" a="1"/>
  <c r="G104" i="1" a="1"/>
  <c r="Y104" i="1" a="1"/>
  <c r="M104" i="1" a="1"/>
  <c r="J103" i="1" a="1"/>
  <c r="F103" i="1" a="1"/>
  <c r="H103" i="1" a="1"/>
  <c r="Q103" i="1" a="1"/>
  <c r="X102" i="1" a="1"/>
  <c r="AE101" i="1" a="1"/>
  <c r="W43" i="1" a="1"/>
  <c r="S41" i="1" a="1"/>
  <c r="J49" i="1" a="1"/>
  <c r="AI46" i="1" a="1"/>
  <c r="AA45" i="1" a="1"/>
  <c r="R105" i="1" a="1"/>
  <c r="I104" i="1" a="1"/>
  <c r="W103" i="1" a="1"/>
  <c r="T102" i="1" a="1"/>
  <c r="AI100" i="1" a="1"/>
  <c r="AK99" i="1" a="1"/>
  <c r="H99" i="1" a="1"/>
  <c r="N99" i="1" a="1"/>
  <c r="I98" i="1" a="1"/>
  <c r="X97" i="1" a="1"/>
  <c r="T97" i="1" a="1"/>
  <c r="R96" i="1" a="1"/>
  <c r="AF94" i="1" a="1"/>
  <c r="AJ94" i="1" a="1"/>
  <c r="W94" i="1" a="1"/>
  <c r="Q39" i="1" a="1"/>
  <c r="AI48" i="1" a="1"/>
  <c r="V46" i="1" a="1"/>
  <c r="W44" i="1" a="1"/>
  <c r="G98" i="1" a="1"/>
  <c r="U98" i="1" a="1"/>
  <c r="G97" i="1" a="1"/>
  <c r="AJ96" i="1" a="1"/>
  <c r="AI95" i="1" a="1"/>
  <c r="L96" i="1" a="1"/>
  <c r="P96" i="1" a="1"/>
  <c r="O95" i="1" a="1"/>
  <c r="J95" i="1" a="1"/>
  <c r="I95" i="1" a="1"/>
  <c r="AF93" i="1" a="1"/>
  <c r="S94" i="1" a="1"/>
  <c r="F94" i="1" a="1"/>
  <c r="Y94" i="1" a="1"/>
  <c r="G93" i="1" a="1"/>
  <c r="Z93" i="1" a="1"/>
  <c r="W93" i="1" a="1"/>
  <c r="K93" i="1" a="1"/>
  <c r="AF92" i="1" a="1"/>
  <c r="F92" i="1" a="1"/>
  <c r="R92" i="1" a="1"/>
  <c r="P92" i="1" a="1"/>
  <c r="AA92" i="1" a="1"/>
  <c r="Y92" i="1" a="1"/>
  <c r="W91" i="1" a="1"/>
  <c r="AG90" i="1" a="1"/>
  <c r="J91" i="1" a="1"/>
  <c r="AB91" i="1" a="1"/>
  <c r="Y91" i="1" a="1"/>
  <c r="AH90" i="1" a="1"/>
  <c r="AG89" i="1" a="1"/>
  <c r="AB90" i="1" a="1"/>
  <c r="K90" i="1" a="1"/>
  <c r="Y90" i="1" a="1"/>
  <c r="AH89" i="1" a="1"/>
  <c r="W89" i="1" a="1"/>
  <c r="M89" i="1" a="1"/>
  <c r="L89" i="1" a="1"/>
  <c r="AE88" i="1" a="1"/>
  <c r="AG88" i="1" a="1"/>
  <c r="L88" i="1" a="1"/>
  <c r="AF87" i="1" a="1"/>
  <c r="M88" i="1" a="1"/>
  <c r="AG87" i="1" a="1"/>
  <c r="I88" i="1" a="1"/>
  <c r="P88" i="1" a="1"/>
  <c r="N43" i="1" a="1"/>
  <c r="AC40" i="1" a="1"/>
  <c r="T39" i="1" a="1"/>
  <c r="H49" i="1" a="1"/>
  <c r="H47" i="1" a="1"/>
  <c r="P44" i="1" a="1"/>
  <c r="X105" i="1" a="1"/>
  <c r="N104" i="1" a="1"/>
  <c r="T103" i="1" a="1"/>
  <c r="W97" i="1" a="1"/>
  <c r="AD96" i="1" a="1"/>
  <c r="U96" i="1" a="1"/>
  <c r="H96" i="1" a="1"/>
  <c r="N95" i="1" a="1"/>
  <c r="AA95" i="1" a="1"/>
  <c r="Q94" i="1" a="1"/>
  <c r="H38" i="1" a="1"/>
  <c r="O46" i="1" a="1"/>
  <c r="N103" i="1" a="1"/>
  <c r="AB101" i="1" a="1"/>
  <c r="V101" i="1" a="1"/>
  <c r="I100" i="1" a="1"/>
  <c r="AJ98" i="1" a="1"/>
  <c r="AD98" i="1" a="1"/>
  <c r="P98" i="1" a="1"/>
  <c r="S97" i="1" a="1"/>
  <c r="S96" i="1" a="1"/>
  <c r="AA96" i="1" a="1"/>
  <c r="AB95" i="1" a="1"/>
  <c r="M95" i="1" a="1"/>
  <c r="AG94" i="1" a="1"/>
  <c r="W95" i="1" a="1"/>
  <c r="K94" i="1" a="1"/>
  <c r="AE93" i="1" a="1"/>
  <c r="G94" i="1" a="1"/>
  <c r="T94" i="1" a="1"/>
  <c r="X94" i="1" a="1"/>
  <c r="AE92" i="1" a="1"/>
  <c r="Y93" i="1" a="1"/>
  <c r="V93" i="1" a="1"/>
  <c r="H93" i="1" a="1"/>
  <c r="L93" i="1" a="1"/>
  <c r="N92" i="1" a="1"/>
  <c r="J92" i="1" a="1"/>
  <c r="I92" i="1" a="1"/>
  <c r="W92" i="1" a="1"/>
  <c r="X92" i="1" a="1"/>
  <c r="V91" i="1" a="1"/>
  <c r="G91" i="1" a="1"/>
  <c r="I91" i="1" a="1"/>
  <c r="R91" i="1" a="1"/>
  <c r="AJ90" i="1" a="1"/>
  <c r="O90" i="1" a="1"/>
  <c r="AI89" i="1" a="1"/>
  <c r="S90" i="1" a="1"/>
  <c r="T90" i="1" a="1"/>
  <c r="W90" i="1" a="1"/>
  <c r="AF89" i="1" a="1"/>
  <c r="I89" i="1" a="1"/>
  <c r="AD88" i="1" a="1"/>
  <c r="AI88" i="1" a="1"/>
  <c r="AF88" i="1" a="1"/>
  <c r="H89" i="1" a="1"/>
  <c r="X88" i="1" a="1"/>
  <c r="K88" i="1" a="1"/>
  <c r="AK87" i="1" a="1"/>
  <c r="G88" i="1" a="1"/>
  <c r="Z88" i="1" a="1"/>
  <c r="N87" i="1" a="1"/>
  <c r="S87" i="1" a="1"/>
  <c r="AC86" i="1" a="1"/>
  <c r="P87" i="1" a="1"/>
  <c r="Z87" i="1" a="1"/>
  <c r="R87" i="1" a="1"/>
  <c r="X43" i="1" a="1"/>
  <c r="S40" i="1" a="1"/>
  <c r="S38" i="1" a="1"/>
  <c r="AA44" i="1" a="1"/>
  <c r="AF43" i="1" a="1"/>
  <c r="AE104" i="1" a="1"/>
  <c r="AH103" i="1" a="1"/>
  <c r="AD101" i="1" a="1"/>
  <c r="Q98" i="1" a="1"/>
  <c r="K98" i="1" a="1"/>
  <c r="Z97" i="1" a="1"/>
  <c r="F97" i="1" a="1"/>
  <c r="AD95" i="1" a="1"/>
  <c r="AK95" i="1" a="1"/>
  <c r="Y96" i="1" a="1"/>
  <c r="AE94" i="1" a="1"/>
  <c r="AD94" i="1" a="1"/>
  <c r="I94" i="1" a="1"/>
  <c r="O38" i="1" a="1"/>
  <c r="H48" i="1" a="1"/>
  <c r="AK46" i="1" a="1"/>
  <c r="Q104" i="1" a="1"/>
  <c r="L98" i="1" a="1"/>
  <c r="AI96" i="1" a="1"/>
  <c r="J97" i="1" a="1"/>
  <c r="AK96" i="1" a="1"/>
  <c r="M96" i="1" a="1"/>
  <c r="F96" i="1" a="1"/>
  <c r="K95" i="1" a="1"/>
  <c r="T95" i="1" a="1"/>
  <c r="G95" i="1" a="1"/>
  <c r="AH93" i="1" a="1"/>
  <c r="AG93" i="1" a="1"/>
  <c r="R94" i="1" a="1"/>
  <c r="AJ93" i="1" a="1"/>
  <c r="U94" i="1" a="1"/>
  <c r="AD92" i="1" a="1"/>
  <c r="S93" i="1" a="1"/>
  <c r="I93" i="1" a="1"/>
  <c r="R93" i="1" a="1"/>
  <c r="AK92" i="1" a="1"/>
  <c r="T92" i="1" a="1"/>
  <c r="L92" i="1" a="1"/>
  <c r="AE91" i="1" a="1"/>
  <c r="AG91" i="1" a="1"/>
  <c r="AC91" i="1" a="1"/>
  <c r="U91" i="1" a="1"/>
  <c r="AK90" i="1" a="1"/>
  <c r="O91" i="1" a="1"/>
  <c r="AC90" i="1" a="1"/>
  <c r="F91" i="1" a="1"/>
  <c r="G90" i="1" a="1"/>
  <c r="AJ89" i="1" a="1"/>
  <c r="AK89" i="1" a="1"/>
  <c r="I90" i="1" a="1"/>
  <c r="H90" i="1" a="1"/>
  <c r="AC89" i="1" a="1"/>
  <c r="R89" i="1" a="1"/>
  <c r="K89" i="1" a="1"/>
  <c r="V89" i="1" a="1"/>
  <c r="AB89" i="1" a="1"/>
  <c r="AC88" i="1" a="1"/>
  <c r="T88" i="1" a="1"/>
  <c r="Q88" i="1" a="1"/>
  <c r="AJ87" i="1" a="1"/>
  <c r="V88" i="1" a="1"/>
  <c r="R88" i="1" a="1"/>
  <c r="AF86" i="1" a="1"/>
  <c r="H42" i="1" a="1"/>
  <c r="AE39" i="1" a="1"/>
  <c r="X38" i="1" a="1"/>
  <c r="AI47" i="1" a="1"/>
  <c r="I47" i="1" a="1"/>
  <c r="N45" i="1" a="1"/>
  <c r="AI43" i="1" a="1"/>
  <c r="V105" i="1" a="1"/>
  <c r="AK100" i="1" a="1"/>
  <c r="W101" i="1" a="1"/>
  <c r="U100" i="1" a="1"/>
  <c r="T99" i="1" a="1"/>
  <c r="AG97" i="1" a="1"/>
  <c r="AA98" i="1" a="1"/>
  <c r="AC96" i="1" a="1"/>
  <c r="V96" i="1" a="1"/>
  <c r="AH95" i="1" a="1"/>
  <c r="K96" i="1" a="1"/>
  <c r="H95" i="1" a="1"/>
  <c r="Z95" i="1" a="1"/>
  <c r="F95" i="1" a="1"/>
  <c r="L105" i="1" a="1"/>
  <c r="M103" i="1" a="1"/>
  <c r="L102" i="1" a="1"/>
  <c r="F98" i="1" a="1"/>
  <c r="N97" i="1" a="1"/>
  <c r="O97" i="1" a="1"/>
  <c r="V97" i="1" a="1"/>
  <c r="X96" i="1" a="1"/>
  <c r="J96" i="1" a="1"/>
  <c r="AJ95" i="1" a="1"/>
  <c r="AH94" i="1" a="1"/>
  <c r="S95" i="1" a="1"/>
  <c r="AB93" i="1" a="1"/>
  <c r="AD93" i="1" a="1"/>
  <c r="AC93" i="1" a="1"/>
  <c r="AK93" i="1" a="1"/>
  <c r="AI93" i="1" a="1"/>
  <c r="N93" i="1" a="1"/>
  <c r="F93" i="1" a="1"/>
  <c r="X93" i="1" a="1"/>
  <c r="U93" i="1" a="1"/>
  <c r="Q93" i="1" a="1"/>
  <c r="AF91" i="1" a="1"/>
  <c r="G92" i="1" a="1"/>
  <c r="AI91" i="1" a="1"/>
  <c r="O92" i="1" a="1"/>
  <c r="Z92" i="1" a="1"/>
  <c r="H92" i="1" a="1"/>
  <c r="T91" i="1" a="1"/>
  <c r="N91" i="1" a="1"/>
  <c r="AF90" i="1" a="1"/>
  <c r="AE90" i="1" a="1"/>
  <c r="X91" i="1" a="1"/>
  <c r="N90" i="1" a="1"/>
  <c r="X90" i="1" a="1"/>
  <c r="AD89" i="1" a="1"/>
  <c r="AE89" i="1" a="1"/>
  <c r="U90" i="1" a="1"/>
  <c r="AC41" i="1" a="1"/>
  <c r="AJ39" i="1" a="1"/>
  <c r="AJ48" i="1" a="1"/>
  <c r="R48" i="1" a="1"/>
  <c r="AD45" i="1" a="1"/>
  <c r="AG44" i="1" a="1"/>
  <c r="G44" i="1" a="1"/>
  <c r="AG102" i="1" a="1"/>
  <c r="Z102" i="1" a="1"/>
  <c r="AJ97" i="1" a="1"/>
  <c r="W96" i="1" a="1"/>
  <c r="Q96" i="1" a="1"/>
  <c r="AC94" i="1" a="1"/>
  <c r="V95" i="1" a="1"/>
  <c r="AI94" i="1" a="1"/>
  <c r="M94" i="1" a="1"/>
  <c r="AE47" i="1" a="1"/>
  <c r="AB45" i="1" a="1"/>
  <c r="Q45" i="1" a="1"/>
  <c r="AJ105" i="1" a="1"/>
  <c r="O98" i="1" a="1"/>
  <c r="N98" i="1" a="1"/>
  <c r="AH96" i="1" a="1"/>
  <c r="L97" i="1" a="1"/>
  <c r="P97" i="1" a="1"/>
  <c r="O96" i="1" a="1"/>
  <c r="AC95" i="1" a="1"/>
  <c r="Z96" i="1" a="1"/>
  <c r="P95" i="1" a="1"/>
  <c r="L95" i="1" a="1"/>
  <c r="X95" i="1" a="1"/>
  <c r="J94" i="1" a="1"/>
  <c r="H94" i="1" a="1"/>
  <c r="O94" i="1" a="1"/>
  <c r="Z94" i="1" a="1"/>
  <c r="AG92" i="1" a="1"/>
  <c r="AI92" i="1" a="1"/>
  <c r="J93" i="1" a="1"/>
  <c r="T93" i="1" a="1"/>
  <c r="O93" i="1" a="1"/>
  <c r="AD91" i="1" a="1"/>
  <c r="AK91" i="1" a="1"/>
  <c r="AH91" i="1" a="1"/>
  <c r="AB92" i="1" a="1"/>
  <c r="S92" i="1" a="1"/>
  <c r="H91" i="1" a="1"/>
  <c r="P91" i="1" a="1"/>
  <c r="AI90" i="1" a="1"/>
  <c r="AD90" i="1" a="1"/>
  <c r="Z91" i="1" a="1"/>
  <c r="M91" i="1" a="1"/>
  <c r="L90" i="1" a="1"/>
  <c r="Q90" i="1" a="1"/>
  <c r="P90" i="1" a="1"/>
  <c r="F90" i="1" a="1"/>
  <c r="M90" i="1" a="1"/>
  <c r="T89" i="1" a="1"/>
  <c r="Q89" i="1" a="1"/>
  <c r="AH43" i="1" a="1"/>
  <c r="AB99" i="1" a="1"/>
  <c r="U97" i="1" a="1"/>
  <c r="AB94" i="1" a="1"/>
  <c r="N94" i="1" a="1"/>
  <c r="U92" i="1" a="1"/>
  <c r="S91" i="1" a="1"/>
  <c r="J90" i="1" a="1"/>
  <c r="G89" i="1" a="1"/>
  <c r="G87" i="1" a="1"/>
  <c r="O87" i="1" a="1"/>
  <c r="L86" i="1" a="1"/>
  <c r="I86" i="1" a="1"/>
  <c r="R85" i="1" a="1"/>
  <c r="N85" i="1" a="1"/>
  <c r="O85" i="1" a="1"/>
  <c r="P82" i="1" a="1"/>
  <c r="AH81" i="1" a="1"/>
  <c r="U81" i="1" a="1"/>
  <c r="Z81" i="1" a="1"/>
  <c r="AB81" i="1" a="1"/>
  <c r="U80" i="1" a="1"/>
  <c r="H80" i="1" a="1"/>
  <c r="AA80" i="1" a="1"/>
  <c r="F80" i="1" a="1"/>
  <c r="O80" i="1" a="1"/>
  <c r="AI79" i="1" a="1"/>
  <c r="R79" i="1" a="1"/>
  <c r="AE78" i="1" a="1"/>
  <c r="Y79" i="1" a="1"/>
  <c r="AD78" i="1" a="1"/>
  <c r="U79" i="1" a="1"/>
  <c r="M78" i="1" a="1"/>
  <c r="X78" i="1" a="1"/>
  <c r="N78" i="1" a="1"/>
  <c r="F78" i="1" a="1"/>
  <c r="AA78" i="1" a="1"/>
  <c r="AA77" i="1" a="1"/>
  <c r="AK76" i="1" a="1"/>
  <c r="AH76" i="1" a="1"/>
  <c r="O77" i="1" a="1"/>
  <c r="AC77" i="1" a="1"/>
  <c r="S77" i="1" a="1"/>
  <c r="Z76" i="1" a="1"/>
  <c r="L76" i="1" a="1"/>
  <c r="Q76" i="1" a="1"/>
  <c r="Y76" i="1" a="1"/>
  <c r="M76" i="1" a="1"/>
  <c r="K71" i="1" a="1"/>
  <c r="H71" i="1" a="1"/>
  <c r="F71" i="1" a="1"/>
  <c r="Q71" i="1" a="1"/>
  <c r="I75" i="1" a="1"/>
  <c r="AJ74" i="1" a="1"/>
  <c r="H73" i="1" a="1"/>
  <c r="J42" i="1" a="1"/>
  <c r="P89" i="1" a="1"/>
  <c r="O88" i="1" a="1"/>
  <c r="W88" i="1" a="1"/>
  <c r="K87" i="1" a="1"/>
  <c r="Y87" i="1" a="1"/>
  <c r="K86" i="1" a="1"/>
  <c r="R86" i="1" a="1"/>
  <c r="Y86" i="1" a="1"/>
  <c r="L85" i="1" a="1"/>
  <c r="AJ82" i="1" a="1"/>
  <c r="W82" i="1" a="1"/>
  <c r="J82" i="1" a="1"/>
  <c r="I82" i="1" a="1"/>
  <c r="S81" i="1" a="1"/>
  <c r="G81" i="1" a="1"/>
  <c r="V81" i="1" a="1"/>
  <c r="AB104" i="1" a="1"/>
  <c r="AE98" i="1" a="1"/>
  <c r="I96" i="1" a="1"/>
  <c r="Y95" i="1" a="1"/>
  <c r="M93" i="1" a="1"/>
  <c r="M92" i="1" a="1"/>
  <c r="L91" i="1" a="1"/>
  <c r="AA90" i="1" a="1"/>
  <c r="Z89" i="1" a="1"/>
  <c r="N89" i="1" a="1"/>
  <c r="AH87" i="1" a="1"/>
  <c r="Q87" i="1" a="1"/>
  <c r="H87" i="1" a="1"/>
  <c r="W87" i="1" a="1"/>
  <c r="AE85" i="1" a="1"/>
  <c r="P86" i="1" a="1"/>
  <c r="K85" i="1" a="1"/>
  <c r="AI82" i="1" a="1"/>
  <c r="H85" i="1" a="1"/>
  <c r="AA82" i="1" a="1"/>
  <c r="AJ81" i="1" a="1"/>
  <c r="F82" i="1" a="1"/>
  <c r="W81" i="1" a="1"/>
  <c r="N81" i="1" a="1"/>
  <c r="K80" i="1" a="1"/>
  <c r="AE79" i="1" a="1"/>
  <c r="X80" i="1" a="1"/>
  <c r="T80" i="1" a="1"/>
  <c r="Z80" i="1" a="1"/>
  <c r="AD79" i="1" a="1"/>
  <c r="Q79" i="1" a="1"/>
  <c r="N79" i="1" a="1"/>
  <c r="AH78" i="1" a="1"/>
  <c r="AC79" i="1" a="1"/>
  <c r="L79" i="1" a="1"/>
  <c r="AK77" i="1" a="1"/>
  <c r="R78" i="1" a="1"/>
  <c r="AJ77" i="1" a="1"/>
  <c r="AC78" i="1" a="1"/>
  <c r="Z78" i="1" a="1"/>
  <c r="X77" i="1" a="1"/>
  <c r="Z77" i="1" a="1"/>
  <c r="U77" i="1" a="1"/>
  <c r="M77" i="1" a="1"/>
  <c r="L77" i="1" a="1"/>
  <c r="AG76" i="1" a="1"/>
  <c r="AF75" i="1" a="1"/>
  <c r="U76" i="1" a="1"/>
  <c r="AH75" i="1" a="1"/>
  <c r="R76" i="1" a="1"/>
  <c r="AD75" i="1" a="1"/>
  <c r="J71" i="1" a="1"/>
  <c r="AG70" i="1" a="1"/>
  <c r="J39" i="1" a="1"/>
  <c r="AK103" i="1" a="1"/>
  <c r="AK94" i="1" a="1"/>
  <c r="O89" i="1" a="1"/>
  <c r="F89" i="1" a="1"/>
  <c r="AE87" i="1" a="1"/>
  <c r="AH86" i="1" a="1"/>
  <c r="F87" i="1" a="1"/>
  <c r="U87" i="1" a="1"/>
  <c r="S86" i="1" a="1"/>
  <c r="O86" i="1" a="1"/>
  <c r="X86" i="1" a="1"/>
  <c r="J85" i="1" a="1"/>
  <c r="AG82" i="1" a="1"/>
  <c r="I85" i="1" a="1"/>
  <c r="AG81" i="1" a="1"/>
  <c r="AK81" i="1" a="1"/>
  <c r="O81" i="1" a="1"/>
  <c r="Q81" i="1" a="1"/>
  <c r="AA81" i="1" a="1"/>
  <c r="X49" i="1" a="1"/>
  <c r="AF95" i="1" a="1"/>
  <c r="AH92" i="1" a="1"/>
  <c r="AJ91" i="1" a="1"/>
  <c r="K91" i="1" a="1"/>
  <c r="Z90" i="1" a="1"/>
  <c r="H86" i="1" a="1"/>
  <c r="AB86" i="1" a="1"/>
  <c r="T86" i="1" a="1"/>
  <c r="AD82" i="1" a="1"/>
  <c r="AK82" i="1" a="1"/>
  <c r="K82" i="1" a="1"/>
  <c r="L82" i="1" a="1"/>
  <c r="N82" i="1" a="1"/>
  <c r="AJ80" i="1" a="1"/>
  <c r="H81" i="1" a="1"/>
  <c r="R80" i="1" a="1"/>
  <c r="AH79" i="1" a="1"/>
  <c r="W80" i="1" a="1"/>
  <c r="AK79" i="1" a="1"/>
  <c r="Y80" i="1" a="1"/>
  <c r="AK78" i="1" a="1"/>
  <c r="F79" i="1" a="1"/>
  <c r="J79" i="1" a="1"/>
  <c r="AJ78" i="1" a="1"/>
  <c r="K79" i="1" a="1"/>
  <c r="M79" i="1" a="1"/>
  <c r="AH77" i="1" a="1"/>
  <c r="G78" i="1" a="1"/>
  <c r="AI77" i="1" a="1"/>
  <c r="AD77" i="1" a="1"/>
  <c r="L78" i="1" a="1"/>
  <c r="J77" i="1" a="1"/>
  <c r="V77" i="1" a="1"/>
  <c r="AE76" i="1" a="1"/>
  <c r="N77" i="1" a="1"/>
  <c r="I77" i="1" a="1"/>
  <c r="AC76" i="1" a="1"/>
  <c r="AK75" i="1" a="1"/>
  <c r="V76" i="1" a="1"/>
  <c r="AJ75" i="1" a="1"/>
  <c r="O76" i="1" a="1"/>
  <c r="I76" i="1" a="1"/>
  <c r="AK70" i="1" a="1"/>
  <c r="AD70" i="1" a="1"/>
  <c r="W71" i="1" a="1"/>
  <c r="T71" i="1" a="1"/>
  <c r="J75" i="1" a="1"/>
  <c r="K73" i="1" a="1"/>
  <c r="G73" i="1" a="1"/>
  <c r="R73" i="1" a="1"/>
  <c r="M73" i="1" a="1"/>
  <c r="L72" i="1" a="1"/>
  <c r="F72" i="1" a="1"/>
  <c r="AF71" i="1" a="1"/>
  <c r="AA71" i="1" a="1"/>
  <c r="AE65" i="1" a="1"/>
  <c r="Q49" i="1" a="1"/>
  <c r="X103" i="1" a="1"/>
  <c r="N96" i="1" a="1"/>
  <c r="P94" i="1" a="1"/>
  <c r="X89" i="1" a="1"/>
  <c r="AC87" i="1" a="1"/>
  <c r="N88" i="1" a="1"/>
  <c r="AG86" i="1" a="1"/>
  <c r="AA87" i="1" a="1"/>
  <c r="AJ86" i="1" a="1"/>
  <c r="AD85" i="1" a="1"/>
  <c r="M86" i="1" a="1"/>
  <c r="F85" i="1" a="1"/>
  <c r="AF82" i="1" a="1"/>
  <c r="AA85" i="1" a="1"/>
  <c r="AF81" i="1" a="1"/>
  <c r="AC82" i="1" a="1"/>
  <c r="J81" i="1" a="1"/>
  <c r="P81" i="1" a="1"/>
  <c r="Y81" i="1" a="1"/>
  <c r="V102" i="1" a="1"/>
  <c r="Y98" i="1" a="1"/>
  <c r="AE95" i="1" a="1"/>
  <c r="L94" i="1" a="1"/>
  <c r="AJ92" i="1" a="1"/>
  <c r="K92" i="1" a="1"/>
  <c r="AA91" i="1" a="1"/>
  <c r="R90" i="1" a="1"/>
  <c r="S89" i="1" a="1"/>
  <c r="S88" i="1" a="1"/>
  <c r="AB88" i="1" a="1"/>
  <c r="L87" i="1" a="1"/>
  <c r="X87" i="1" a="1"/>
  <c r="V87" i="1" a="1"/>
  <c r="F86" i="1" a="1"/>
  <c r="AI85" i="1" a="1"/>
  <c r="W86" i="1" a="1"/>
  <c r="AH82" i="1" a="1"/>
  <c r="X85" i="1" a="1"/>
  <c r="AI81" i="1" a="1"/>
  <c r="S82" i="1" a="1"/>
  <c r="Y82" i="1" a="1"/>
  <c r="AE80" i="1" a="1"/>
  <c r="AI80" i="1" a="1"/>
  <c r="AJ79" i="1" a="1"/>
  <c r="J80" i="1" a="1"/>
  <c r="N80" i="1" a="1"/>
  <c r="Q80" i="1" a="1"/>
  <c r="S80" i="1" a="1"/>
  <c r="W79" i="1" a="1"/>
  <c r="AG78" i="1" a="1"/>
  <c r="V79" i="1" a="1"/>
  <c r="AF78" i="1" a="1"/>
  <c r="AB79" i="1" a="1"/>
  <c r="I79" i="1" a="1"/>
  <c r="AE77" i="1" a="1"/>
  <c r="V78" i="1" a="1"/>
  <c r="AG77" i="1" a="1"/>
  <c r="P78" i="1" a="1"/>
  <c r="U78" i="1" a="1"/>
  <c r="P77" i="1" a="1"/>
  <c r="AJ76" i="1" a="1"/>
  <c r="R77" i="1" a="1"/>
  <c r="F77" i="1" a="1"/>
  <c r="AI76" i="1" a="1"/>
  <c r="AA76" i="1" a="1"/>
  <c r="W76" i="1" a="1"/>
  <c r="X98" i="1" a="1"/>
  <c r="AK88" i="1" a="1"/>
  <c r="AD87" i="1" a="1"/>
  <c r="AA88" i="1" a="1"/>
  <c r="AE86" i="1" a="1"/>
  <c r="AD86" i="1" a="1"/>
  <c r="J87" i="1" a="1"/>
  <c r="AF85" i="1" a="1"/>
  <c r="AG85" i="1" a="1"/>
  <c r="AE82" i="1" a="1"/>
  <c r="AB85" i="1" a="1"/>
  <c r="M85" i="1" a="1"/>
  <c r="X82" i="1" a="1"/>
  <c r="R82" i="1" a="1"/>
  <c r="AH80" i="1" a="1"/>
  <c r="T81" i="1" a="1"/>
  <c r="M81" i="1" a="1"/>
  <c r="AE100" i="1" a="1"/>
  <c r="K97" i="1" a="1"/>
  <c r="U95" i="1" a="1"/>
  <c r="AA94" i="1" a="1"/>
  <c r="AC92" i="1" a="1"/>
  <c r="V92" i="1" a="1"/>
  <c r="Q91" i="1" a="1"/>
  <c r="J89" i="1" a="1"/>
  <c r="I87" i="1" a="1"/>
  <c r="AI86" i="1" a="1"/>
  <c r="V86" i="1" a="1"/>
  <c r="Z86" i="1" a="1"/>
  <c r="N86" i="1" a="1"/>
  <c r="AC85" i="1" a="1"/>
  <c r="Y85" i="1" a="1"/>
  <c r="Q85" i="1" a="1"/>
  <c r="H82" i="1" a="1"/>
  <c r="AD81" i="1" a="1"/>
  <c r="T82" i="1" a="1"/>
  <c r="L81" i="1" a="1"/>
  <c r="AG80" i="1" a="1"/>
  <c r="AF80" i="1" a="1"/>
  <c r="P80" i="1" a="1"/>
  <c r="G80" i="1" a="1"/>
  <c r="M80" i="1" a="1"/>
  <c r="I80" i="1" a="1"/>
  <c r="V80" i="1" a="1"/>
  <c r="H79" i="1" a="1"/>
  <c r="AI78" i="1" a="1"/>
  <c r="S79" i="1" a="1"/>
  <c r="O79" i="1" a="1"/>
  <c r="AA79" i="1" a="1"/>
  <c r="J78" i="1" a="1"/>
  <c r="T78" i="1" a="1"/>
  <c r="S78" i="1" a="1"/>
  <c r="AF77" i="1" a="1"/>
  <c r="AB78" i="1" a="1"/>
  <c r="O78" i="1" a="1"/>
  <c r="H77" i="1" a="1"/>
  <c r="K77" i="1" a="1"/>
  <c r="G77" i="1" a="1"/>
  <c r="AD76" i="1" a="1"/>
  <c r="AB77" i="1" a="1"/>
  <c r="K76" i="1" a="1"/>
  <c r="X76" i="1" a="1"/>
  <c r="T76" i="1" a="1"/>
  <c r="AE75" i="1" a="1"/>
  <c r="F76" i="1" a="1"/>
  <c r="M71" i="1" a="1"/>
  <c r="AH70" i="1" a="1"/>
  <c r="AF70" i="1" a="1"/>
  <c r="AE96" i="1" a="1"/>
  <c r="R95" i="1" a="1"/>
  <c r="Y89" i="1" a="1"/>
  <c r="AJ88" i="1" a="1"/>
  <c r="AI87" i="1" a="1"/>
  <c r="U88" i="1" a="1"/>
  <c r="AK86" i="1" a="1"/>
  <c r="AB87" i="1" a="1"/>
  <c r="Q86" i="1" a="1"/>
  <c r="J86" i="1" a="1"/>
  <c r="G86" i="1" a="1"/>
  <c r="W85" i="1" a="1"/>
  <c r="V85" i="1" a="1"/>
  <c r="U85" i="1" a="1"/>
  <c r="G82" i="1" a="1"/>
  <c r="Z82" i="1" a="1"/>
  <c r="AE81" i="1" a="1"/>
  <c r="AC81" i="1" a="1"/>
  <c r="F81" i="1" a="1"/>
  <c r="K100" i="1" a="1"/>
  <c r="M97" i="1" a="1"/>
  <c r="V94" i="1" a="1"/>
  <c r="P93" i="1" a="1"/>
  <c r="Q92" i="1" a="1"/>
  <c r="V90" i="1" a="1"/>
  <c r="AA89" i="1" a="1"/>
  <c r="F88" i="1" a="1"/>
  <c r="J88" i="1" a="1"/>
  <c r="AK85" i="1" a="1"/>
  <c r="AA86" i="1" a="1"/>
  <c r="S85" i="1" a="1"/>
  <c r="P85" i="1" a="1"/>
  <c r="Z85" i="1" a="1"/>
  <c r="U82" i="1" a="1"/>
  <c r="V82" i="1" a="1"/>
  <c r="AB82" i="1" a="1"/>
  <c r="K81" i="1" a="1"/>
  <c r="R81" i="1" a="1"/>
  <c r="AK80" i="1" a="1"/>
  <c r="AG79" i="1" a="1"/>
  <c r="AB80" i="1" a="1"/>
  <c r="AF79" i="1" a="1"/>
  <c r="AC80" i="1" a="1"/>
  <c r="L80" i="1" a="1"/>
  <c r="T79" i="1" a="1"/>
  <c r="P79" i="1" a="1"/>
  <c r="Z79" i="1" a="1"/>
  <c r="G79" i="1" a="1"/>
  <c r="X79" i="1" a="1"/>
  <c r="W78" i="1" a="1"/>
  <c r="Y78" i="1" a="1"/>
  <c r="Q78" i="1" a="1"/>
  <c r="I78" i="1" a="1"/>
  <c r="H78" i="1" a="1"/>
  <c r="K78" i="1" a="1"/>
  <c r="AF76" i="1" a="1"/>
  <c r="W77" i="1" a="1"/>
  <c r="Z44" i="1" a="1"/>
  <c r="M87" i="1" a="1"/>
  <c r="I81" i="1" a="1"/>
  <c r="H75" i="1" a="1"/>
  <c r="W73" i="1" a="1"/>
  <c r="O72" i="1" a="1"/>
  <c r="AI71" i="1" a="1"/>
  <c r="AJ65" i="1" a="1"/>
  <c r="Y65" i="1" a="1"/>
  <c r="R65" i="1" a="1"/>
  <c r="R64" i="1" a="1"/>
  <c r="J65" i="1" a="1"/>
  <c r="H65" i="1" a="1"/>
  <c r="H64" i="1" a="1"/>
  <c r="K64" i="1" a="1"/>
  <c r="T66" i="1" a="1"/>
  <c r="AD66" i="1" a="1"/>
  <c r="AK66" i="1" a="1"/>
  <c r="Z54" i="1" a="1"/>
  <c r="W54" i="1" a="1"/>
  <c r="J54" i="1" a="1"/>
  <c r="AB53" i="1" a="1"/>
  <c r="K53" i="1" a="1"/>
  <c r="G53" i="1" a="1"/>
  <c r="V52" i="1" a="1"/>
  <c r="Y52" i="1" a="1"/>
  <c r="AB52" i="1" a="1"/>
  <c r="P52" i="1" a="1"/>
  <c r="L52" i="1" a="1"/>
  <c r="J52" i="1" a="1"/>
  <c r="Z51" i="1" a="1"/>
  <c r="S51" i="1" a="1"/>
  <c r="Y51" i="1" a="1"/>
  <c r="G51" i="1" a="1"/>
  <c r="F51" i="1" a="1"/>
  <c r="AI50" i="1" a="1"/>
  <c r="AH50" i="1" a="1"/>
  <c r="V50" i="1" a="1"/>
  <c r="P50" i="1" a="1"/>
  <c r="N50" i="1" a="1"/>
  <c r="AJ49" i="1" a="1"/>
  <c r="AD49" i="1" a="1"/>
  <c r="AB55" i="1" a="1"/>
  <c r="X55" i="1" a="1"/>
  <c r="H56" i="1" a="1"/>
  <c r="S55" i="1" a="1"/>
  <c r="W55" i="1" a="1"/>
  <c r="AE54" i="1" a="1"/>
  <c r="N55" i="1" a="1"/>
  <c r="AD54" i="1" a="1"/>
  <c r="S74" i="1" a="1"/>
  <c r="K74" i="1" a="1"/>
  <c r="V75" i="1" a="1"/>
  <c r="AB72" i="1" a="1"/>
  <c r="AD72" i="1" a="1"/>
  <c r="W72" i="1" a="1"/>
  <c r="AJ72" i="1" a="1"/>
  <c r="L70" i="1" a="1"/>
  <c r="T87" i="1" a="1"/>
  <c r="Y77" i="1" a="1"/>
  <c r="H76" i="1" a="1"/>
  <c r="AI70" i="1" a="1"/>
  <c r="F75" i="1" a="1"/>
  <c r="Z65" i="1" a="1"/>
  <c r="AG65" i="1" a="1"/>
  <c r="AB64" i="1" a="1"/>
  <c r="AF64" i="1" a="1"/>
  <c r="S63" i="1" a="1"/>
  <c r="AC63" i="1" a="1"/>
  <c r="AA63" i="1" a="1"/>
  <c r="J67" i="1" a="1"/>
  <c r="AB66" i="1" a="1"/>
  <c r="T54" i="1" a="1"/>
  <c r="V54" i="1" a="1"/>
  <c r="K54" i="1" a="1"/>
  <c r="AB96" i="1" a="1"/>
  <c r="AH85" i="1" a="1"/>
  <c r="AD80" i="1" a="1"/>
  <c r="N76" i="1" a="1"/>
  <c r="R71" i="1" a="1"/>
  <c r="AK74" i="1" a="1"/>
  <c r="U73" i="1" a="1"/>
  <c r="N72" i="1" a="1"/>
  <c r="AH71" i="1" a="1"/>
  <c r="H66" i="1" a="1"/>
  <c r="G66" i="1" a="1"/>
  <c r="AD64" i="1" a="1"/>
  <c r="AJ64" i="1" a="1"/>
  <c r="AI64" i="1" a="1"/>
  <c r="AK63" i="1" a="1"/>
  <c r="V63" i="1" a="1"/>
  <c r="AJ66" i="1" a="1"/>
  <c r="P66" i="1" a="1"/>
  <c r="AF66" i="1" a="1"/>
  <c r="N54" i="1" a="1"/>
  <c r="AJ53" i="1" a="1"/>
  <c r="I54" i="1" a="1"/>
  <c r="AC53" i="1" a="1"/>
  <c r="AI53" i="1" a="1"/>
  <c r="I53" i="1" a="1"/>
  <c r="P53" i="1" a="1"/>
  <c r="AI52" i="1" a="1"/>
  <c r="W52" i="1" a="1"/>
  <c r="AJ52" i="1" a="1"/>
  <c r="N52" i="1" a="1"/>
  <c r="AK51" i="1" a="1"/>
  <c r="I52" i="1" a="1"/>
  <c r="U51" i="1" a="1"/>
  <c r="V51" i="1" a="1"/>
  <c r="X51" i="1" a="1"/>
  <c r="R51" i="1" a="1"/>
  <c r="P51" i="1" a="1"/>
  <c r="AA50" i="1" a="1"/>
  <c r="Z50" i="1" a="1"/>
  <c r="U50" i="1" a="1"/>
  <c r="I50" i="1" a="1"/>
  <c r="M50" i="1" a="1"/>
  <c r="AI49" i="1" a="1"/>
  <c r="AB49" i="1" a="1"/>
  <c r="AA55" i="1" a="1"/>
  <c r="J56" i="1" a="1"/>
  <c r="G56" i="1" a="1"/>
  <c r="Q55" i="1" a="1"/>
  <c r="Q95" i="1" a="1"/>
  <c r="U86" i="1" a="1"/>
  <c r="P76" i="1" a="1"/>
  <c r="V71" i="1" a="1"/>
  <c r="T73" i="1" a="1"/>
  <c r="M72" i="1" a="1"/>
  <c r="AG71" i="1" a="1"/>
  <c r="AF65" i="1" a="1"/>
  <c r="I66" i="1" a="1"/>
  <c r="W65" i="1" a="1"/>
  <c r="AE64" i="1" a="1"/>
  <c r="F65" i="1" a="1"/>
  <c r="AJ63" i="1" a="1"/>
  <c r="U63" i="1" a="1"/>
  <c r="AF63" i="1" a="1"/>
  <c r="Y66" i="1" a="1"/>
  <c r="L66" i="1" a="1"/>
  <c r="Z66" i="1" a="1"/>
  <c r="AH53" i="1" a="1"/>
  <c r="AE53" i="1" a="1"/>
  <c r="AJ85" i="1" a="1"/>
  <c r="AG75" i="1" a="1"/>
  <c r="S71" i="1" a="1"/>
  <c r="AI74" i="1" a="1"/>
  <c r="P73" i="1" a="1"/>
  <c r="K72" i="1" a="1"/>
  <c r="AE71" i="1" a="1"/>
  <c r="AB65" i="1" a="1"/>
  <c r="V65" i="1" a="1"/>
  <c r="T64" i="1" a="1"/>
  <c r="X64" i="1" a="1"/>
  <c r="AH64" i="1" a="1"/>
  <c r="R63" i="1" a="1"/>
  <c r="AH63" i="1" a="1"/>
  <c r="I64" i="1" a="1"/>
  <c r="AI66" i="1" a="1"/>
  <c r="Q66" i="1" a="1"/>
  <c r="U54" i="1" a="1"/>
  <c r="AF53" i="1" a="1"/>
  <c r="X53" i="1" a="1"/>
  <c r="H54" i="1" a="1"/>
  <c r="AD53" i="1" a="1"/>
  <c r="F53" i="1" a="1"/>
  <c r="R53" i="1" a="1"/>
  <c r="AD52" i="1" a="1"/>
  <c r="AA52" i="1" a="1"/>
  <c r="Z52" i="1" a="1"/>
  <c r="M52" i="1" a="1"/>
  <c r="AJ51" i="1" a="1"/>
  <c r="H52" i="1" a="1"/>
  <c r="AG51" i="1" a="1"/>
  <c r="AE51" i="1" a="1"/>
  <c r="N51" i="1" a="1"/>
  <c r="L51" i="1" a="1"/>
  <c r="J51" i="1" a="1"/>
  <c r="Y50" i="1" a="1"/>
  <c r="AK50" i="1" a="1"/>
  <c r="J50" i="1" a="1"/>
  <c r="K50" i="1" a="1"/>
  <c r="AK49" i="1" a="1"/>
  <c r="AH49" i="1" a="1"/>
  <c r="AA49" i="1" a="1"/>
  <c r="F56" i="1" a="1"/>
  <c r="AK55" i="1" a="1"/>
  <c r="AG55" i="1" a="1"/>
  <c r="P55" i="1" a="1"/>
  <c r="AB54" i="1" a="1"/>
  <c r="T85" i="1" a="1"/>
  <c r="AI75" i="1" a="1"/>
  <c r="L71" i="1" a="1"/>
  <c r="J73" i="1" a="1"/>
  <c r="S73" i="1" a="1"/>
  <c r="J72" i="1" a="1"/>
  <c r="AD71" i="1" a="1"/>
  <c r="Q65" i="1" a="1"/>
  <c r="T65" i="1" a="1"/>
  <c r="AH65" i="1" a="1"/>
  <c r="S64" i="1" a="1"/>
  <c r="W64" i="1" a="1"/>
  <c r="AA64" i="1" a="1"/>
  <c r="AB63" i="1" a="1"/>
  <c r="AG63" i="1" a="1"/>
  <c r="W66" i="1" a="1"/>
  <c r="I67" i="1" a="1"/>
  <c r="O66" i="1" a="1"/>
  <c r="S54" i="1" a="1"/>
  <c r="U71" i="1" a="1"/>
  <c r="L73" i="1" a="1"/>
  <c r="O73" i="1" a="1"/>
  <c r="I72" i="1" a="1"/>
  <c r="AC71" i="1" a="1"/>
  <c r="F66" i="1" a="1"/>
  <c r="AI65" i="1" a="1"/>
  <c r="AK65" i="1" a="1"/>
  <c r="I65" i="1" a="1"/>
  <c r="V64" i="1" a="1"/>
  <c r="Z63" i="1" a="1"/>
  <c r="Y63" i="1" a="1"/>
  <c r="T63" i="1" a="1"/>
  <c r="X66" i="1" a="1"/>
  <c r="U66" i="1" a="1"/>
  <c r="R54" i="1" a="1"/>
  <c r="AG53" i="1" a="1"/>
  <c r="Z53" i="1" a="1"/>
  <c r="G54" i="1" a="1"/>
  <c r="W53" i="1" a="1"/>
  <c r="J53" i="1" a="1"/>
  <c r="Q53" i="1" a="1"/>
  <c r="AG52" i="1" a="1"/>
  <c r="AF52" i="1" a="1"/>
  <c r="T52" i="1" a="1"/>
  <c r="Q52" i="1" a="1"/>
  <c r="AI51" i="1" a="1"/>
  <c r="G52" i="1" a="1"/>
  <c r="AF51" i="1" a="1"/>
  <c r="AC51" i="1" a="1"/>
  <c r="K51" i="1" a="1"/>
  <c r="I51" i="1" a="1"/>
  <c r="AC50" i="1" a="1"/>
  <c r="AB50" i="1" a="1"/>
  <c r="AF50" i="1" a="1"/>
  <c r="T50" i="1" a="1"/>
  <c r="R50" i="1" a="1"/>
  <c r="H50" i="1" a="1"/>
  <c r="AG49" i="1" a="1"/>
  <c r="AC49" i="1" a="1"/>
  <c r="K56" i="1" a="1"/>
  <c r="AE55" i="1" a="1"/>
  <c r="AI55" i="1" a="1"/>
  <c r="U55" i="1" a="1"/>
  <c r="G85" i="1" a="1"/>
  <c r="AB76" i="1" a="1"/>
  <c r="AJ70" i="1" a="1"/>
  <c r="P71" i="1" a="1"/>
  <c r="I73" i="1" a="1"/>
  <c r="AD65" i="1" a="1"/>
  <c r="AC65" i="1" a="1"/>
  <c r="Z64" i="1" a="1"/>
  <c r="AK64" i="1" a="1"/>
  <c r="O64" i="1" a="1"/>
  <c r="X63" i="1" a="1"/>
  <c r="AD63" i="1" a="1"/>
  <c r="G67" i="1" a="1"/>
  <c r="H67" i="1" a="1"/>
  <c r="K66" i="1" a="1"/>
  <c r="Q54" i="1" a="1"/>
  <c r="V53" i="1" a="1"/>
  <c r="U89" i="1" a="1"/>
  <c r="Q82" i="1" a="1"/>
  <c r="Q77" i="1" a="1"/>
  <c r="O71" i="1" a="1"/>
  <c r="AK72" i="1" a="1"/>
  <c r="N73" i="1" a="1"/>
  <c r="H72" i="1" a="1"/>
  <c r="Y71" i="1" a="1"/>
  <c r="N65" i="1" a="1"/>
  <c r="U65" i="1" a="1"/>
  <c r="G65" i="1" a="1"/>
  <c r="AC64" i="1" a="1"/>
  <c r="AI63" i="1" a="1"/>
  <c r="G64" i="1" a="1"/>
  <c r="W63" i="1" a="1"/>
  <c r="F67" i="1" a="1"/>
  <c r="AA66" i="1" a="1"/>
  <c r="AC66" i="1" a="1"/>
  <c r="O54" i="1" a="1"/>
  <c r="AK53" i="1" a="1"/>
  <c r="H88" i="1" a="1"/>
  <c r="O82" i="1" a="1"/>
  <c r="J76" i="1" a="1"/>
  <c r="I71" i="1" a="1"/>
  <c r="F73" i="1" a="1"/>
  <c r="Q72" i="1" a="1"/>
  <c r="AK71" i="1" a="1"/>
  <c r="Z71" i="1" a="1"/>
  <c r="P65" i="1" a="1"/>
  <c r="AA65" i="1" a="1"/>
  <c r="U64" i="1" a="1"/>
  <c r="AG64" i="1" a="1"/>
  <c r="Y64" i="1" a="1"/>
  <c r="F64" i="1" a="1"/>
  <c r="N64" i="1" a="1"/>
  <c r="V66" i="1" a="1"/>
  <c r="AE66" i="1" a="1"/>
  <c r="S66" i="1" a="1"/>
  <c r="Y54" i="1" a="1"/>
  <c r="S53" i="1" a="1"/>
  <c r="L54" i="1" a="1"/>
  <c r="AA53" i="1" a="1"/>
  <c r="L53" i="1" a="1"/>
  <c r="H53" i="1" a="1"/>
  <c r="M53" i="1" a="1"/>
  <c r="X52" i="1" a="1"/>
  <c r="AE52" i="1" a="1"/>
  <c r="R52" i="1" a="1"/>
  <c r="U52" i="1" a="1"/>
  <c r="K52" i="1" a="1"/>
  <c r="W51" i="1" a="1"/>
  <c r="T51" i="1" a="1"/>
  <c r="AA51" i="1" a="1"/>
  <c r="M51" i="1" a="1"/>
  <c r="Q51" i="1" a="1"/>
  <c r="AJ50" i="1" a="1"/>
  <c r="X50" i="1" a="1"/>
  <c r="Y88" i="1" a="1"/>
  <c r="X81" i="1" a="1"/>
  <c r="T77" i="1" a="1"/>
  <c r="S76" i="1" a="1"/>
  <c r="G71" i="1" a="1"/>
  <c r="G75" i="1" a="1"/>
  <c r="V73" i="1" a="1"/>
  <c r="P72" i="1" a="1"/>
  <c r="AJ71" i="1" a="1"/>
  <c r="X71" i="1" a="1"/>
  <c r="J66" i="1" a="1"/>
  <c r="S65" i="1" a="1"/>
  <c r="K65" i="1" a="1"/>
  <c r="Q64" i="1" a="1"/>
  <c r="J64" i="1" a="1"/>
  <c r="AE63" i="1" a="1"/>
  <c r="L64" i="1" a="1"/>
  <c r="M66" i="1" a="1"/>
  <c r="AH66" i="1" a="1"/>
  <c r="X54" i="1" a="1"/>
  <c r="M54" i="1" a="1"/>
  <c r="T53" i="1" a="1"/>
  <c r="AH88" i="1" a="1"/>
  <c r="O65" i="1" a="1"/>
  <c r="Y53" i="1" a="1"/>
  <c r="AD51" i="1" a="1"/>
  <c r="G50" i="1" a="1"/>
  <c r="T55" i="1" a="1"/>
  <c r="J55" i="1" a="1"/>
  <c r="M74" i="1" a="1"/>
  <c r="AG72" i="1" a="1"/>
  <c r="R72" i="1" a="1"/>
  <c r="G70" i="1" a="1"/>
  <c r="Z70" i="1" a="1"/>
  <c r="AH73" i="1" a="1"/>
  <c r="AK73" i="1" a="1"/>
  <c r="X68" i="1" a="1"/>
  <c r="AE69" i="1" a="1"/>
  <c r="V69" i="1" a="1"/>
  <c r="O75" i="1" a="1"/>
  <c r="K67" i="1" a="1"/>
  <c r="U68" i="1" a="1"/>
  <c r="I68" i="1" a="1"/>
  <c r="H57" i="1" a="1"/>
  <c r="S57" i="1" a="1"/>
  <c r="W56" i="1" a="1"/>
  <c r="V56" i="1" a="1"/>
  <c r="R56" i="1" a="1"/>
  <c r="G63" i="1" a="1"/>
  <c r="P63" i="1" a="1"/>
  <c r="V62" i="1" a="1"/>
  <c r="T62" i="1" a="1"/>
  <c r="AA62" i="1" a="1"/>
  <c r="AH62" i="1" a="1"/>
  <c r="G62" i="1" a="1"/>
  <c r="AA58" i="1" a="1"/>
  <c r="AH58" i="1" a="1"/>
  <c r="X58" i="1" a="1"/>
  <c r="Q58" i="1" a="1"/>
  <c r="K58" i="1" a="1"/>
  <c r="Z57" i="1" a="1"/>
  <c r="T58" i="1" a="1"/>
  <c r="AJ57" i="1" a="1"/>
  <c r="R74" i="1" a="1"/>
  <c r="AC75" i="1" a="1"/>
  <c r="Q56" i="1" a="1"/>
  <c r="Y58" i="1" a="1"/>
  <c r="AA69" i="1" a="1"/>
  <c r="Z56" i="1" a="1"/>
  <c r="AD58" i="1" a="1"/>
  <c r="M82" i="1" a="1"/>
  <c r="M65" i="1" a="1"/>
  <c r="U53" i="1" a="1"/>
  <c r="AB51" i="1" a="1"/>
  <c r="F50" i="1" a="1"/>
  <c r="R55" i="1" a="1"/>
  <c r="I55" i="1" a="1"/>
  <c r="N74" i="1" a="1"/>
  <c r="Z72" i="1" a="1"/>
  <c r="AI72" i="1" a="1"/>
  <c r="AH69" i="1" a="1"/>
  <c r="T70" i="1" a="1"/>
  <c r="AG73" i="1" a="1"/>
  <c r="F74" i="1" a="1"/>
  <c r="AJ68" i="1" a="1"/>
  <c r="Y69" i="1" a="1"/>
  <c r="K69" i="1" a="1"/>
  <c r="N75" i="1" a="1"/>
  <c r="AA67" i="1" a="1"/>
  <c r="W68" i="1" a="1"/>
  <c r="N68" i="1" a="1"/>
  <c r="Y75" i="1" a="1"/>
  <c r="AI56" i="1" a="1"/>
  <c r="Q57" i="1" a="1"/>
  <c r="AF56" i="1" a="1"/>
  <c r="J62" i="1" a="1"/>
  <c r="W58" i="1" a="1"/>
  <c r="AF58" i="1" a="1"/>
  <c r="AI57" i="1" a="1"/>
  <c r="R58" i="1" a="1"/>
  <c r="G1" i="1"/>
  <c r="V70" i="1" a="1"/>
  <c r="M68" i="1" a="1"/>
  <c r="AK62" i="1" a="1"/>
  <c r="W57" i="1" a="1"/>
  <c r="M69" i="1" a="1"/>
  <c r="M63" i="1" a="1"/>
  <c r="V58" i="1" a="1"/>
  <c r="L65" i="1" a="1"/>
  <c r="F54" i="1" a="1"/>
  <c r="O51" i="1" a="1"/>
  <c r="AF49" i="1" a="1"/>
  <c r="V55" i="1" a="1"/>
  <c r="G55" i="1" a="1"/>
  <c r="L74" i="1" a="1"/>
  <c r="AF72" i="1" a="1"/>
  <c r="AH72" i="1" a="1"/>
  <c r="AF69" i="1" a="1"/>
  <c r="AB70" i="1" a="1"/>
  <c r="AE73" i="1" a="1"/>
  <c r="J69" i="1" a="1"/>
  <c r="AK68" i="1" a="1"/>
  <c r="AD69" i="1" a="1"/>
  <c r="T69" i="1" a="1"/>
  <c r="K75" i="1" a="1"/>
  <c r="X67" i="1" a="1"/>
  <c r="S68" i="1" a="1"/>
  <c r="G68" i="1" a="1"/>
  <c r="W75" i="1" a="1"/>
  <c r="N57" i="1" a="1"/>
  <c r="AE56" i="1" a="1"/>
  <c r="T56" i="1" a="1"/>
  <c r="O56" i="1" a="1"/>
  <c r="K63" i="1" a="1"/>
  <c r="O63" i="1" a="1"/>
  <c r="S62" i="1" a="1"/>
  <c r="AB62" i="1" a="1"/>
  <c r="Z62" i="1" a="1"/>
  <c r="AG62" i="1" a="1"/>
  <c r="AE58" i="1" a="1"/>
  <c r="P58" i="1" a="1"/>
  <c r="J58" i="1" a="1"/>
  <c r="I58" i="1" a="1"/>
  <c r="N66" i="1" a="1"/>
  <c r="AG68" i="1" a="1"/>
  <c r="P56" i="1" a="1"/>
  <c r="O62" i="1" a="1"/>
  <c r="V72" i="1" a="1"/>
  <c r="J57" i="1" a="1"/>
  <c r="AE62" i="1" a="1"/>
  <c r="O53" i="1" a="1"/>
  <c r="H51" i="1" a="1"/>
  <c r="AE49" i="1" a="1"/>
  <c r="M55" i="1" a="1"/>
  <c r="AF54" i="1" a="1"/>
  <c r="J74" i="1" a="1"/>
  <c r="AE72" i="1" a="1"/>
  <c r="M70" i="1" a="1"/>
  <c r="H70" i="1" a="1"/>
  <c r="Y70" i="1" a="1"/>
  <c r="AA73" i="1" a="1"/>
  <c r="F69" i="1" a="1"/>
  <c r="AI68" i="1" a="1"/>
  <c r="AC69" i="1" a="1"/>
  <c r="Q69" i="1" a="1"/>
  <c r="R67" i="1" a="1"/>
  <c r="T67" i="1" a="1"/>
  <c r="R68" i="1" a="1"/>
  <c r="AJ67" i="1" a="1"/>
  <c r="Z75" i="1" a="1"/>
  <c r="F57" i="1" a="1"/>
  <c r="AH56" i="1" a="1"/>
  <c r="X56" i="1" a="1"/>
  <c r="AG58" i="1" a="1"/>
  <c r="U58" i="1" a="1"/>
  <c r="AE57" i="1" a="1"/>
  <c r="O58" i="1" a="1"/>
  <c r="W62" i="1" a="1"/>
  <c r="N58" i="1" a="1"/>
  <c r="U75" i="1" a="1"/>
  <c r="L57" i="1" a="1"/>
  <c r="AK58" i="1" a="1"/>
  <c r="L67" i="1" a="1"/>
  <c r="H62" i="1" a="1"/>
  <c r="H58" i="1" a="1"/>
  <c r="G76" i="1" a="1"/>
  <c r="M64" i="1" a="1"/>
  <c r="AK52" i="1" a="1"/>
  <c r="AE50" i="1" a="1"/>
  <c r="Y55" i="1" a="1"/>
  <c r="L55" i="1" a="1"/>
  <c r="AJ54" i="1" a="1"/>
  <c r="V74" i="1" a="1"/>
  <c r="AA72" i="1" a="1"/>
  <c r="O70" i="1" a="1"/>
  <c r="AK69" i="1" a="1"/>
  <c r="X70" i="1" a="1"/>
  <c r="Z73" i="1" a="1"/>
  <c r="I69" i="1" a="1"/>
  <c r="Y68" i="1" a="1"/>
  <c r="R69" i="1" a="1"/>
  <c r="S69" i="1" a="1"/>
  <c r="AB67" i="1" a="1"/>
  <c r="Z67" i="1" a="1"/>
  <c r="O68" i="1" a="1"/>
  <c r="AI67" i="1" a="1"/>
  <c r="X75" i="1" a="1"/>
  <c r="G57" i="1" a="1"/>
  <c r="M56" i="1" a="1"/>
  <c r="L56" i="1" a="1"/>
  <c r="J63" i="1" a="1"/>
  <c r="L63" i="1" a="1"/>
  <c r="F62" i="1" a="1"/>
  <c r="M62" i="1" a="1"/>
  <c r="Y62" i="1" a="1"/>
  <c r="R62" i="1" a="1"/>
  <c r="AC62" i="1" a="1"/>
  <c r="AB58" i="1" a="1"/>
  <c r="AF57" i="1" a="1"/>
  <c r="AK57" i="1" a="1"/>
  <c r="AD57" i="1" a="1"/>
  <c r="X57" i="1" a="1"/>
  <c r="O55" i="1" a="1"/>
  <c r="M67" i="1" a="1"/>
  <c r="F63" i="1" a="1"/>
  <c r="AC57" i="1" a="1"/>
  <c r="AD68" i="1" a="1"/>
  <c r="S56" i="1" a="1"/>
  <c r="AJ58" i="1" a="1"/>
  <c r="AE70" i="1" a="1"/>
  <c r="Q63" i="1" a="1"/>
  <c r="N53" i="1" a="1"/>
  <c r="AG50" i="1" a="1"/>
  <c r="AC55" i="1" a="1"/>
  <c r="AK54" i="1" a="1"/>
  <c r="AI54" i="1" a="1"/>
  <c r="U74" i="1" a="1"/>
  <c r="AC72" i="1" a="1"/>
  <c r="N70" i="1" a="1"/>
  <c r="AJ69" i="1" a="1"/>
  <c r="W70" i="1" a="1"/>
  <c r="Y73" i="1" a="1"/>
  <c r="H69" i="1" a="1"/>
  <c r="AA68" i="1" a="1"/>
  <c r="P69" i="1" a="1"/>
  <c r="L69" i="1" a="1"/>
  <c r="O67" i="1" a="1"/>
  <c r="Y67" i="1" a="1"/>
  <c r="AG67" i="1" a="1"/>
  <c r="AF67" i="1" a="1"/>
  <c r="K57" i="1" a="1"/>
  <c r="V57" i="1" a="1"/>
  <c r="R57" i="1" a="1"/>
  <c r="Y56" i="1" a="1"/>
  <c r="AF62" i="1" a="1"/>
  <c r="X62" i="1" a="1"/>
  <c r="AI58" i="1" a="1"/>
  <c r="G58" i="1" a="1"/>
  <c r="X72" i="1" a="1"/>
  <c r="W69" i="1" a="1"/>
  <c r="AG56" i="1" a="1"/>
  <c r="Q62" i="1" a="1"/>
  <c r="AH57" i="1" a="1"/>
  <c r="H74" i="1" a="1"/>
  <c r="J68" i="1" a="1"/>
  <c r="U62" i="1" a="1"/>
  <c r="AG57" i="1" a="1"/>
  <c r="N71" i="1" a="1"/>
  <c r="P64" i="1" a="1"/>
  <c r="AC52" i="1" a="1"/>
  <c r="AD50" i="1" a="1"/>
  <c r="AF55" i="1" a="1"/>
  <c r="H55" i="1" a="1"/>
  <c r="AH54" i="1" a="1"/>
  <c r="T74" i="1" a="1"/>
  <c r="Y72" i="1" a="1"/>
  <c r="I70" i="1" a="1"/>
  <c r="P70" i="1" a="1"/>
  <c r="U70" i="1" a="1"/>
  <c r="AC73" i="1" a="1"/>
  <c r="G69" i="1" a="1"/>
  <c r="AB68" i="1" a="1"/>
  <c r="O69" i="1" a="1"/>
  <c r="AA75" i="1" a="1"/>
  <c r="Q67" i="1" a="1"/>
  <c r="W67" i="1" a="1"/>
  <c r="L68" i="1" a="1"/>
  <c r="AH67" i="1" a="1"/>
  <c r="AJ56" i="1" a="1"/>
  <c r="U57" i="1" a="1"/>
  <c r="AD56" i="1" a="1"/>
  <c r="AA56" i="1" a="1"/>
  <c r="U56" i="1" a="1"/>
  <c r="N63" i="1" a="1"/>
  <c r="AJ62" i="1" a="1"/>
  <c r="I63" i="1" a="1"/>
  <c r="K62" i="1" a="1"/>
  <c r="I62" i="1" a="1"/>
  <c r="AC58" i="1" a="1"/>
  <c r="L50" i="1" a="1"/>
  <c r="P67" i="1" a="1"/>
  <c r="AD62" i="1" a="1"/>
  <c r="Y57" i="1" a="1"/>
  <c r="M75" i="1" a="1"/>
  <c r="N56" i="1" a="1"/>
  <c r="S58" i="1" a="1"/>
  <c r="R66" i="1" a="1"/>
  <c r="AH52" i="1" a="1"/>
  <c r="W50" i="1" a="1"/>
  <c r="Z55" i="1" a="1"/>
  <c r="F55" i="1" a="1"/>
  <c r="AC54" i="1" a="1"/>
  <c r="T75" i="1" a="1"/>
  <c r="T72" i="1" a="1"/>
  <c r="K70" i="1" a="1"/>
  <c r="Q70" i="1" a="1"/>
  <c r="R70" i="1" a="1"/>
  <c r="AB73" i="1" a="1"/>
  <c r="AH68" i="1" a="1"/>
  <c r="AC68" i="1" a="1"/>
  <c r="X69" i="1" a="1"/>
  <c r="AB75" i="1" a="1"/>
  <c r="N67" i="1" a="1"/>
  <c r="U67" i="1" a="1"/>
  <c r="H68" i="1" a="1"/>
  <c r="F68" i="1" a="1"/>
  <c r="M57" i="1" a="1"/>
  <c r="AC56" i="1" a="1"/>
  <c r="Q73" i="1" a="1"/>
  <c r="S52" i="1" a="1"/>
  <c r="J70" i="1" a="1"/>
  <c r="AJ73" i="1" a="1"/>
  <c r="AF68" i="1" a="1"/>
  <c r="P68" i="1" a="1"/>
  <c r="AI62" i="1" a="1"/>
  <c r="Z58" i="1" a="1"/>
  <c r="F70" i="1" a="1"/>
  <c r="P57" i="1" a="1"/>
  <c r="P62" i="1" a="1"/>
  <c r="G72" i="1" a="1"/>
  <c r="AG66" i="1" a="1"/>
  <c r="O52" i="1" a="1"/>
  <c r="S50" i="1" a="1"/>
  <c r="I56" i="1" a="1"/>
  <c r="AG54" i="1" a="1"/>
  <c r="Q74" i="1" a="1"/>
  <c r="S75" i="1" a="1"/>
  <c r="S72" i="1" a="1"/>
  <c r="AI69" i="1" a="1"/>
  <c r="S70" i="1" a="1"/>
  <c r="AF73" i="1" a="1"/>
  <c r="I74" i="1" a="1"/>
  <c r="AE68" i="1" a="1"/>
  <c r="AB69" i="1" a="1"/>
  <c r="U69" i="1" a="1"/>
  <c r="L75" i="1" a="1"/>
  <c r="S67" i="1" a="1"/>
  <c r="Q68" i="1" a="1"/>
  <c r="AK67" i="1" a="1"/>
  <c r="AD67" i="1" a="1"/>
  <c r="AK56" i="1" a="1"/>
  <c r="AB56" i="1" a="1"/>
  <c r="AB71" i="1" a="1"/>
  <c r="AH51" i="1" a="1"/>
  <c r="Q50" i="1" a="1"/>
  <c r="AH55" i="1" a="1"/>
  <c r="AA54" i="1" a="1"/>
  <c r="P74" i="1" a="1"/>
  <c r="R75" i="1" a="1"/>
  <c r="AC70" i="1" a="1"/>
  <c r="V68" i="1" a="1"/>
  <c r="H63" i="1" a="1"/>
  <c r="L58" i="1" a="1"/>
  <c r="X65" i="1" a="1"/>
  <c r="P54" i="1" a="1"/>
  <c r="F52" i="1" a="1"/>
  <c r="O50" i="1" a="1"/>
  <c r="AJ55" i="1" a="1"/>
  <c r="K55" i="1" a="1"/>
  <c r="O74" i="1" a="1"/>
  <c r="Q75" i="1" a="1"/>
  <c r="U72" i="1" a="1"/>
  <c r="AG69" i="1" a="1"/>
  <c r="AA70" i="1" a="1"/>
  <c r="AI73" i="1" a="1"/>
  <c r="G74" i="1" a="1"/>
  <c r="Z68" i="1" a="1"/>
  <c r="Z69" i="1" a="1"/>
  <c r="N69" i="1" a="1"/>
  <c r="P75" i="1" a="1"/>
  <c r="V67" i="1" a="1"/>
  <c r="T68" i="1" a="1"/>
  <c r="K68" i="1" a="1"/>
  <c r="AE67" i="1" a="1"/>
  <c r="O57" i="1" a="1"/>
  <c r="T57" i="1" a="1"/>
  <c r="M58" i="1" a="1"/>
  <c r="F58" i="1" a="1"/>
  <c r="AD55" i="1" a="1"/>
  <c r="X73" i="1" a="1"/>
  <c r="I57" i="1" a="1"/>
  <c r="N62" i="1" a="1"/>
  <c r="AA57" i="1" a="1"/>
  <c r="AD73" i="1" a="1"/>
  <c r="AC67" i="1" a="1"/>
  <c r="L62" i="1" a="1"/>
  <c r="AB57" i="1" a="1"/>
  <c r="AB57" i="1" l="1"/>
  <c r="L62" i="1"/>
  <c r="AC67" i="1"/>
  <c r="AD73" i="1"/>
  <c r="AA57" i="1"/>
  <c r="N62" i="1"/>
  <c r="I57" i="1"/>
  <c r="X73" i="1"/>
  <c r="AD55" i="1"/>
  <c r="F58" i="1"/>
  <c r="M58" i="1"/>
  <c r="T57" i="1"/>
  <c r="O57" i="1"/>
  <c r="AE67" i="1"/>
  <c r="K68" i="1"/>
  <c r="T68" i="1"/>
  <c r="V67" i="1"/>
  <c r="P75" i="1"/>
  <c r="N69" i="1"/>
  <c r="Z69" i="1"/>
  <c r="Z68" i="1"/>
  <c r="G74" i="1"/>
  <c r="AI73" i="1"/>
  <c r="AA70" i="1"/>
  <c r="AG69" i="1"/>
  <c r="U72" i="1"/>
  <c r="Q75" i="1"/>
  <c r="O74" i="1"/>
  <c r="K55" i="1"/>
  <c r="AJ55" i="1"/>
  <c r="O50" i="1"/>
  <c r="F52" i="1"/>
  <c r="P54" i="1"/>
  <c r="X65" i="1"/>
  <c r="L58" i="1"/>
  <c r="H63" i="1"/>
  <c r="V68" i="1"/>
  <c r="AC70" i="1"/>
  <c r="R75" i="1"/>
  <c r="P74" i="1"/>
  <c r="AA54" i="1"/>
  <c r="AH55" i="1"/>
  <c r="Q50" i="1"/>
  <c r="AH51" i="1"/>
  <c r="AB71" i="1"/>
  <c r="AB56" i="1"/>
  <c r="AK56" i="1"/>
  <c r="AD67" i="1"/>
  <c r="AK67" i="1"/>
  <c r="Q68" i="1"/>
  <c r="S67" i="1"/>
  <c r="L75" i="1"/>
  <c r="U69" i="1"/>
  <c r="AB69" i="1"/>
  <c r="AE68" i="1"/>
  <c r="I74" i="1"/>
  <c r="AF73" i="1"/>
  <c r="S70" i="1"/>
  <c r="AI69" i="1"/>
  <c r="S72" i="1"/>
  <c r="S75" i="1"/>
  <c r="Q74" i="1"/>
  <c r="AG54" i="1"/>
  <c r="I56" i="1"/>
  <c r="S50" i="1"/>
  <c r="O52" i="1"/>
  <c r="AG66" i="1"/>
  <c r="G72" i="1"/>
  <c r="P62" i="1"/>
  <c r="P57" i="1"/>
  <c r="F70" i="1"/>
  <c r="Z58" i="1"/>
  <c r="AI62" i="1"/>
  <c r="P68" i="1"/>
  <c r="AF68" i="1"/>
  <c r="AJ73" i="1"/>
  <c r="J70" i="1"/>
  <c r="S52" i="1"/>
  <c r="Q73" i="1"/>
  <c r="AC56" i="1"/>
  <c r="M57" i="1"/>
  <c r="F68" i="1"/>
  <c r="H68" i="1"/>
  <c r="U67" i="1"/>
  <c r="N67" i="1"/>
  <c r="AB75" i="1"/>
  <c r="X69" i="1"/>
  <c r="AC68" i="1"/>
  <c r="AH68" i="1"/>
  <c r="AB73" i="1"/>
  <c r="R70" i="1"/>
  <c r="Q70" i="1"/>
  <c r="K70" i="1"/>
  <c r="T72" i="1"/>
  <c r="T75" i="1"/>
  <c r="AC54" i="1"/>
  <c r="F55" i="1"/>
  <c r="Z55" i="1"/>
  <c r="W50" i="1"/>
  <c r="AH52" i="1"/>
  <c r="R66" i="1"/>
  <c r="S58" i="1"/>
  <c r="N56" i="1"/>
  <c r="M75" i="1"/>
  <c r="Y57" i="1"/>
  <c r="AD62" i="1"/>
  <c r="P67" i="1"/>
  <c r="L50" i="1"/>
  <c r="AC58" i="1"/>
  <c r="I62" i="1"/>
  <c r="K62" i="1"/>
  <c r="I63" i="1"/>
  <c r="AJ62" i="1"/>
  <c r="N63" i="1"/>
  <c r="U56" i="1"/>
  <c r="AA56" i="1"/>
  <c r="AD56" i="1"/>
  <c r="U57" i="1"/>
  <c r="AJ56" i="1"/>
  <c r="AH67" i="1"/>
  <c r="L68" i="1"/>
  <c r="W67" i="1"/>
  <c r="Q67" i="1"/>
  <c r="AA75" i="1"/>
  <c r="O69" i="1"/>
  <c r="AB68" i="1"/>
  <c r="G69" i="1"/>
  <c r="AC73" i="1"/>
  <c r="U70" i="1"/>
  <c r="P70" i="1"/>
  <c r="I70" i="1"/>
  <c r="Y72" i="1"/>
  <c r="T74" i="1"/>
  <c r="AH54" i="1"/>
  <c r="H55" i="1"/>
  <c r="AF55" i="1"/>
  <c r="AD50" i="1"/>
  <c r="AC52" i="1"/>
  <c r="P64" i="1"/>
  <c r="N71" i="1"/>
  <c r="AG57" i="1"/>
  <c r="U62" i="1"/>
  <c r="J68" i="1"/>
  <c r="H74" i="1"/>
  <c r="AH57" i="1"/>
  <c r="Q62" i="1"/>
  <c r="AG56" i="1"/>
  <c r="W69" i="1"/>
  <c r="X72" i="1"/>
  <c r="G58" i="1"/>
  <c r="AI58" i="1"/>
  <c r="X62" i="1"/>
  <c r="AF62" i="1"/>
  <c r="Y56" i="1"/>
  <c r="R57" i="1"/>
  <c r="V57" i="1"/>
  <c r="K57" i="1"/>
  <c r="AF67" i="1"/>
  <c r="AG67" i="1"/>
  <c r="Y67" i="1"/>
  <c r="O67" i="1"/>
  <c r="L69" i="1"/>
  <c r="P69" i="1"/>
  <c r="AA68" i="1"/>
  <c r="H69" i="1"/>
  <c r="Y73" i="1"/>
  <c r="W70" i="1"/>
  <c r="AJ69" i="1"/>
  <c r="N70" i="1"/>
  <c r="AC72" i="1"/>
  <c r="U74" i="1"/>
  <c r="AI54" i="1"/>
  <c r="AK54" i="1"/>
  <c r="AC55" i="1"/>
  <c r="AG50" i="1"/>
  <c r="N53" i="1"/>
  <c r="Q63" i="1"/>
  <c r="AE70" i="1"/>
  <c r="AJ58" i="1"/>
  <c r="S56" i="1"/>
  <c r="AD68" i="1"/>
  <c r="AC57" i="1"/>
  <c r="F63" i="1"/>
  <c r="M67" i="1"/>
  <c r="O55" i="1"/>
  <c r="X57" i="1"/>
  <c r="AD57" i="1"/>
  <c r="AK57" i="1"/>
  <c r="AF57" i="1"/>
  <c r="AB58" i="1"/>
  <c r="AC62" i="1"/>
  <c r="R62" i="1"/>
  <c r="Y62" i="1"/>
  <c r="M62" i="1"/>
  <c r="F62" i="1"/>
  <c r="L63" i="1"/>
  <c r="J63" i="1"/>
  <c r="L56" i="1"/>
  <c r="M56" i="1"/>
  <c r="G57" i="1"/>
  <c r="X75" i="1"/>
  <c r="AI67" i="1"/>
  <c r="O68" i="1"/>
  <c r="Z67" i="1"/>
  <c r="AB67" i="1"/>
  <c r="S69" i="1"/>
  <c r="R69" i="1"/>
  <c r="Y68" i="1"/>
  <c r="I69" i="1"/>
  <c r="Z73" i="1"/>
  <c r="X70" i="1"/>
  <c r="AK69" i="1"/>
  <c r="O70" i="1"/>
  <c r="AA72" i="1"/>
  <c r="V74" i="1"/>
  <c r="AJ54" i="1"/>
  <c r="L55" i="1"/>
  <c r="Y55" i="1"/>
  <c r="AE50" i="1"/>
  <c r="AK52" i="1"/>
  <c r="M64" i="1"/>
  <c r="G76" i="1"/>
  <c r="H58" i="1"/>
  <c r="H62" i="1"/>
  <c r="L67" i="1"/>
  <c r="AK58" i="1"/>
  <c r="L57" i="1"/>
  <c r="U75" i="1"/>
  <c r="N58" i="1"/>
  <c r="W62" i="1"/>
  <c r="O58" i="1"/>
  <c r="AE57" i="1"/>
  <c r="U58" i="1"/>
  <c r="AG58" i="1"/>
  <c r="X56" i="1"/>
  <c r="AH56" i="1"/>
  <c r="F57" i="1"/>
  <c r="Z75" i="1"/>
  <c r="AJ67" i="1"/>
  <c r="R68" i="1"/>
  <c r="T67" i="1"/>
  <c r="R67" i="1"/>
  <c r="Q69" i="1"/>
  <c r="AC69" i="1"/>
  <c r="AI68" i="1"/>
  <c r="F69" i="1"/>
  <c r="AA73" i="1"/>
  <c r="Y70" i="1"/>
  <c r="H70" i="1"/>
  <c r="M70" i="1"/>
  <c r="AE72" i="1"/>
  <c r="J74" i="1"/>
  <c r="AF54" i="1"/>
  <c r="M55" i="1"/>
  <c r="AE49" i="1"/>
  <c r="H51" i="1"/>
  <c r="O53" i="1"/>
  <c r="AE62" i="1"/>
  <c r="J57" i="1"/>
  <c r="V72" i="1"/>
  <c r="O62" i="1"/>
  <c r="P56" i="1"/>
  <c r="AG68" i="1"/>
  <c r="N66" i="1"/>
  <c r="I58" i="1"/>
  <c r="J58" i="1"/>
  <c r="P58" i="1"/>
  <c r="AE58" i="1"/>
  <c r="AG62" i="1"/>
  <c r="Z62" i="1"/>
  <c r="AB62" i="1"/>
  <c r="S62" i="1"/>
  <c r="O63" i="1"/>
  <c r="K63" i="1"/>
  <c r="O56" i="1"/>
  <c r="T56" i="1"/>
  <c r="AE56" i="1"/>
  <c r="N57" i="1"/>
  <c r="W75" i="1"/>
  <c r="G68" i="1"/>
  <c r="S68" i="1"/>
  <c r="X67" i="1"/>
  <c r="K75" i="1"/>
  <c r="T69" i="1"/>
  <c r="AD69" i="1"/>
  <c r="AK68" i="1"/>
  <c r="J69" i="1"/>
  <c r="AE73" i="1"/>
  <c r="AB70" i="1"/>
  <c r="AF69" i="1"/>
  <c r="AH72" i="1"/>
  <c r="AF72" i="1"/>
  <c r="L74" i="1"/>
  <c r="G55" i="1"/>
  <c r="V55" i="1"/>
  <c r="AF49" i="1"/>
  <c r="O51" i="1"/>
  <c r="F54" i="1"/>
  <c r="L65" i="1"/>
  <c r="V58" i="1"/>
  <c r="M63" i="1"/>
  <c r="M69" i="1"/>
  <c r="W57" i="1"/>
  <c r="AK62" i="1"/>
  <c r="M68" i="1"/>
  <c r="V70" i="1"/>
  <c r="R58" i="1"/>
  <c r="AI57" i="1"/>
  <c r="AF58" i="1"/>
  <c r="W58" i="1"/>
  <c r="J62" i="1"/>
  <c r="AF56" i="1"/>
  <c r="Q57" i="1"/>
  <c r="AI56" i="1"/>
  <c r="Y75" i="1"/>
  <c r="N68" i="1"/>
  <c r="W68" i="1"/>
  <c r="AA67" i="1"/>
  <c r="N75" i="1"/>
  <c r="K69" i="1"/>
  <c r="Y69" i="1"/>
  <c r="AJ68" i="1"/>
  <c r="F74" i="1"/>
  <c r="AG73" i="1"/>
  <c r="T70" i="1"/>
  <c r="AH69" i="1"/>
  <c r="AI72" i="1"/>
  <c r="Z72" i="1"/>
  <c r="N74" i="1"/>
  <c r="I55" i="1"/>
  <c r="R55" i="1"/>
  <c r="F50" i="1"/>
  <c r="AB51" i="1"/>
  <c r="U53" i="1"/>
  <c r="M65" i="1"/>
  <c r="M82" i="1"/>
  <c r="AD58" i="1"/>
  <c r="Z56" i="1"/>
  <c r="AA69" i="1"/>
  <c r="Y58" i="1"/>
  <c r="Q56" i="1"/>
  <c r="AC75" i="1"/>
  <c r="R74" i="1"/>
  <c r="AJ57" i="1"/>
  <c r="T58" i="1"/>
  <c r="Z57" i="1"/>
  <c r="K58" i="1"/>
  <c r="Q58" i="1"/>
  <c r="X58" i="1"/>
  <c r="AH58" i="1"/>
  <c r="AA58" i="1"/>
  <c r="G62" i="1"/>
  <c r="AH62" i="1"/>
  <c r="AA62" i="1"/>
  <c r="T62" i="1"/>
  <c r="V62" i="1"/>
  <c r="P63" i="1"/>
  <c r="G63" i="1"/>
  <c r="R56" i="1"/>
  <c r="V56" i="1"/>
  <c r="W56" i="1"/>
  <c r="S57" i="1"/>
  <c r="H57" i="1"/>
  <c r="I68" i="1"/>
  <c r="U68" i="1"/>
  <c r="K67" i="1"/>
  <c r="O75" i="1"/>
  <c r="V69" i="1"/>
  <c r="AE69" i="1"/>
  <c r="X68" i="1"/>
  <c r="AK73" i="1"/>
  <c r="AH73" i="1"/>
  <c r="Z70" i="1"/>
  <c r="G70" i="1"/>
  <c r="R72" i="1"/>
  <c r="AG72" i="1"/>
  <c r="M74" i="1"/>
  <c r="J55" i="1"/>
  <c r="T55" i="1"/>
  <c r="G50" i="1"/>
  <c r="AD51" i="1"/>
  <c r="Y53" i="1"/>
  <c r="O65" i="1"/>
  <c r="AH88" i="1"/>
  <c r="T53" i="1"/>
  <c r="M54" i="1"/>
  <c r="X54" i="1"/>
  <c r="AH66" i="1"/>
  <c r="M66" i="1"/>
  <c r="L64" i="1"/>
  <c r="AE63" i="1"/>
  <c r="J64" i="1"/>
  <c r="Q64" i="1"/>
  <c r="K65" i="1"/>
  <c r="S65" i="1"/>
  <c r="J66" i="1"/>
  <c r="X71" i="1"/>
  <c r="AJ71" i="1"/>
  <c r="P72" i="1"/>
  <c r="V73" i="1"/>
  <c r="G75" i="1"/>
  <c r="G71" i="1"/>
  <c r="S76" i="1"/>
  <c r="T77" i="1"/>
  <c r="X81" i="1"/>
  <c r="Y88" i="1"/>
  <c r="X50" i="1"/>
  <c r="AJ50" i="1"/>
  <c r="Q51" i="1"/>
  <c r="M51" i="1"/>
  <c r="AA51" i="1"/>
  <c r="T51" i="1"/>
  <c r="W51" i="1"/>
  <c r="K52" i="1"/>
  <c r="U52" i="1"/>
  <c r="R52" i="1"/>
  <c r="AE52" i="1"/>
  <c r="X52" i="1"/>
  <c r="M53" i="1"/>
  <c r="H53" i="1"/>
  <c r="L53" i="1"/>
  <c r="AA53" i="1"/>
  <c r="L54" i="1"/>
  <c r="S53" i="1"/>
  <c r="Y54" i="1"/>
  <c r="S66" i="1"/>
  <c r="AE66" i="1"/>
  <c r="V66" i="1"/>
  <c r="N64" i="1"/>
  <c r="F64" i="1"/>
  <c r="Y64" i="1"/>
  <c r="AG64" i="1"/>
  <c r="U64" i="1"/>
  <c r="AA65" i="1"/>
  <c r="P65" i="1"/>
  <c r="Z71" i="1"/>
  <c r="AK71" i="1"/>
  <c r="Q72" i="1"/>
  <c r="F73" i="1"/>
  <c r="I71" i="1"/>
  <c r="J76" i="1"/>
  <c r="O82" i="1"/>
  <c r="H88" i="1"/>
  <c r="AK53" i="1"/>
  <c r="O54" i="1"/>
  <c r="AC66" i="1"/>
  <c r="AA66" i="1"/>
  <c r="F67" i="1"/>
  <c r="W63" i="1"/>
  <c r="G64" i="1"/>
  <c r="AI63" i="1"/>
  <c r="AC64" i="1"/>
  <c r="G65" i="1"/>
  <c r="U65" i="1"/>
  <c r="N65" i="1"/>
  <c r="Y71" i="1"/>
  <c r="H72" i="1"/>
  <c r="N73" i="1"/>
  <c r="AK72" i="1"/>
  <c r="O71" i="1"/>
  <c r="Q77" i="1"/>
  <c r="Q82" i="1"/>
  <c r="U89" i="1"/>
  <c r="V53" i="1"/>
  <c r="Q54" i="1"/>
  <c r="K66" i="1"/>
  <c r="H67" i="1"/>
  <c r="G67" i="1"/>
  <c r="AD63" i="1"/>
  <c r="X63" i="1"/>
  <c r="O64" i="1"/>
  <c r="AK64" i="1"/>
  <c r="Z64" i="1"/>
  <c r="AC65" i="1"/>
  <c r="AD65" i="1"/>
  <c r="I73" i="1"/>
  <c r="P71" i="1"/>
  <c r="AJ70" i="1"/>
  <c r="AB76" i="1"/>
  <c r="G85" i="1"/>
  <c r="U55" i="1"/>
  <c r="AI55" i="1"/>
  <c r="AE55" i="1"/>
  <c r="K56" i="1"/>
  <c r="AC49" i="1"/>
  <c r="AG49" i="1"/>
  <c r="H50" i="1"/>
  <c r="R50" i="1"/>
  <c r="T50" i="1"/>
  <c r="AF50" i="1"/>
  <c r="AB50" i="1"/>
  <c r="AC50" i="1"/>
  <c r="I51" i="1"/>
  <c r="K51" i="1"/>
  <c r="AC51" i="1"/>
  <c r="AF51" i="1"/>
  <c r="G52" i="1"/>
  <c r="AI51" i="1"/>
  <c r="Q52" i="1"/>
  <c r="T52" i="1"/>
  <c r="AF52" i="1"/>
  <c r="AG52" i="1"/>
  <c r="Q53" i="1"/>
  <c r="J53" i="1"/>
  <c r="W53" i="1"/>
  <c r="G54" i="1"/>
  <c r="Z53" i="1"/>
  <c r="AG53" i="1"/>
  <c r="R54" i="1"/>
  <c r="U66" i="1"/>
  <c r="X66" i="1"/>
  <c r="T63" i="1"/>
  <c r="Y63" i="1"/>
  <c r="Z63" i="1"/>
  <c r="V64" i="1"/>
  <c r="I65" i="1"/>
  <c r="AK65" i="1"/>
  <c r="AI65" i="1"/>
  <c r="F66" i="1"/>
  <c r="AC71" i="1"/>
  <c r="I72" i="1"/>
  <c r="O73" i="1"/>
  <c r="L73" i="1"/>
  <c r="U71" i="1"/>
  <c r="S54" i="1"/>
  <c r="O66" i="1"/>
  <c r="I67" i="1"/>
  <c r="W66" i="1"/>
  <c r="AG63" i="1"/>
  <c r="AB63" i="1"/>
  <c r="AA64" i="1"/>
  <c r="W64" i="1"/>
  <c r="S64" i="1"/>
  <c r="AH65" i="1"/>
  <c r="T65" i="1"/>
  <c r="Q65" i="1"/>
  <c r="AD71" i="1"/>
  <c r="J72" i="1"/>
  <c r="S73" i="1"/>
  <c r="J73" i="1"/>
  <c r="L71" i="1"/>
  <c r="AI75" i="1"/>
  <c r="T85" i="1"/>
  <c r="AB54" i="1"/>
  <c r="P55" i="1"/>
  <c r="AG55" i="1"/>
  <c r="AK55" i="1"/>
  <c r="F56" i="1"/>
  <c r="AA49" i="1"/>
  <c r="AH49" i="1"/>
  <c r="AK49" i="1"/>
  <c r="K50" i="1"/>
  <c r="J50" i="1"/>
  <c r="AK50" i="1"/>
  <c r="Y50" i="1"/>
  <c r="J51" i="1"/>
  <c r="L51" i="1"/>
  <c r="N51" i="1"/>
  <c r="AE51" i="1"/>
  <c r="AG51" i="1"/>
  <c r="H52" i="1"/>
  <c r="AJ51" i="1"/>
  <c r="M52" i="1"/>
  <c r="Z52" i="1"/>
  <c r="AA52" i="1"/>
  <c r="AD52" i="1"/>
  <c r="R53" i="1"/>
  <c r="F53" i="1"/>
  <c r="AD53" i="1"/>
  <c r="H54" i="1"/>
  <c r="X53" i="1"/>
  <c r="AF53" i="1"/>
  <c r="U54" i="1"/>
  <c r="Q66" i="1"/>
  <c r="AI66" i="1"/>
  <c r="I64" i="1"/>
  <c r="AH63" i="1"/>
  <c r="R63" i="1"/>
  <c r="AH64" i="1"/>
  <c r="X64" i="1"/>
  <c r="T64" i="1"/>
  <c r="V65" i="1"/>
  <c r="AB65" i="1"/>
  <c r="AE71" i="1"/>
  <c r="K72" i="1"/>
  <c r="P73" i="1"/>
  <c r="AI74" i="1"/>
  <c r="S71" i="1"/>
  <c r="AG75" i="1"/>
  <c r="AJ85" i="1"/>
  <c r="AE53" i="1"/>
  <c r="AH53" i="1"/>
  <c r="Z66" i="1"/>
  <c r="L66" i="1"/>
  <c r="Y66" i="1"/>
  <c r="AF63" i="1"/>
  <c r="U63" i="1"/>
  <c r="AJ63" i="1"/>
  <c r="F65" i="1"/>
  <c r="AE64" i="1"/>
  <c r="W65" i="1"/>
  <c r="I66" i="1"/>
  <c r="AF65" i="1"/>
  <c r="AG71" i="1"/>
  <c r="M72" i="1"/>
  <c r="T73" i="1"/>
  <c r="V71" i="1"/>
  <c r="P76" i="1"/>
  <c r="U86" i="1"/>
  <c r="Q95" i="1"/>
  <c r="Q55" i="1"/>
  <c r="G56" i="1"/>
  <c r="J56" i="1"/>
  <c r="AA55" i="1"/>
  <c r="AB49" i="1"/>
  <c r="AI49" i="1"/>
  <c r="M50" i="1"/>
  <c r="I50" i="1"/>
  <c r="U50" i="1"/>
  <c r="Z50" i="1"/>
  <c r="AA50" i="1"/>
  <c r="P51" i="1"/>
  <c r="R51" i="1"/>
  <c r="X51" i="1"/>
  <c r="V51" i="1"/>
  <c r="U51" i="1"/>
  <c r="I52" i="1"/>
  <c r="AK51" i="1"/>
  <c r="N52" i="1"/>
  <c r="AJ52" i="1"/>
  <c r="W52" i="1"/>
  <c r="AI52" i="1"/>
  <c r="P53" i="1"/>
  <c r="I53" i="1"/>
  <c r="AI53" i="1"/>
  <c r="AC53" i="1"/>
  <c r="I54" i="1"/>
  <c r="AJ53" i="1"/>
  <c r="N54" i="1"/>
  <c r="AF66" i="1"/>
  <c r="P66" i="1"/>
  <c r="AJ66" i="1"/>
  <c r="V63" i="1"/>
  <c r="AK63" i="1"/>
  <c r="AI64" i="1"/>
  <c r="AJ64" i="1"/>
  <c r="AD64" i="1"/>
  <c r="G66" i="1"/>
  <c r="H66" i="1"/>
  <c r="AH71" i="1"/>
  <c r="N72" i="1"/>
  <c r="U73" i="1"/>
  <c r="AK74" i="1"/>
  <c r="R71" i="1"/>
  <c r="N76" i="1"/>
  <c r="AD80" i="1"/>
  <c r="AH85" i="1"/>
  <c r="AB96" i="1"/>
  <c r="K54" i="1"/>
  <c r="V54" i="1"/>
  <c r="T54" i="1"/>
  <c r="AB66" i="1"/>
  <c r="J67" i="1"/>
  <c r="AA63" i="1"/>
  <c r="AC63" i="1"/>
  <c r="S63" i="1"/>
  <c r="AF64" i="1"/>
  <c r="AB64" i="1"/>
  <c r="AG65" i="1"/>
  <c r="Z65" i="1"/>
  <c r="F75" i="1"/>
  <c r="AI70" i="1"/>
  <c r="H76" i="1"/>
  <c r="Y77" i="1"/>
  <c r="T87" i="1"/>
  <c r="L70" i="1"/>
  <c r="AJ72" i="1"/>
  <c r="W72" i="1"/>
  <c r="AD72" i="1"/>
  <c r="AB72" i="1"/>
  <c r="V75" i="1"/>
  <c r="K74" i="1"/>
  <c r="S74" i="1"/>
  <c r="AD54" i="1"/>
  <c r="N55" i="1"/>
  <c r="AE54" i="1"/>
  <c r="W55" i="1"/>
  <c r="S55" i="1"/>
  <c r="H56" i="1"/>
  <c r="X55" i="1"/>
  <c r="AB55" i="1"/>
  <c r="AD49" i="1"/>
  <c r="AJ49" i="1"/>
  <c r="N50" i="1"/>
  <c r="P50" i="1"/>
  <c r="V50" i="1"/>
  <c r="AH50" i="1"/>
  <c r="AI50" i="1"/>
  <c r="F51" i="1"/>
  <c r="G51" i="1"/>
  <c r="Y51" i="1"/>
  <c r="S51" i="1"/>
  <c r="Z51" i="1"/>
  <c r="J52" i="1"/>
  <c r="L52" i="1"/>
  <c r="P52" i="1"/>
  <c r="AB52" i="1"/>
  <c r="Y52" i="1"/>
  <c r="V52" i="1"/>
  <c r="G53" i="1"/>
  <c r="K53" i="1"/>
  <c r="AB53" i="1"/>
  <c r="J54" i="1"/>
  <c r="W54" i="1"/>
  <c r="Z54" i="1"/>
  <c r="AK66" i="1"/>
  <c r="AD66" i="1"/>
  <c r="T66" i="1"/>
  <c r="K64" i="1"/>
  <c r="H64" i="1"/>
  <c r="H65" i="1"/>
  <c r="J65" i="1"/>
  <c r="R64" i="1"/>
  <c r="R65" i="1"/>
  <c r="Y65" i="1"/>
  <c r="AJ65" i="1"/>
  <c r="AI71" i="1"/>
  <c r="O72" i="1"/>
  <c r="W73" i="1"/>
  <c r="H75" i="1"/>
  <c r="I81" i="1"/>
  <c r="M87" i="1"/>
  <c r="Z44" i="1"/>
  <c r="W77" i="1"/>
  <c r="AF76" i="1"/>
  <c r="K78" i="1"/>
  <c r="H78" i="1"/>
  <c r="I78" i="1"/>
  <c r="Q78" i="1"/>
  <c r="Y78" i="1"/>
  <c r="W78" i="1"/>
  <c r="X79" i="1"/>
  <c r="G79" i="1"/>
  <c r="Z79" i="1"/>
  <c r="P79" i="1"/>
  <c r="T79" i="1"/>
  <c r="L80" i="1"/>
  <c r="AC80" i="1"/>
  <c r="AF79" i="1"/>
  <c r="AB80" i="1"/>
  <c r="AG79" i="1"/>
  <c r="AK80" i="1"/>
  <c r="R81" i="1"/>
  <c r="K81" i="1"/>
  <c r="AB82" i="1"/>
  <c r="V82" i="1"/>
  <c r="U82" i="1"/>
  <c r="Z85" i="1"/>
  <c r="P85" i="1"/>
  <c r="S85" i="1"/>
  <c r="AA86" i="1"/>
  <c r="AK85" i="1"/>
  <c r="J88" i="1"/>
  <c r="F88" i="1"/>
  <c r="AA89" i="1"/>
  <c r="V90" i="1"/>
  <c r="Q92" i="1"/>
  <c r="P93" i="1"/>
  <c r="V94" i="1"/>
  <c r="M97" i="1"/>
  <c r="K100" i="1"/>
  <c r="F81" i="1"/>
  <c r="AC81" i="1"/>
  <c r="AE81" i="1"/>
  <c r="Z82" i="1"/>
  <c r="G82" i="1"/>
  <c r="U85" i="1"/>
  <c r="V85" i="1"/>
  <c r="W85" i="1"/>
  <c r="G86" i="1"/>
  <c r="J86" i="1"/>
  <c r="Q86" i="1"/>
  <c r="AB87" i="1"/>
  <c r="AK86" i="1"/>
  <c r="U88" i="1"/>
  <c r="AI87" i="1"/>
  <c r="AJ88" i="1"/>
  <c r="Y89" i="1"/>
  <c r="R95" i="1"/>
  <c r="AE96" i="1"/>
  <c r="AF70" i="1"/>
  <c r="AH70" i="1"/>
  <c r="M71" i="1"/>
  <c r="F76" i="1"/>
  <c r="AE75" i="1"/>
  <c r="T76" i="1"/>
  <c r="X76" i="1"/>
  <c r="K76" i="1"/>
  <c r="AB77" i="1"/>
  <c r="AD76" i="1"/>
  <c r="G77" i="1"/>
  <c r="K77" i="1"/>
  <c r="H77" i="1"/>
  <c r="O78" i="1"/>
  <c r="AB78" i="1"/>
  <c r="AF77" i="1"/>
  <c r="S78" i="1"/>
  <c r="T78" i="1"/>
  <c r="J78" i="1"/>
  <c r="AA79" i="1"/>
  <c r="O79" i="1"/>
  <c r="S79" i="1"/>
  <c r="AI78" i="1"/>
  <c r="H79" i="1"/>
  <c r="V80" i="1"/>
  <c r="I80" i="1"/>
  <c r="M80" i="1"/>
  <c r="G80" i="1"/>
  <c r="P80" i="1"/>
  <c r="AF80" i="1"/>
  <c r="AG80" i="1"/>
  <c r="L81" i="1"/>
  <c r="T82" i="1"/>
  <c r="AD81" i="1"/>
  <c r="H82" i="1"/>
  <c r="Q85" i="1"/>
  <c r="Y85" i="1"/>
  <c r="AC85" i="1"/>
  <c r="N86" i="1"/>
  <c r="Z86" i="1"/>
  <c r="V86" i="1"/>
  <c r="AI86" i="1"/>
  <c r="I87" i="1"/>
  <c r="J89" i="1"/>
  <c r="Q91" i="1"/>
  <c r="V92" i="1"/>
  <c r="AC92" i="1"/>
  <c r="AA94" i="1"/>
  <c r="U95" i="1"/>
  <c r="K97" i="1"/>
  <c r="AE100" i="1"/>
  <c r="M81" i="1"/>
  <c r="T81" i="1"/>
  <c r="AH80" i="1"/>
  <c r="R82" i="1"/>
  <c r="X82" i="1"/>
  <c r="M85" i="1"/>
  <c r="AB85" i="1"/>
  <c r="AE82" i="1"/>
  <c r="AG85" i="1"/>
  <c r="AF85" i="1"/>
  <c r="J87" i="1"/>
  <c r="AD86" i="1"/>
  <c r="AE86" i="1"/>
  <c r="AA88" i="1"/>
  <c r="AD87" i="1"/>
  <c r="AK88" i="1"/>
  <c r="X98" i="1"/>
  <c r="W76" i="1"/>
  <c r="AA76" i="1"/>
  <c r="AI76" i="1"/>
  <c r="F77" i="1"/>
  <c r="R77" i="1"/>
  <c r="AJ76" i="1"/>
  <c r="P77" i="1"/>
  <c r="U78" i="1"/>
  <c r="P78" i="1"/>
  <c r="AG77" i="1"/>
  <c r="V78" i="1"/>
  <c r="AE77" i="1"/>
  <c r="I79" i="1"/>
  <c r="AB79" i="1"/>
  <c r="AF78" i="1"/>
  <c r="V79" i="1"/>
  <c r="AG78" i="1"/>
  <c r="W79" i="1"/>
  <c r="S80" i="1"/>
  <c r="Q80" i="1"/>
  <c r="N80" i="1"/>
  <c r="J80" i="1"/>
  <c r="AJ79" i="1"/>
  <c r="AI80" i="1"/>
  <c r="AE80" i="1"/>
  <c r="Y82" i="1"/>
  <c r="S82" i="1"/>
  <c r="AI81" i="1"/>
  <c r="X85" i="1"/>
  <c r="AH82" i="1"/>
  <c r="W86" i="1"/>
  <c r="AI85" i="1"/>
  <c r="F86" i="1"/>
  <c r="V87" i="1"/>
  <c r="X87" i="1"/>
  <c r="L87" i="1"/>
  <c r="AB88" i="1"/>
  <c r="S88" i="1"/>
  <c r="S89" i="1"/>
  <c r="R90" i="1"/>
  <c r="AA91" i="1"/>
  <c r="K92" i="1"/>
  <c r="AJ92" i="1"/>
  <c r="L94" i="1"/>
  <c r="AE95" i="1"/>
  <c r="Y98" i="1"/>
  <c r="V102" i="1"/>
  <c r="Y81" i="1"/>
  <c r="P81" i="1"/>
  <c r="J81" i="1"/>
  <c r="AC82" i="1"/>
  <c r="AF81" i="1"/>
  <c r="AA85" i="1"/>
  <c r="AF82" i="1"/>
  <c r="F85" i="1"/>
  <c r="M86" i="1"/>
  <c r="AD85" i="1"/>
  <c r="AJ86" i="1"/>
  <c r="AA87" i="1"/>
  <c r="AG86" i="1"/>
  <c r="N88" i="1"/>
  <c r="AC87" i="1"/>
  <c r="X89" i="1"/>
  <c r="P94" i="1"/>
  <c r="N96" i="1"/>
  <c r="X103" i="1"/>
  <c r="Q49" i="1"/>
  <c r="AE65" i="1"/>
  <c r="AA71" i="1"/>
  <c r="AF71" i="1"/>
  <c r="F72" i="1"/>
  <c r="L72" i="1"/>
  <c r="M73" i="1"/>
  <c r="R73" i="1"/>
  <c r="G73" i="1"/>
  <c r="K73" i="1"/>
  <c r="J75" i="1"/>
  <c r="T71" i="1"/>
  <c r="W71" i="1"/>
  <c r="AD70" i="1"/>
  <c r="AK70" i="1"/>
  <c r="I76" i="1"/>
  <c r="O76" i="1"/>
  <c r="AJ75" i="1"/>
  <c r="V76" i="1"/>
  <c r="AK75" i="1"/>
  <c r="AC76" i="1"/>
  <c r="I77" i="1"/>
  <c r="N77" i="1"/>
  <c r="AE76" i="1"/>
  <c r="V77" i="1"/>
  <c r="J77" i="1"/>
  <c r="L78" i="1"/>
  <c r="AD77" i="1"/>
  <c r="AI77" i="1"/>
  <c r="G78" i="1"/>
  <c r="AH77" i="1"/>
  <c r="M79" i="1"/>
  <c r="K79" i="1"/>
  <c r="AJ78" i="1"/>
  <c r="J79" i="1"/>
  <c r="F79" i="1"/>
  <c r="AK78" i="1"/>
  <c r="Y80" i="1"/>
  <c r="AK79" i="1"/>
  <c r="W80" i="1"/>
  <c r="AH79" i="1"/>
  <c r="R80" i="1"/>
  <c r="H81" i="1"/>
  <c r="AJ80" i="1"/>
  <c r="N82" i="1"/>
  <c r="L82" i="1"/>
  <c r="K82" i="1"/>
  <c r="AK82" i="1"/>
  <c r="AD82" i="1"/>
  <c r="T86" i="1"/>
  <c r="AB86" i="1"/>
  <c r="H86" i="1"/>
  <c r="Z90" i="1"/>
  <c r="K91" i="1"/>
  <c r="AJ91" i="1"/>
  <c r="AH92" i="1"/>
  <c r="AF95" i="1"/>
  <c r="X49" i="1"/>
  <c r="AA81" i="1"/>
  <c r="Q81" i="1"/>
  <c r="O81" i="1"/>
  <c r="AK81" i="1"/>
  <c r="AG81" i="1"/>
  <c r="I85" i="1"/>
  <c r="AG82" i="1"/>
  <c r="J85" i="1"/>
  <c r="X86" i="1"/>
  <c r="O86" i="1"/>
  <c r="S86" i="1"/>
  <c r="U87" i="1"/>
  <c r="F87" i="1"/>
  <c r="AH86" i="1"/>
  <c r="AE87" i="1"/>
  <c r="F89" i="1"/>
  <c r="O89" i="1"/>
  <c r="AK94" i="1"/>
  <c r="AK103" i="1"/>
  <c r="J39" i="1"/>
  <c r="AG70" i="1"/>
  <c r="J71" i="1"/>
  <c r="AD75" i="1"/>
  <c r="R76" i="1"/>
  <c r="AH75" i="1"/>
  <c r="U76" i="1"/>
  <c r="AF75" i="1"/>
  <c r="AG76" i="1"/>
  <c r="L77" i="1"/>
  <c r="M77" i="1"/>
  <c r="U77" i="1"/>
  <c r="Z77" i="1"/>
  <c r="X77" i="1"/>
  <c r="Z78" i="1"/>
  <c r="AC78" i="1"/>
  <c r="AJ77" i="1"/>
  <c r="R78" i="1"/>
  <c r="AK77" i="1"/>
  <c r="L79" i="1"/>
  <c r="AC79" i="1"/>
  <c r="AH78" i="1"/>
  <c r="N79" i="1"/>
  <c r="Q79" i="1"/>
  <c r="AD79" i="1"/>
  <c r="Z80" i="1"/>
  <c r="T80" i="1"/>
  <c r="X80" i="1"/>
  <c r="AE79" i="1"/>
  <c r="K80" i="1"/>
  <c r="N81" i="1"/>
  <c r="W81" i="1"/>
  <c r="F82" i="1"/>
  <c r="AJ81" i="1"/>
  <c r="AA82" i="1"/>
  <c r="H85" i="1"/>
  <c r="AI82" i="1"/>
  <c r="K85" i="1"/>
  <c r="P86" i="1"/>
  <c r="AE85" i="1"/>
  <c r="W87" i="1"/>
  <c r="H87" i="1"/>
  <c r="Q87" i="1"/>
  <c r="AH87" i="1"/>
  <c r="N89" i="1"/>
  <c r="Z89" i="1"/>
  <c r="AA90" i="1"/>
  <c r="L91" i="1"/>
  <c r="M92" i="1"/>
  <c r="M93" i="1"/>
  <c r="Y95" i="1"/>
  <c r="I96" i="1"/>
  <c r="AE98" i="1"/>
  <c r="AB104" i="1"/>
  <c r="V81" i="1"/>
  <c r="G81" i="1"/>
  <c r="S81" i="1"/>
  <c r="I82" i="1"/>
  <c r="J82" i="1"/>
  <c r="W82" i="1"/>
  <c r="AJ82" i="1"/>
  <c r="L85" i="1"/>
  <c r="Y86" i="1"/>
  <c r="R86" i="1"/>
  <c r="K86" i="1"/>
  <c r="Y87" i="1"/>
  <c r="K87" i="1"/>
  <c r="W88" i="1"/>
  <c r="O88" i="1"/>
  <c r="P89" i="1"/>
  <c r="J42" i="1"/>
  <c r="H73" i="1"/>
  <c r="AJ74" i="1"/>
  <c r="I75" i="1"/>
  <c r="Q71" i="1"/>
  <c r="F71" i="1"/>
  <c r="H71" i="1"/>
  <c r="K71" i="1"/>
  <c r="M76" i="1"/>
  <c r="Y76" i="1"/>
  <c r="Q76" i="1"/>
  <c r="L76" i="1"/>
  <c r="Z76" i="1"/>
  <c r="S77" i="1"/>
  <c r="AC77" i="1"/>
  <c r="O77" i="1"/>
  <c r="AH76" i="1"/>
  <c r="AK76" i="1"/>
  <c r="AA77" i="1"/>
  <c r="AA78" i="1"/>
  <c r="F78" i="1"/>
  <c r="N78" i="1"/>
  <c r="X78" i="1"/>
  <c r="M78" i="1"/>
  <c r="U79" i="1"/>
  <c r="AD78" i="1"/>
  <c r="Y79" i="1"/>
  <c r="AE78" i="1"/>
  <c r="R79" i="1"/>
  <c r="AI79" i="1"/>
  <c r="O80" i="1"/>
  <c r="F80" i="1"/>
  <c r="AA80" i="1"/>
  <c r="H80" i="1"/>
  <c r="U80" i="1"/>
  <c r="AB81" i="1"/>
  <c r="Z81" i="1"/>
  <c r="U81" i="1"/>
  <c r="AH81" i="1"/>
  <c r="P82" i="1"/>
  <c r="O85" i="1"/>
  <c r="N85" i="1"/>
  <c r="R85" i="1"/>
  <c r="I86" i="1"/>
  <c r="L86" i="1"/>
  <c r="O87" i="1"/>
  <c r="G87" i="1"/>
  <c r="G89" i="1"/>
  <c r="J90" i="1"/>
  <c r="S91" i="1"/>
  <c r="U92" i="1"/>
  <c r="N94" i="1"/>
  <c r="AB94" i="1"/>
  <c r="U97" i="1"/>
  <c r="AB99" i="1"/>
  <c r="AH43" i="1"/>
  <c r="Q89" i="1"/>
  <c r="T89" i="1"/>
  <c r="M90" i="1"/>
  <c r="F90" i="1"/>
  <c r="P90" i="1"/>
  <c r="Q90" i="1"/>
  <c r="L90" i="1"/>
  <c r="M91" i="1"/>
  <c r="Z91" i="1"/>
  <c r="AD90" i="1"/>
  <c r="AI90" i="1"/>
  <c r="P91" i="1"/>
  <c r="H91" i="1"/>
  <c r="S92" i="1"/>
  <c r="AB92" i="1"/>
  <c r="AH91" i="1"/>
  <c r="AK91" i="1"/>
  <c r="AD91" i="1"/>
  <c r="O93" i="1"/>
  <c r="T93" i="1"/>
  <c r="J93" i="1"/>
  <c r="AI92" i="1"/>
  <c r="AG92" i="1"/>
  <c r="Z94" i="1"/>
  <c r="O94" i="1"/>
  <c r="H94" i="1"/>
  <c r="J94" i="1"/>
  <c r="X95" i="1"/>
  <c r="L95" i="1"/>
  <c r="P95" i="1"/>
  <c r="Z96" i="1"/>
  <c r="AC95" i="1"/>
  <c r="O96" i="1"/>
  <c r="P97" i="1"/>
  <c r="L97" i="1"/>
  <c r="AH96" i="1"/>
  <c r="N98" i="1"/>
  <c r="O98" i="1"/>
  <c r="AJ105" i="1"/>
  <c r="Q45" i="1"/>
  <c r="AB45" i="1"/>
  <c r="AE47" i="1"/>
  <c r="M94" i="1"/>
  <c r="AI94" i="1"/>
  <c r="V95" i="1"/>
  <c r="AC94" i="1"/>
  <c r="Q96" i="1"/>
  <c r="W96" i="1"/>
  <c r="AJ97" i="1"/>
  <c r="Z102" i="1"/>
  <c r="AG102" i="1"/>
  <c r="G44" i="1"/>
  <c r="AG44" i="1"/>
  <c r="AD45" i="1"/>
  <c r="R48" i="1"/>
  <c r="AJ48" i="1"/>
  <c r="AJ39" i="1"/>
  <c r="AC41" i="1"/>
  <c r="U90" i="1"/>
  <c r="AE89" i="1"/>
  <c r="AD89" i="1"/>
  <c r="X90" i="1"/>
  <c r="N90" i="1"/>
  <c r="X91" i="1"/>
  <c r="AE90" i="1"/>
  <c r="AF90" i="1"/>
  <c r="N91" i="1"/>
  <c r="T91" i="1"/>
  <c r="H92" i="1"/>
  <c r="Z92" i="1"/>
  <c r="O92" i="1"/>
  <c r="AI91" i="1"/>
  <c r="G92" i="1"/>
  <c r="AF91" i="1"/>
  <c r="Q93" i="1"/>
  <c r="U93" i="1"/>
  <c r="X93" i="1"/>
  <c r="F93" i="1"/>
  <c r="N93" i="1"/>
  <c r="AI93" i="1"/>
  <c r="AK93" i="1"/>
  <c r="AC93" i="1"/>
  <c r="AD93" i="1"/>
  <c r="AB93" i="1"/>
  <c r="S95" i="1"/>
  <c r="AH94" i="1"/>
  <c r="AJ95" i="1"/>
  <c r="J96" i="1"/>
  <c r="X96" i="1"/>
  <c r="V97" i="1"/>
  <c r="O97" i="1"/>
  <c r="N97" i="1"/>
  <c r="F98" i="1"/>
  <c r="L102" i="1"/>
  <c r="M103" i="1"/>
  <c r="L105" i="1"/>
  <c r="F95" i="1"/>
  <c r="Z95" i="1"/>
  <c r="H95" i="1"/>
  <c r="K96" i="1"/>
  <c r="AH95" i="1"/>
  <c r="V96" i="1"/>
  <c r="AC96" i="1"/>
  <c r="AA98" i="1"/>
  <c r="AG97" i="1"/>
  <c r="T99" i="1"/>
  <c r="U100" i="1"/>
  <c r="W101" i="1"/>
  <c r="AK100" i="1"/>
  <c r="V105" i="1"/>
  <c r="AI43" i="1"/>
  <c r="N45" i="1"/>
  <c r="I47" i="1"/>
  <c r="AI47" i="1"/>
  <c r="X38" i="1"/>
  <c r="AE39" i="1"/>
  <c r="H42" i="1"/>
  <c r="AF86" i="1"/>
  <c r="R88" i="1"/>
  <c r="V88" i="1"/>
  <c r="AJ87" i="1"/>
  <c r="Q88" i="1"/>
  <c r="T88" i="1"/>
  <c r="AC88" i="1"/>
  <c r="AB89" i="1"/>
  <c r="V89" i="1"/>
  <c r="K89" i="1"/>
  <c r="R89" i="1"/>
  <c r="AC89" i="1"/>
  <c r="H90" i="1"/>
  <c r="I90" i="1"/>
  <c r="AK89" i="1"/>
  <c r="AJ89" i="1"/>
  <c r="G90" i="1"/>
  <c r="F91" i="1"/>
  <c r="AC90" i="1"/>
  <c r="O91" i="1"/>
  <c r="AK90" i="1"/>
  <c r="U91" i="1"/>
  <c r="AC91" i="1"/>
  <c r="AG91" i="1"/>
  <c r="AE91" i="1"/>
  <c r="L92" i="1"/>
  <c r="T92" i="1"/>
  <c r="AK92" i="1"/>
  <c r="R93" i="1"/>
  <c r="I93" i="1"/>
  <c r="S93" i="1"/>
  <c r="AD92" i="1"/>
  <c r="U94" i="1"/>
  <c r="AJ93" i="1"/>
  <c r="R94" i="1"/>
  <c r="AG93" i="1"/>
  <c r="AH93" i="1"/>
  <c r="G95" i="1"/>
  <c r="T95" i="1"/>
  <c r="K95" i="1"/>
  <c r="F96" i="1"/>
  <c r="M96" i="1"/>
  <c r="AK96" i="1"/>
  <c r="J97" i="1"/>
  <c r="AI96" i="1"/>
  <c r="L98" i="1"/>
  <c r="Q104" i="1"/>
  <c r="AK46" i="1"/>
  <c r="H48" i="1"/>
  <c r="O38" i="1"/>
  <c r="I94" i="1"/>
  <c r="AD94" i="1"/>
  <c r="AE94" i="1"/>
  <c r="Y96" i="1"/>
  <c r="AK95" i="1"/>
  <c r="AD95" i="1"/>
  <c r="F97" i="1"/>
  <c r="Z97" i="1"/>
  <c r="K98" i="1"/>
  <c r="Q98" i="1"/>
  <c r="AD101" i="1"/>
  <c r="AH103" i="1"/>
  <c r="AE104" i="1"/>
  <c r="AF43" i="1"/>
  <c r="AA44" i="1"/>
  <c r="S38" i="1"/>
  <c r="S40" i="1"/>
  <c r="X43" i="1"/>
  <c r="R87" i="1"/>
  <c r="Z87" i="1"/>
  <c r="P87" i="1"/>
  <c r="AC86" i="1"/>
  <c r="S87" i="1"/>
  <c r="N87" i="1"/>
  <c r="Z88" i="1"/>
  <c r="G88" i="1"/>
  <c r="AK87" i="1"/>
  <c r="K88" i="1"/>
  <c r="X88" i="1"/>
  <c r="H89" i="1"/>
  <c r="AF88" i="1"/>
  <c r="AI88" i="1"/>
  <c r="AD88" i="1"/>
  <c r="I89" i="1"/>
  <c r="AF89" i="1"/>
  <c r="W90" i="1"/>
  <c r="T90" i="1"/>
  <c r="S90" i="1"/>
  <c r="AI89" i="1"/>
  <c r="O90" i="1"/>
  <c r="AJ90" i="1"/>
  <c r="R91" i="1"/>
  <c r="I91" i="1"/>
  <c r="G91" i="1"/>
  <c r="V91" i="1"/>
  <c r="X92" i="1"/>
  <c r="W92" i="1"/>
  <c r="I92" i="1"/>
  <c r="J92" i="1"/>
  <c r="N92" i="1"/>
  <c r="L93" i="1"/>
  <c r="H93" i="1"/>
  <c r="V93" i="1"/>
  <c r="Y93" i="1"/>
  <c r="AE92" i="1"/>
  <c r="X94" i="1"/>
  <c r="T94" i="1"/>
  <c r="G94" i="1"/>
  <c r="AE93" i="1"/>
  <c r="K94" i="1"/>
  <c r="W95" i="1"/>
  <c r="AG94" i="1"/>
  <c r="M95" i="1"/>
  <c r="AB95" i="1"/>
  <c r="AA96" i="1"/>
  <c r="S96" i="1"/>
  <c r="S97" i="1"/>
  <c r="P98" i="1"/>
  <c r="AD98" i="1"/>
  <c r="AJ98" i="1"/>
  <c r="I100" i="1"/>
  <c r="V101" i="1"/>
  <c r="AB101" i="1"/>
  <c r="N103" i="1"/>
  <c r="O46" i="1"/>
  <c r="H38" i="1"/>
  <c r="Q94" i="1"/>
  <c r="AA95" i="1"/>
  <c r="N95" i="1"/>
  <c r="H96" i="1"/>
  <c r="U96" i="1"/>
  <c r="AD96" i="1"/>
  <c r="W97" i="1"/>
  <c r="T103" i="1"/>
  <c r="N104" i="1"/>
  <c r="X105" i="1"/>
  <c r="P44" i="1"/>
  <c r="H47" i="1"/>
  <c r="H49" i="1"/>
  <c r="T39" i="1"/>
  <c r="AC40" i="1"/>
  <c r="N43" i="1"/>
  <c r="P88" i="1"/>
  <c r="I88" i="1"/>
  <c r="AG87" i="1"/>
  <c r="M88" i="1"/>
  <c r="AF87" i="1"/>
  <c r="L88" i="1"/>
  <c r="AG88" i="1"/>
  <c r="AE88" i="1"/>
  <c r="L89" i="1"/>
  <c r="M89" i="1"/>
  <c r="W89" i="1"/>
  <c r="AH89" i="1"/>
  <c r="Y90" i="1"/>
  <c r="K90" i="1"/>
  <c r="AB90" i="1"/>
  <c r="AG89" i="1"/>
  <c r="AH90" i="1"/>
  <c r="Y91" i="1"/>
  <c r="AB91" i="1"/>
  <c r="J91" i="1"/>
  <c r="AG90" i="1"/>
  <c r="W91" i="1"/>
  <c r="Y92" i="1"/>
  <c r="AA92" i="1"/>
  <c r="P92" i="1"/>
  <c r="R92" i="1"/>
  <c r="F92" i="1"/>
  <c r="AF92" i="1"/>
  <c r="K93" i="1"/>
  <c r="W93" i="1"/>
  <c r="Z93" i="1"/>
  <c r="G93" i="1"/>
  <c r="Y94" i="1"/>
  <c r="F94" i="1"/>
  <c r="S94" i="1"/>
  <c r="AF93" i="1"/>
  <c r="I95" i="1"/>
  <c r="J95" i="1"/>
  <c r="O95" i="1"/>
  <c r="P96" i="1"/>
  <c r="L96" i="1"/>
  <c r="AI95" i="1"/>
  <c r="AJ96" i="1"/>
  <c r="G97" i="1"/>
  <c r="U98" i="1"/>
  <c r="G98" i="1"/>
  <c r="W44" i="1"/>
  <c r="V46" i="1"/>
  <c r="AI48" i="1"/>
  <c r="Q39" i="1"/>
  <c r="W94" i="1"/>
  <c r="AJ94" i="1"/>
  <c r="AF94" i="1"/>
  <c r="R96" i="1"/>
  <c r="T97" i="1"/>
  <c r="X97" i="1"/>
  <c r="I98" i="1"/>
  <c r="N99" i="1"/>
  <c r="H99" i="1"/>
  <c r="AK99" i="1"/>
  <c r="AI100" i="1"/>
  <c r="T102" i="1"/>
  <c r="W103" i="1"/>
  <c r="I104" i="1"/>
  <c r="R105" i="1"/>
  <c r="AA45" i="1"/>
  <c r="AI46" i="1"/>
  <c r="J49" i="1"/>
  <c r="S41" i="1"/>
  <c r="W43" i="1"/>
  <c r="AE101" i="1"/>
  <c r="X102" i="1"/>
  <c r="Q103" i="1"/>
  <c r="H103" i="1"/>
  <c r="F103" i="1"/>
  <c r="J103" i="1"/>
  <c r="M104" i="1"/>
  <c r="Y104" i="1"/>
  <c r="G104" i="1"/>
  <c r="S105" i="1"/>
  <c r="I105" i="1"/>
  <c r="T105" i="1"/>
  <c r="Z105" i="1"/>
  <c r="AC105" i="1"/>
  <c r="AJ43" i="1"/>
  <c r="AD43" i="1"/>
  <c r="O44" i="1"/>
  <c r="N44" i="1"/>
  <c r="F45" i="1"/>
  <c r="Y45" i="1"/>
  <c r="L45" i="1"/>
  <c r="G46" i="1"/>
  <c r="P46" i="1"/>
  <c r="K46" i="1"/>
  <c r="AH46" i="1"/>
  <c r="O47" i="1"/>
  <c r="AG46" i="1"/>
  <c r="U47" i="1"/>
  <c r="F48" i="1"/>
  <c r="Q48" i="1"/>
  <c r="AA47" i="1"/>
  <c r="V48" i="1"/>
  <c r="AF48" i="1"/>
  <c r="AE48" i="1"/>
  <c r="K49" i="1"/>
  <c r="L49" i="1"/>
  <c r="V38" i="1"/>
  <c r="I38" i="1"/>
  <c r="AE38" i="1"/>
  <c r="U40" i="1"/>
  <c r="K40" i="1"/>
  <c r="T40" i="1"/>
  <c r="Q41" i="1"/>
  <c r="P41" i="1"/>
  <c r="AB40" i="1"/>
  <c r="AI41" i="1"/>
  <c r="O42" i="1"/>
  <c r="T43" i="1"/>
  <c r="M43" i="1"/>
  <c r="J43" i="1"/>
  <c r="Z98" i="1"/>
  <c r="R98" i="1"/>
  <c r="H98" i="1"/>
  <c r="S98" i="1"/>
  <c r="G99" i="1"/>
  <c r="P99" i="1"/>
  <c r="Q99" i="1"/>
  <c r="Y99" i="1"/>
  <c r="K99" i="1"/>
  <c r="Z99" i="1"/>
  <c r="N100" i="1"/>
  <c r="AA100" i="1"/>
  <c r="H100" i="1"/>
  <c r="M100" i="1"/>
  <c r="P100" i="1"/>
  <c r="K101" i="1"/>
  <c r="X101" i="1"/>
  <c r="G101" i="1"/>
  <c r="AD100" i="1"/>
  <c r="O101" i="1"/>
  <c r="O102" i="1"/>
  <c r="G102" i="1"/>
  <c r="AJ101" i="1"/>
  <c r="AH102" i="1"/>
  <c r="V103" i="1"/>
  <c r="R104" i="1"/>
  <c r="G105" i="1"/>
  <c r="W105" i="1"/>
  <c r="AD105" i="1"/>
  <c r="S44" i="1"/>
  <c r="AE44" i="1"/>
  <c r="AK44" i="1"/>
  <c r="R46" i="1"/>
  <c r="AC45" i="1"/>
  <c r="I46" i="1"/>
  <c r="F47" i="1"/>
  <c r="AD46" i="1"/>
  <c r="P47" i="1"/>
  <c r="X47" i="1"/>
  <c r="AK47" i="1"/>
  <c r="Y48" i="1"/>
  <c r="O48" i="1"/>
  <c r="I48" i="1"/>
  <c r="G39" i="1"/>
  <c r="K39" i="1"/>
  <c r="Z74" i="1"/>
  <c r="K102" i="1"/>
  <c r="Q102" i="1"/>
  <c r="R103" i="1"/>
  <c r="Y103" i="1"/>
  <c r="AC102" i="1"/>
  <c r="AK102" i="1"/>
  <c r="J104" i="1"/>
  <c r="W104" i="1"/>
  <c r="K104" i="1"/>
  <c r="AC104" i="1"/>
  <c r="U105" i="1"/>
  <c r="AH104" i="1"/>
  <c r="P105" i="1"/>
  <c r="AE105" i="1"/>
  <c r="Q44" i="1"/>
  <c r="AC43" i="1"/>
  <c r="AK43" i="1"/>
  <c r="G45" i="1"/>
  <c r="AH44" i="1"/>
  <c r="J45" i="1"/>
  <c r="AB44" i="1"/>
  <c r="AH45" i="1"/>
  <c r="AI45" i="1"/>
  <c r="Q47" i="1"/>
  <c r="M47" i="1"/>
  <c r="AC47" i="1"/>
  <c r="AC48" i="1"/>
  <c r="AG48" i="1"/>
  <c r="W49" i="1"/>
  <c r="N49" i="1"/>
  <c r="Z38" i="1"/>
  <c r="N38" i="1"/>
  <c r="S39" i="1"/>
  <c r="R39" i="1"/>
  <c r="AI38" i="1"/>
  <c r="O40" i="1"/>
  <c r="AG39" i="1"/>
  <c r="V40" i="1"/>
  <c r="H41" i="1"/>
  <c r="K41" i="1"/>
  <c r="V42" i="1"/>
  <c r="W42" i="1"/>
  <c r="AE41" i="1"/>
  <c r="Y43" i="1"/>
  <c r="P43" i="1"/>
  <c r="AI97" i="1"/>
  <c r="L99" i="1"/>
  <c r="J99" i="1"/>
  <c r="I99" i="1"/>
  <c r="AF98" i="1"/>
  <c r="F99" i="1"/>
  <c r="AF99" i="1"/>
  <c r="Q100" i="1"/>
  <c r="G100" i="1"/>
  <c r="J100" i="1"/>
  <c r="AC99" i="1"/>
  <c r="T100" i="1"/>
  <c r="P101" i="1"/>
  <c r="Y101" i="1"/>
  <c r="I101" i="1"/>
  <c r="AJ100" i="1"/>
  <c r="F101" i="1"/>
  <c r="S102" i="1"/>
  <c r="H102" i="1"/>
  <c r="N102" i="1"/>
  <c r="I103" i="1"/>
  <c r="P103" i="1"/>
  <c r="Z104" i="1"/>
  <c r="S104" i="1"/>
  <c r="AK104" i="1"/>
  <c r="AF105" i="1"/>
  <c r="AA43" i="1"/>
  <c r="T44" i="1"/>
  <c r="AC44" i="1"/>
  <c r="AD44" i="1"/>
  <c r="AF45" i="1"/>
  <c r="S46" i="1"/>
  <c r="G47" i="1"/>
  <c r="S47" i="1"/>
  <c r="L48" i="1"/>
  <c r="AD47" i="1"/>
  <c r="W48" i="1"/>
  <c r="M49" i="1"/>
  <c r="AH48" i="1"/>
  <c r="Q38" i="1"/>
  <c r="AC38" i="1"/>
  <c r="H39" i="1"/>
  <c r="Y40" i="1"/>
  <c r="AC39" i="1"/>
  <c r="J41" i="1"/>
  <c r="AJ40" i="1"/>
  <c r="AH40" i="1"/>
  <c r="I42" i="1"/>
  <c r="P42" i="1"/>
  <c r="AB41" i="1"/>
  <c r="AF42" i="1"/>
  <c r="R43" i="1"/>
  <c r="AA74" i="1"/>
  <c r="M102" i="1"/>
  <c r="Y102" i="1"/>
  <c r="U103" i="1"/>
  <c r="Z103" i="1"/>
  <c r="AF102" i="1"/>
  <c r="AD103" i="1"/>
  <c r="V104" i="1"/>
  <c r="X104" i="1"/>
  <c r="T104" i="1"/>
  <c r="AI104" i="1"/>
  <c r="AD104" i="1"/>
  <c r="N105" i="1"/>
  <c r="AK105" i="1"/>
  <c r="AB105" i="1"/>
  <c r="R44" i="1"/>
  <c r="K44" i="1"/>
  <c r="H44" i="1"/>
  <c r="H45" i="1"/>
  <c r="V45" i="1"/>
  <c r="S45" i="1"/>
  <c r="AI44" i="1"/>
  <c r="AG45" i="1"/>
  <c r="T46" i="1"/>
  <c r="N46" i="1"/>
  <c r="U46" i="1"/>
  <c r="T47" i="1"/>
  <c r="J47" i="1"/>
  <c r="V47" i="1"/>
  <c r="Y47" i="1"/>
  <c r="M48" i="1"/>
  <c r="AF47" i="1"/>
  <c r="K48" i="1"/>
  <c r="X48" i="1"/>
  <c r="R49" i="1"/>
  <c r="F49" i="1"/>
  <c r="AK48" i="1"/>
  <c r="Z49" i="1"/>
  <c r="W38" i="1"/>
  <c r="R38" i="1"/>
  <c r="AH38" i="1"/>
  <c r="AF38" i="1"/>
  <c r="N39" i="1"/>
  <c r="Z40" i="1"/>
  <c r="AB39" i="1"/>
  <c r="AE40" i="1"/>
  <c r="Y41" i="1"/>
  <c r="AG40" i="1"/>
  <c r="N42" i="1"/>
  <c r="R42" i="1"/>
  <c r="Q42" i="1"/>
  <c r="AK42" i="1"/>
  <c r="G96" i="1"/>
  <c r="AG95" i="1"/>
  <c r="T96" i="1"/>
  <c r="AF96" i="1"/>
  <c r="AA97" i="1"/>
  <c r="H97" i="1"/>
  <c r="Y97" i="1"/>
  <c r="AG96" i="1"/>
  <c r="R97" i="1"/>
  <c r="AH97" i="1"/>
  <c r="AE97" i="1"/>
  <c r="AF97" i="1"/>
  <c r="AB97" i="1"/>
  <c r="T98" i="1"/>
  <c r="R99" i="1"/>
  <c r="S99" i="1"/>
  <c r="X99" i="1"/>
  <c r="AH98" i="1"/>
  <c r="O99" i="1"/>
  <c r="W100" i="1"/>
  <c r="Y100" i="1"/>
  <c r="R100" i="1"/>
  <c r="L100" i="1"/>
  <c r="AE99" i="1"/>
  <c r="V100" i="1"/>
  <c r="N101" i="1"/>
  <c r="T101" i="1"/>
  <c r="J101" i="1"/>
  <c r="AH100" i="1"/>
  <c r="M101" i="1"/>
  <c r="U102" i="1"/>
  <c r="AH101" i="1"/>
  <c r="P102" i="1"/>
  <c r="AA103" i="1"/>
  <c r="K103" i="1"/>
  <c r="AJ103" i="1"/>
  <c r="U104" i="1"/>
  <c r="H105" i="1"/>
  <c r="AF104" i="1"/>
  <c r="U44" i="1"/>
  <c r="Z43" i="1"/>
  <c r="R45" i="1"/>
  <c r="AJ44" i="1"/>
  <c r="Y46" i="1"/>
  <c r="Z46" i="1"/>
  <c r="AJ47" i="1"/>
  <c r="P38" i="1"/>
  <c r="S43" i="1"/>
  <c r="AB74" i="1"/>
  <c r="AA102" i="1"/>
  <c r="AI101" i="1"/>
  <c r="AD102" i="1"/>
  <c r="L103" i="1"/>
  <c r="AJ102" i="1"/>
  <c r="AG103" i="1"/>
  <c r="AI103" i="1"/>
  <c r="AF103" i="1"/>
  <c r="AA104" i="1"/>
  <c r="F105" i="1"/>
  <c r="AA105" i="1"/>
  <c r="K105" i="1"/>
  <c r="AI105" i="1"/>
  <c r="AG105" i="1"/>
  <c r="AG43" i="1"/>
  <c r="F44" i="1"/>
  <c r="I44" i="1"/>
  <c r="P45" i="1"/>
  <c r="K45" i="1"/>
  <c r="I45" i="1"/>
  <c r="J46" i="1"/>
  <c r="L46" i="1"/>
  <c r="H46" i="1"/>
  <c r="Q46" i="1"/>
  <c r="W47" i="1"/>
  <c r="AC46" i="1"/>
  <c r="AJ46" i="1"/>
  <c r="N48" i="1"/>
  <c r="S48" i="1"/>
  <c r="G48" i="1"/>
  <c r="G49" i="1"/>
  <c r="T49" i="1"/>
  <c r="O49" i="1"/>
  <c r="U38" i="1"/>
  <c r="AA38" i="1"/>
  <c r="G38" i="1"/>
  <c r="AA39" i="1"/>
  <c r="V39" i="1"/>
  <c r="Y39" i="1"/>
  <c r="AA40" i="1"/>
  <c r="F40" i="1"/>
  <c r="R41" i="1"/>
  <c r="Z41" i="1"/>
  <c r="I41" i="1"/>
  <c r="AH41" i="1"/>
  <c r="AG41" i="1"/>
  <c r="T42" i="1"/>
  <c r="F43" i="1"/>
  <c r="V98" i="1"/>
  <c r="AG98" i="1"/>
  <c r="V99" i="1"/>
  <c r="AA99" i="1"/>
  <c r="AI98" i="1"/>
  <c r="AC98" i="1"/>
  <c r="X100" i="1"/>
  <c r="Z100" i="1"/>
  <c r="S100" i="1"/>
  <c r="AI99" i="1"/>
  <c r="AJ99" i="1"/>
  <c r="AG100" i="1"/>
  <c r="S101" i="1"/>
  <c r="Z101" i="1"/>
  <c r="H101" i="1"/>
  <c r="L101" i="1"/>
  <c r="Q101" i="1"/>
  <c r="J102" i="1"/>
  <c r="W102" i="1"/>
  <c r="F102" i="1"/>
  <c r="AE102" i="1"/>
  <c r="AB102" i="1"/>
  <c r="H104" i="1"/>
  <c r="AE103" i="1"/>
  <c r="M105" i="1"/>
  <c r="O105" i="1"/>
  <c r="Y44" i="1"/>
  <c r="X44" i="1"/>
  <c r="X45" i="1"/>
  <c r="T45" i="1"/>
  <c r="AK45" i="1"/>
  <c r="W46" i="1"/>
  <c r="Z45" i="1"/>
  <c r="AB46" i="1"/>
  <c r="AA46" i="1"/>
  <c r="K47" i="1"/>
  <c r="R47" i="1"/>
  <c r="AB47" i="1"/>
  <c r="AG47" i="1"/>
  <c r="T48" i="1"/>
  <c r="Z47" i="1"/>
  <c r="P49" i="1"/>
  <c r="T38" i="1"/>
  <c r="L38" i="1"/>
  <c r="AD38" i="1"/>
  <c r="AD42" i="1"/>
  <c r="AG74" i="1"/>
  <c r="AC101" i="1"/>
  <c r="AF101" i="1"/>
  <c r="O103" i="1"/>
  <c r="S103" i="1"/>
  <c r="G103" i="1"/>
  <c r="F104" i="1"/>
  <c r="P104" i="1"/>
  <c r="O104" i="1"/>
  <c r="AC103" i="1"/>
  <c r="AG104" i="1"/>
  <c r="AJ104" i="1"/>
  <c r="Y105" i="1"/>
  <c r="AH105" i="1"/>
  <c r="AE43" i="1"/>
  <c r="AB43" i="1"/>
  <c r="J44" i="1"/>
  <c r="V44" i="1"/>
  <c r="O45" i="1"/>
  <c r="W45" i="1"/>
  <c r="M45" i="1"/>
  <c r="AJ45" i="1"/>
  <c r="F46" i="1"/>
  <c r="X46" i="1"/>
  <c r="AE46" i="1"/>
  <c r="P48" i="1"/>
  <c r="AA48" i="1"/>
  <c r="S49" i="1"/>
  <c r="AB48" i="1"/>
  <c r="Z48" i="1"/>
  <c r="K38" i="1"/>
  <c r="J38" i="1"/>
  <c r="AG38" i="1"/>
  <c r="U39" i="1"/>
  <c r="AJ38" i="1"/>
  <c r="R40" i="1"/>
  <c r="M40" i="1"/>
  <c r="V41" i="1"/>
  <c r="AA41" i="1"/>
  <c r="N41" i="1"/>
  <c r="X42" i="1"/>
  <c r="K42" i="1"/>
  <c r="AK41" i="1"/>
  <c r="AG42" i="1"/>
  <c r="V43" i="1"/>
  <c r="Q97" i="1"/>
  <c r="I97" i="1"/>
  <c r="AC97" i="1"/>
  <c r="AK97" i="1"/>
  <c r="AD97" i="1"/>
  <c r="M98" i="1"/>
  <c r="J98" i="1"/>
  <c r="W98" i="1"/>
  <c r="M99" i="1"/>
  <c r="W99" i="1"/>
  <c r="AB98" i="1"/>
  <c r="AK98" i="1"/>
  <c r="U99" i="1"/>
  <c r="AH99" i="1"/>
  <c r="O100" i="1"/>
  <c r="AG99" i="1"/>
  <c r="AD99" i="1"/>
  <c r="F100" i="1"/>
  <c r="U101" i="1"/>
  <c r="AB100" i="1"/>
  <c r="AA101" i="1"/>
  <c r="AC100" i="1"/>
  <c r="AF100" i="1"/>
  <c r="R101" i="1"/>
  <c r="AG101" i="1"/>
  <c r="AK101" i="1"/>
  <c r="R102" i="1"/>
  <c r="I102" i="1"/>
  <c r="AI102" i="1"/>
  <c r="L104" i="1"/>
  <c r="AB103" i="1"/>
  <c r="J105" i="1"/>
  <c r="Q105" i="1"/>
  <c r="L44" i="1"/>
  <c r="M44" i="1"/>
  <c r="U45" i="1"/>
  <c r="AF44" i="1"/>
  <c r="AE45" i="1"/>
  <c r="M46" i="1"/>
  <c r="AF46" i="1"/>
  <c r="L47" i="1"/>
  <c r="N47" i="1"/>
  <c r="AH47" i="1"/>
  <c r="J48" i="1"/>
  <c r="U48" i="1"/>
  <c r="F38" i="1"/>
  <c r="M39" i="1"/>
  <c r="Z39" i="1"/>
  <c r="Q40" i="1"/>
  <c r="H40" i="1"/>
  <c r="P40" i="1"/>
  <c r="O41" i="1"/>
  <c r="F41" i="1"/>
  <c r="AD40" i="1"/>
  <c r="S42" i="1"/>
  <c r="F42" i="1"/>
  <c r="L43" i="1"/>
  <c r="G43" i="1"/>
  <c r="AH74" i="1"/>
  <c r="AD48" i="1"/>
  <c r="U49" i="1"/>
  <c r="I49" i="1"/>
  <c r="V49" i="1"/>
  <c r="Y49" i="1"/>
  <c r="AA93" i="1"/>
  <c r="Y38" i="1"/>
  <c r="AB38" i="1"/>
  <c r="M38" i="1"/>
  <c r="AK38" i="1"/>
  <c r="L39" i="1"/>
  <c r="P39" i="1"/>
  <c r="W39" i="1"/>
  <c r="F39" i="1"/>
  <c r="J40" i="1"/>
  <c r="G40" i="1"/>
  <c r="AH39" i="1"/>
  <c r="AF39" i="1"/>
  <c r="L40" i="1"/>
  <c r="X40" i="1"/>
  <c r="W41" i="1"/>
  <c r="AI40" i="1"/>
  <c r="AF40" i="1"/>
  <c r="L41" i="1"/>
  <c r="T41" i="1"/>
  <c r="M42" i="1"/>
  <c r="AF41" i="1"/>
  <c r="AJ41" i="1"/>
  <c r="U42" i="1"/>
  <c r="Y42" i="1"/>
  <c r="AC42" i="1"/>
  <c r="AI42" i="1"/>
  <c r="H43" i="1"/>
  <c r="Q43" i="1"/>
  <c r="I43" i="1"/>
  <c r="W74" i="1"/>
  <c r="AC74" i="1"/>
  <c r="X39" i="1"/>
  <c r="O39" i="1"/>
  <c r="W40" i="1"/>
  <c r="I40" i="1"/>
  <c r="AI39" i="1"/>
  <c r="AK39" i="1"/>
  <c r="N40" i="1"/>
  <c r="AD39" i="1"/>
  <c r="X41" i="1"/>
  <c r="M41" i="1"/>
  <c r="G41" i="1"/>
  <c r="AK40" i="1"/>
  <c r="U41" i="1"/>
  <c r="Z42" i="1"/>
  <c r="AA42" i="1"/>
  <c r="L42" i="1"/>
  <c r="AD41" i="1"/>
  <c r="G42" i="1"/>
  <c r="AJ42" i="1"/>
  <c r="AH42" i="1"/>
  <c r="AE42" i="1"/>
  <c r="AB42" i="1"/>
  <c r="K43" i="1"/>
  <c r="Y74" i="1"/>
  <c r="AE74" i="1"/>
  <c r="O43" i="1"/>
  <c r="U43" i="1"/>
  <c r="X74" i="1"/>
  <c r="AD74" i="1"/>
  <c r="AF74" i="1"/>
  <c r="I3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<sst xmlns="http://schemas.openxmlformats.org/spreadsheetml/2006/main" count="13" uniqueCount="12">
  <si>
    <t>Проверка расчета z фактора с использоваием унифлок VBA</t>
  </si>
  <si>
    <t>T</t>
  </si>
  <si>
    <t>T_K</t>
  </si>
  <si>
    <t>P</t>
  </si>
  <si>
    <t>P_Mpa</t>
  </si>
  <si>
    <t>gg</t>
  </si>
  <si>
    <t>zcor</t>
  </si>
  <si>
    <t>Beggs Brill</t>
  </si>
  <si>
    <t>Dranchuk</t>
  </si>
  <si>
    <t>Kareem</t>
  </si>
  <si>
    <t>Упражнения по работе с макросами Unifloc VBA</t>
  </si>
  <si>
    <t>версия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</si>
</sst>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2" fontId="0" fillId="0" borderId="0" xfId="0" applyNumberFormat="1" applyAlignment="1">
      <alignment horizontal="center"/>
    </xf>
    <xf numFmtId="1" fontId="0" fillId="0" borderId="0" xfId="0" applyNumberFormat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4" xfId="0" applyFont="1" applyFill="1" applyBorder="1"/>
    <xf numFmtId="0" fontId="2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z factor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z!$E$38</c:f>
              <c:strCache>
                <c:ptCount val="1"/>
                <c:pt idx="0">
                  <c:v>t=0 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z!$F$38:$AK$38</c:f>
              <c:numCache>
                <c:formatCode>0.00</c:formatCode>
                <c:ptCount val="32"/>
                <c:pt idx="0">
                  <c:v>0.99627109766006483</c:v>
                </c:pt>
                <c:pt idx="1">
                  <c:v>0.96222125291824345</c:v>
                </c:pt>
                <c:pt idx="2">
                  <c:v>0.92726601362228389</c:v>
                </c:pt>
                <c:pt idx="3">
                  <c:v>0.89140654802322405</c:v>
                </c:pt>
                <c:pt idx="4">
                  <c:v>0.85470126867294316</c:v>
                </c:pt>
                <c:pt idx="5">
                  <c:v>0.81730788946151756</c:v>
                </c:pt>
                <c:pt idx="6">
                  <c:v>0.77956169843673706</c:v>
                </c:pt>
                <c:pt idx="7">
                  <c:v>0.74209121465682992</c:v>
                </c:pt>
                <c:pt idx="8">
                  <c:v>0.70593501329421993</c:v>
                </c:pt>
                <c:pt idx="9">
                  <c:v>0.67258378267288221</c:v>
                </c:pt>
                <c:pt idx="10">
                  <c:v>0.6437688708305358</c:v>
                </c:pt>
                <c:pt idx="11">
                  <c:v>0.62092956304550162</c:v>
                </c:pt>
                <c:pt idx="12">
                  <c:v>0.60471073389053331</c:v>
                </c:pt>
                <c:pt idx="13">
                  <c:v>0.59488924741744986</c:v>
                </c:pt>
                <c:pt idx="14">
                  <c:v>0.59069522619247428</c:v>
                </c:pt>
                <c:pt idx="15">
                  <c:v>0.59118238687515268</c:v>
                </c:pt>
                <c:pt idx="16">
                  <c:v>0.59543949365615845</c:v>
                </c:pt>
                <c:pt idx="17">
                  <c:v>0.60267680883407571</c:v>
                </c:pt>
                <c:pt idx="18">
                  <c:v>0.61224478483200073</c:v>
                </c:pt>
                <c:pt idx="19">
                  <c:v>0.62362471818923959</c:v>
                </c:pt>
                <c:pt idx="20">
                  <c:v>0.63641356229782087</c:v>
                </c:pt>
                <c:pt idx="21">
                  <c:v>0.65029705762863177</c:v>
                </c:pt>
                <c:pt idx="22">
                  <c:v>0.66503571271896367</c:v>
                </c:pt>
                <c:pt idx="23">
                  <c:v>0.68044611215591444</c:v>
                </c:pt>
                <c:pt idx="24">
                  <c:v>0.69638456106185909</c:v>
                </c:pt>
                <c:pt idx="25">
                  <c:v>0.71274241209030142</c:v>
                </c:pt>
                <c:pt idx="26">
                  <c:v>0.72943204641342163</c:v>
                </c:pt>
                <c:pt idx="27">
                  <c:v>0.74638687372207646</c:v>
                </c:pt>
                <c:pt idx="28">
                  <c:v>0.76355198621749887</c:v>
                </c:pt>
                <c:pt idx="29">
                  <c:v>0.78088532686233525</c:v>
                </c:pt>
                <c:pt idx="30">
                  <c:v>0.79835184812545767</c:v>
                </c:pt>
                <c:pt idx="31">
                  <c:v>0.81592351198196411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72-4477-BA89-86098ACA3BE6}"/>
            </c:ext>
          </c:extLst>
        </c:ser>
        <c:ser>
          <c:idx val="1"/>
          <c:order val="1"/>
          <c:tx>
            <c:strRef>
              <c:f>z!$E$39</c:f>
              <c:strCache>
                <c:ptCount val="1"/>
                <c:pt idx="0">
                  <c:v>t=10 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z!$F$39:$AK$39</c:f>
              <c:numCache>
                <c:formatCode>0.00</c:formatCode>
                <c:ptCount val="32"/>
                <c:pt idx="0">
                  <c:v>0.99667063951492318</c:v>
                </c:pt>
                <c:pt idx="1">
                  <c:v>0.9663860678672791</c:v>
                </c:pt>
                <c:pt idx="2">
                  <c:v>0.93554540872573844</c:v>
                </c:pt>
                <c:pt idx="3">
                  <c:v>0.90419889688491839</c:v>
                </c:pt>
                <c:pt idx="4">
                  <c:v>0.87244349718093872</c:v>
                </c:pt>
                <c:pt idx="5">
                  <c:v>0.84045678377151489</c:v>
                </c:pt>
                <c:pt idx="6">
                  <c:v>0.80853198766708356</c:v>
                </c:pt>
                <c:pt idx="7">
                  <c:v>0.77712706327438341</c:v>
                </c:pt>
                <c:pt idx="8">
                  <c:v>0.74690908193588257</c:v>
                </c:pt>
                <c:pt idx="9">
                  <c:v>0.71875890493392935</c:v>
                </c:pt>
                <c:pt idx="10">
                  <c:v>0.69368706941604619</c:v>
                </c:pt>
                <c:pt idx="11">
                  <c:v>0.67263752222061179</c:v>
                </c:pt>
                <c:pt idx="12">
                  <c:v>0.65624345541000384</c:v>
                </c:pt>
                <c:pt idx="13">
                  <c:v>0.64469062089920048</c:v>
                </c:pt>
                <c:pt idx="14">
                  <c:v>0.63775354623794578</c:v>
                </c:pt>
                <c:pt idx="15">
                  <c:v>0.63495441675186171</c:v>
                </c:pt>
                <c:pt idx="16">
                  <c:v>0.63571377992630018</c:v>
                </c:pt>
                <c:pt idx="17">
                  <c:v>0.63946152925491329</c:v>
                </c:pt>
                <c:pt idx="18">
                  <c:v>0.64567896127700819</c:v>
                </c:pt>
                <c:pt idx="19">
                  <c:v>0.65391863584518428</c:v>
                </c:pt>
                <c:pt idx="20">
                  <c:v>0.66380437612533583</c:v>
                </c:pt>
                <c:pt idx="21">
                  <c:v>0.67502893209457415</c:v>
                </c:pt>
                <c:pt idx="22">
                  <c:v>0.68733762502670293</c:v>
                </c:pt>
                <c:pt idx="23">
                  <c:v>0.70052834749221793</c:v>
                </c:pt>
                <c:pt idx="24">
                  <c:v>0.71443403959274288</c:v>
                </c:pt>
                <c:pt idx="25">
                  <c:v>0.72892385721206665</c:v>
                </c:pt>
                <c:pt idx="26">
                  <c:v>0.74389032125473031</c:v>
                </c:pt>
                <c:pt idx="27">
                  <c:v>0.75924698114395128</c:v>
                </c:pt>
                <c:pt idx="28">
                  <c:v>0.77492491006851183</c:v>
                </c:pt>
                <c:pt idx="29">
                  <c:v>0.79086452722549461</c:v>
                </c:pt>
                <c:pt idx="30">
                  <c:v>0.80702143907546997</c:v>
                </c:pt>
                <c:pt idx="31">
                  <c:v>0.82335592508316058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D472-4477-BA89-86098ACA3BE6}"/>
            </c:ext>
          </c:extLst>
        </c:ser>
        <c:ser>
          <c:idx val="2"/>
          <c:order val="2"/>
          <c:tx>
            <c:strRef>
              <c:f>z!$E$40</c:f>
              <c:strCache>
                <c:ptCount val="1"/>
                <c:pt idx="0">
                  <c:v>t=20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z!$F$40:$AK$40</c:f>
              <c:numCache>
                <c:formatCode>0.00</c:formatCode>
                <c:ptCount val="32"/>
                <c:pt idx="0">
                  <c:v>0.99701527357101449</c:v>
                </c:pt>
                <c:pt idx="1">
                  <c:v>0.96996909379959106</c:v>
                </c:pt>
                <c:pt idx="2">
                  <c:v>0.94261800050735478</c:v>
                </c:pt>
                <c:pt idx="3">
                  <c:v>0.91503442525863665</c:v>
                </c:pt>
                <c:pt idx="4">
                  <c:v>0.8873305201530457</c:v>
                </c:pt>
                <c:pt idx="5">
                  <c:v>0.85967217683792119</c:v>
                </c:pt>
                <c:pt idx="6">
                  <c:v>0.83230823278427102</c:v>
                </c:pt>
                <c:pt idx="7">
                  <c:v>0.80558098554611224</c:v>
                </c:pt>
                <c:pt idx="8">
                  <c:v>0.77994838953018197</c:v>
                </c:pt>
                <c:pt idx="9">
                  <c:v>0.75597821474075322</c:v>
                </c:pt>
                <c:pt idx="10">
                  <c:v>0.73430365324020386</c:v>
                </c:pt>
                <c:pt idx="11">
                  <c:v>0.71553920507431013</c:v>
                </c:pt>
                <c:pt idx="12">
                  <c:v>0.70016735792160034</c:v>
                </c:pt>
                <c:pt idx="13">
                  <c:v>0.68844629526138323</c:v>
                </c:pt>
                <c:pt idx="14">
                  <c:v>0.68038536310195941</c:v>
                </c:pt>
                <c:pt idx="15">
                  <c:v>0.67578829526901263</c:v>
                </c:pt>
                <c:pt idx="16">
                  <c:v>0.6743314862251284</c:v>
                </c:pt>
                <c:pt idx="17">
                  <c:v>0.6756375908851624</c:v>
                </c:pt>
                <c:pt idx="18">
                  <c:v>0.67932809591293331</c:v>
                </c:pt>
                <c:pt idx="19">
                  <c:v>0.68505018949508667</c:v>
                </c:pt>
                <c:pt idx="20">
                  <c:v>0.6924884438514709</c:v>
                </c:pt>
                <c:pt idx="21">
                  <c:v>0.70137065649032571</c:v>
                </c:pt>
                <c:pt idx="22">
                  <c:v>0.71146434545516968</c:v>
                </c:pt>
                <c:pt idx="23">
                  <c:v>0.72257207632064824</c:v>
                </c:pt>
                <c:pt idx="24">
                  <c:v>0.73452795743942256</c:v>
                </c:pt>
                <c:pt idx="25">
                  <c:v>0.74719413518905631</c:v>
                </c:pt>
                <c:pt idx="26">
                  <c:v>0.76045378446578971</c:v>
                </c:pt>
                <c:pt idx="27">
                  <c:v>0.77421110868453979</c:v>
                </c:pt>
                <c:pt idx="28">
                  <c:v>0.78838783502578735</c:v>
                </c:pt>
                <c:pt idx="29">
                  <c:v>0.8029162049293519</c:v>
                </c:pt>
                <c:pt idx="30">
                  <c:v>0.81774014234542869</c:v>
                </c:pt>
                <c:pt idx="31">
                  <c:v>0.83281291723251338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D472-4477-BA89-86098ACA3BE6}"/>
            </c:ext>
          </c:extLst>
        </c:ser>
        <c:ser>
          <c:idx val="3"/>
          <c:order val="3"/>
          <c:tx>
            <c:strRef>
              <c:f>z!$E$41</c:f>
              <c:strCache>
                <c:ptCount val="1"/>
                <c:pt idx="0">
                  <c:v>t=30 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z!$F$41:$AK$41</c:f>
              <c:numCache>
                <c:formatCode>0.00</c:formatCode>
                <c:ptCount val="32"/>
                <c:pt idx="0">
                  <c:v>0.99731668233871473</c:v>
                </c:pt>
                <c:pt idx="1">
                  <c:v>0.97307313680648821</c:v>
                </c:pt>
                <c:pt idx="2">
                  <c:v>0.94870926141738909</c:v>
                </c:pt>
                <c:pt idx="3">
                  <c:v>0.92430332899093637</c:v>
                </c:pt>
                <c:pt idx="4">
                  <c:v>0.89996749162673972</c:v>
                </c:pt>
                <c:pt idx="5">
                  <c:v>0.87585245370864873</c:v>
                </c:pt>
                <c:pt idx="6">
                  <c:v>0.85216265916824341</c:v>
                </c:pt>
                <c:pt idx="7">
                  <c:v>0.82916213274002093</c:v>
                </c:pt>
                <c:pt idx="8">
                  <c:v>0.80717798471450819</c:v>
                </c:pt>
                <c:pt idx="9">
                  <c:v>0.78660041093826294</c:v>
                </c:pt>
                <c:pt idx="10">
                  <c:v>0.76784764528274541</c:v>
                </c:pt>
                <c:pt idx="11">
                  <c:v>0.75133324861526485</c:v>
                </c:pt>
                <c:pt idx="12">
                  <c:v>0.73740302324295048</c:v>
                </c:pt>
                <c:pt idx="13">
                  <c:v>0.72628477811813341</c:v>
                </c:pt>
                <c:pt idx="14">
                  <c:v>0.71806262731552106</c:v>
                </c:pt>
                <c:pt idx="15">
                  <c:v>0.71268283128738386</c:v>
                </c:pt>
                <c:pt idx="16">
                  <c:v>0.70998066663742065</c:v>
                </c:pt>
                <c:pt idx="17">
                  <c:v>0.70972365140914917</c:v>
                </c:pt>
                <c:pt idx="18">
                  <c:v>0.71165243387222299</c:v>
                </c:pt>
                <c:pt idx="19">
                  <c:v>0.7155041575431822</c:v>
                </c:pt>
                <c:pt idx="20">
                  <c:v>0.72103115320205702</c:v>
                </c:pt>
                <c:pt idx="21">
                  <c:v>0.72800561189651503</c:v>
                </c:pt>
                <c:pt idx="22">
                  <c:v>0.73622776269912737</c:v>
                </c:pt>
                <c:pt idx="23">
                  <c:v>0.74552003145217904</c:v>
                </c:pt>
                <c:pt idx="24">
                  <c:v>0.75573054552078234</c:v>
                </c:pt>
                <c:pt idx="25">
                  <c:v>0.76672729253768912</c:v>
                </c:pt>
                <c:pt idx="26">
                  <c:v>0.77839578390121456</c:v>
                </c:pt>
                <c:pt idx="27">
                  <c:v>0.79064022302627568</c:v>
                </c:pt>
                <c:pt idx="28">
                  <c:v>0.80337766408920297</c:v>
                </c:pt>
                <c:pt idx="29">
                  <c:v>0.81653801202774057</c:v>
                </c:pt>
                <c:pt idx="30">
                  <c:v>0.83005934953689575</c:v>
                </c:pt>
                <c:pt idx="31">
                  <c:v>0.84389261007308969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D472-4477-BA89-86098ACA3BE6}"/>
            </c:ext>
          </c:extLst>
        </c:ser>
        <c:ser>
          <c:idx val="4"/>
          <c:order val="4"/>
          <c:tx>
            <c:strRef>
              <c:f>z!$E$42</c:f>
              <c:strCache>
                <c:ptCount val="1"/>
                <c:pt idx="0">
                  <c:v>t=40 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z!$F$42:$AK$42</c:f>
              <c:numCache>
                <c:formatCode>0.00</c:formatCode>
                <c:ptCount val="32"/>
                <c:pt idx="0">
                  <c:v>0.99757953882217421</c:v>
                </c:pt>
                <c:pt idx="1">
                  <c:v>0.97577880620956425</c:v>
                </c:pt>
                <c:pt idx="2">
                  <c:v>0.95399092435836796</c:v>
                </c:pt>
                <c:pt idx="3">
                  <c:v>0.93229767084121717</c:v>
                </c:pt>
                <c:pt idx="4">
                  <c:v>0.91080068349838261</c:v>
                </c:pt>
                <c:pt idx="5">
                  <c:v>0.88963547945022592</c:v>
                </c:pt>
                <c:pt idx="6">
                  <c:v>0.86896911859512338</c:v>
                </c:pt>
                <c:pt idx="7">
                  <c:v>0.84900721311569227</c:v>
                </c:pt>
                <c:pt idx="8">
                  <c:v>0.82999509572982788</c:v>
                </c:pt>
                <c:pt idx="9">
                  <c:v>0.81220847368240356</c:v>
                </c:pt>
                <c:pt idx="10">
                  <c:v>0.79593824148178083</c:v>
                </c:pt>
                <c:pt idx="11">
                  <c:v>0.78147178888320945</c:v>
                </c:pt>
                <c:pt idx="12">
                  <c:v>0.76905444860458361</c:v>
                </c:pt>
                <c:pt idx="13">
                  <c:v>0.75886729955673204</c:v>
                </c:pt>
                <c:pt idx="14">
                  <c:v>0.75100497007369982</c:v>
                </c:pt>
                <c:pt idx="15">
                  <c:v>0.74547213315963745</c:v>
                </c:pt>
                <c:pt idx="16">
                  <c:v>0.74219168424606319</c:v>
                </c:pt>
                <c:pt idx="17">
                  <c:v>0.74102810621261606</c:v>
                </c:pt>
                <c:pt idx="18">
                  <c:v>0.74181083440780626</c:v>
                </c:pt>
                <c:pt idx="19">
                  <c:v>0.74435178041458139</c:v>
                </c:pt>
                <c:pt idx="20">
                  <c:v>0.74846168756484976</c:v>
                </c:pt>
                <c:pt idx="21">
                  <c:v>0.75396064519882189</c:v>
                </c:pt>
                <c:pt idx="22">
                  <c:v>0.76068159341812125</c:v>
                </c:pt>
                <c:pt idx="23">
                  <c:v>0.76847382783889784</c:v>
                </c:pt>
                <c:pt idx="24">
                  <c:v>0.77720183134078979</c:v>
                </c:pt>
                <c:pt idx="25">
                  <c:v>0.78674644231796265</c:v>
                </c:pt>
                <c:pt idx="26">
                  <c:v>0.79700368642806985</c:v>
                </c:pt>
                <c:pt idx="27">
                  <c:v>0.8078824400901794</c:v>
                </c:pt>
                <c:pt idx="28">
                  <c:v>0.81930092573165902</c:v>
                </c:pt>
                <c:pt idx="29">
                  <c:v>0.83119021654129011</c:v>
                </c:pt>
                <c:pt idx="30">
                  <c:v>0.8434895634651185</c:v>
                </c:pt>
                <c:pt idx="31">
                  <c:v>0.8561475634574891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D472-4477-BA89-86098ACA3BE6}"/>
            </c:ext>
          </c:extLst>
        </c:ser>
        <c:ser>
          <c:idx val="5"/>
          <c:order val="5"/>
          <c:tx>
            <c:strRef>
              <c:f>z!$E$43</c:f>
              <c:strCache>
                <c:ptCount val="1"/>
                <c:pt idx="0">
                  <c:v>t=50 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z!$F$43:$AK$43</c:f>
              <c:numCache>
                <c:formatCode>0.00</c:formatCode>
                <c:ptCount val="32"/>
                <c:pt idx="0">
                  <c:v>0.99781085252761836</c:v>
                </c:pt>
                <c:pt idx="1">
                  <c:v>0.9781503558158875</c:v>
                </c:pt>
                <c:pt idx="2">
                  <c:v>0.95860084295272818</c:v>
                </c:pt>
                <c:pt idx="3">
                  <c:v>0.93924058675766009</c:v>
                </c:pt>
                <c:pt idx="4">
                  <c:v>0.92016421556472783</c:v>
                </c:pt>
                <c:pt idx="5">
                  <c:v>0.90148738622665414</c:v>
                </c:pt>
                <c:pt idx="6">
                  <c:v>0.88335028886795053</c:v>
                </c:pt>
                <c:pt idx="7">
                  <c:v>0.86591297388076804</c:v>
                </c:pt>
                <c:pt idx="8">
                  <c:v>0.8493646979331968</c:v>
                </c:pt>
                <c:pt idx="9">
                  <c:v>0.83390523195266719</c:v>
                </c:pt>
                <c:pt idx="10">
                  <c:v>0.81974719762802128</c:v>
                </c:pt>
                <c:pt idx="11">
                  <c:v>0.80709153413772583</c:v>
                </c:pt>
                <c:pt idx="12">
                  <c:v>0.79611815214157078</c:v>
                </c:pt>
                <c:pt idx="13">
                  <c:v>0.78696373701095568</c:v>
                </c:pt>
                <c:pt idx="14">
                  <c:v>0.77971240282058707</c:v>
                </c:pt>
                <c:pt idx="15">
                  <c:v>0.77438868284225459</c:v>
                </c:pt>
                <c:pt idx="16">
                  <c:v>0.77095986604690547</c:v>
                </c:pt>
                <c:pt idx="17">
                  <c:v>0.76935001611709586</c:v>
                </c:pt>
                <c:pt idx="18">
                  <c:v>0.76944581270217904</c:v>
                </c:pt>
                <c:pt idx="19">
                  <c:v>0.77111641168594369</c:v>
                </c:pt>
                <c:pt idx="20">
                  <c:v>0.77422279119491577</c:v>
                </c:pt>
                <c:pt idx="21">
                  <c:v>0.7786235928535461</c:v>
                </c:pt>
                <c:pt idx="22">
                  <c:v>0.78418446779251094</c:v>
                </c:pt>
                <c:pt idx="23">
                  <c:v>0.79077924489974971</c:v>
                </c:pt>
                <c:pt idx="24">
                  <c:v>0.79829460382461548</c:v>
                </c:pt>
                <c:pt idx="25">
                  <c:v>0.80662306547164908</c:v>
                </c:pt>
                <c:pt idx="26">
                  <c:v>0.81567467451095577</c:v>
                </c:pt>
                <c:pt idx="27">
                  <c:v>0.82536298036575317</c:v>
                </c:pt>
                <c:pt idx="28">
                  <c:v>0.83561438322067261</c:v>
                </c:pt>
                <c:pt idx="29">
                  <c:v>0.8463646292686462</c:v>
                </c:pt>
                <c:pt idx="30">
                  <c:v>0.85755413770675681</c:v>
                </c:pt>
                <c:pt idx="31">
                  <c:v>0.86913150548934937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D472-4477-BA89-86098ACA3BE6}"/>
            </c:ext>
          </c:extLst>
        </c:ser>
        <c:ser>
          <c:idx val="6"/>
          <c:order val="6"/>
          <c:tx>
            <c:strRef>
              <c:f>z!$E$44</c:f>
              <c:strCache>
                <c:ptCount val="1"/>
                <c:pt idx="0">
                  <c:v>t=60 C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z!$F$44:$AK$44</c:f>
              <c:numCache>
                <c:formatCode>0.00</c:formatCode>
                <c:ptCount val="32"/>
                <c:pt idx="0">
                  <c:v>0.99801646471023564</c:v>
                </c:pt>
                <c:pt idx="1">
                  <c:v>0.98023918867111215</c:v>
                </c:pt>
                <c:pt idx="2">
                  <c:v>0.96264649629592913</c:v>
                </c:pt>
                <c:pt idx="3">
                  <c:v>0.94531081914901738</c:v>
                </c:pt>
                <c:pt idx="4">
                  <c:v>0.92831743955612178</c:v>
                </c:pt>
                <c:pt idx="5">
                  <c:v>0.91176449060440068</c:v>
                </c:pt>
                <c:pt idx="6">
                  <c:v>0.89576762914657593</c:v>
                </c:pt>
                <c:pt idx="7">
                  <c:v>0.88045886754989611</c:v>
                </c:pt>
                <c:pt idx="8">
                  <c:v>0.86598190069198622</c:v>
                </c:pt>
                <c:pt idx="9">
                  <c:v>0.8524874329566956</c:v>
                </c:pt>
                <c:pt idx="10">
                  <c:v>0.84013317823410039</c:v>
                </c:pt>
                <c:pt idx="11">
                  <c:v>0.82906516790390028</c:v>
                </c:pt>
                <c:pt idx="12">
                  <c:v>0.81941541433334364</c:v>
                </c:pt>
                <c:pt idx="13">
                  <c:v>0.81128672361373888</c:v>
                </c:pt>
                <c:pt idx="14">
                  <c:v>0.80474802255630506</c:v>
                </c:pt>
                <c:pt idx="15">
                  <c:v>0.79982501268386841</c:v>
                </c:pt>
                <c:pt idx="16">
                  <c:v>0.79650951623916622</c:v>
                </c:pt>
                <c:pt idx="17">
                  <c:v>0.79475597143173204</c:v>
                </c:pt>
                <c:pt idx="18">
                  <c:v>0.79448961019515996</c:v>
                </c:pt>
                <c:pt idx="19">
                  <c:v>0.795621645450592</c:v>
                </c:pt>
                <c:pt idx="20">
                  <c:v>0.79804576635360713</c:v>
                </c:pt>
                <c:pt idx="21">
                  <c:v>0.80165683031082136</c:v>
                </c:pt>
                <c:pt idx="22">
                  <c:v>0.80634735822677617</c:v>
                </c:pt>
                <c:pt idx="23">
                  <c:v>0.81201454401016226</c:v>
                </c:pt>
                <c:pt idx="24">
                  <c:v>0.81856259107589735</c:v>
                </c:pt>
                <c:pt idx="25">
                  <c:v>0.82589920759201063</c:v>
                </c:pt>
                <c:pt idx="26">
                  <c:v>0.83394612073898311</c:v>
                </c:pt>
                <c:pt idx="27">
                  <c:v>0.8426262259483337</c:v>
                </c:pt>
                <c:pt idx="28">
                  <c:v>0.85187410116195683</c:v>
                </c:pt>
                <c:pt idx="29">
                  <c:v>0.8616278290748598</c:v>
                </c:pt>
                <c:pt idx="30">
                  <c:v>0.87183600664138794</c:v>
                </c:pt>
                <c:pt idx="31">
                  <c:v>0.88244839906692518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D472-4477-BA89-86098ACA3BE6}"/>
            </c:ext>
          </c:extLst>
        </c:ser>
        <c:ser>
          <c:idx val="7"/>
          <c:order val="7"/>
          <c:tx>
            <c:strRef>
              <c:f>z!$E$45</c:f>
              <c:strCache>
                <c:ptCount val="1"/>
                <c:pt idx="0">
                  <c:v>t=70 C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z!$F$45:$AK$45</c:f>
              <c:numCache>
                <c:formatCode>0.00</c:formatCode>
                <c:ptCount val="32"/>
                <c:pt idx="0">
                  <c:v>0.99819754362106328</c:v>
                </c:pt>
                <c:pt idx="1">
                  <c:v>0.9820873618125916</c:v>
                </c:pt>
                <c:pt idx="2">
                  <c:v>0.96621550321578975</c:v>
                </c:pt>
                <c:pt idx="3">
                  <c:v>0.9506485581398012</c:v>
                </c:pt>
                <c:pt idx="4">
                  <c:v>0.93546012639999376</c:v>
                </c:pt>
                <c:pt idx="5">
                  <c:v>0.92073665857315068</c:v>
                </c:pt>
                <c:pt idx="6">
                  <c:v>0.90657395124435447</c:v>
                </c:pt>
                <c:pt idx="7">
                  <c:v>0.89307831525802617</c:v>
                </c:pt>
                <c:pt idx="8">
                  <c:v>0.88036307096481337</c:v>
                </c:pt>
                <c:pt idx="9">
                  <c:v>0.86854621171951307</c:v>
                </c:pt>
                <c:pt idx="10">
                  <c:v>0.8577422261238099</c:v>
                </c:pt>
                <c:pt idx="11">
                  <c:v>0.84806209802627586</c:v>
                </c:pt>
                <c:pt idx="12">
                  <c:v>0.8396039605140686</c:v>
                </c:pt>
                <c:pt idx="13">
                  <c:v>0.83244491815567012</c:v>
                </c:pt>
                <c:pt idx="14">
                  <c:v>0.82663754224777231</c:v>
                </c:pt>
                <c:pt idx="15">
                  <c:v>0.8222087025642395</c:v>
                </c:pt>
                <c:pt idx="16">
                  <c:v>0.81915489435195932</c:v>
                </c:pt>
                <c:pt idx="17">
                  <c:v>0.81744924783706674</c:v>
                </c:pt>
                <c:pt idx="18">
                  <c:v>0.8170438647270204</c:v>
                </c:pt>
                <c:pt idx="19">
                  <c:v>0.81787215471267705</c:v>
                </c:pt>
                <c:pt idx="20">
                  <c:v>0.81985934972763075</c:v>
                </c:pt>
                <c:pt idx="21">
                  <c:v>0.82292250394821176</c:v>
                </c:pt>
                <c:pt idx="22">
                  <c:v>0.82697633504867563</c:v>
                </c:pt>
                <c:pt idx="23">
                  <c:v>0.83193906545639051</c:v>
                </c:pt>
                <c:pt idx="24">
                  <c:v>0.83773008584976205</c:v>
                </c:pt>
                <c:pt idx="25">
                  <c:v>0.84427462816238408</c:v>
                </c:pt>
                <c:pt idx="26">
                  <c:v>0.85150026082992558</c:v>
                </c:pt>
                <c:pt idx="27">
                  <c:v>0.85934156179428101</c:v>
                </c:pt>
                <c:pt idx="28">
                  <c:v>0.86774128675460838</c:v>
                </c:pt>
                <c:pt idx="29">
                  <c:v>0.87664452791213998</c:v>
                </c:pt>
                <c:pt idx="30">
                  <c:v>0.88600105047225952</c:v>
                </c:pt>
                <c:pt idx="31">
                  <c:v>0.89576646089553846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D472-4477-BA89-86098ACA3BE6}"/>
            </c:ext>
          </c:extLst>
        </c:ser>
        <c:ser>
          <c:idx val="8"/>
          <c:order val="8"/>
          <c:tx>
            <c:strRef>
              <c:f>z!$E$46</c:f>
              <c:strCache>
                <c:ptCount val="1"/>
                <c:pt idx="0">
                  <c:v>t=80 C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z!$F$46:$AK$46</c:f>
              <c:numCache>
                <c:formatCode>0.00</c:formatCode>
                <c:ptCount val="32"/>
                <c:pt idx="0">
                  <c:v>0.99835993051528926</c:v>
                </c:pt>
                <c:pt idx="1">
                  <c:v>0.98373109102249146</c:v>
                </c:pt>
                <c:pt idx="2">
                  <c:v>0.96937912702560425</c:v>
                </c:pt>
                <c:pt idx="3">
                  <c:v>0.95536361932754521</c:v>
                </c:pt>
                <c:pt idx="4">
                  <c:v>0.94175232648849483</c:v>
                </c:pt>
                <c:pt idx="5">
                  <c:v>0.92861768007278456</c:v>
                </c:pt>
                <c:pt idx="6">
                  <c:v>0.91603912115097064</c:v>
                </c:pt>
                <c:pt idx="7">
                  <c:v>0.90410543680191058</c:v>
                </c:pt>
                <c:pt idx="8">
                  <c:v>0.89290424585342443</c:v>
                </c:pt>
                <c:pt idx="9">
                  <c:v>0.88252900838851955</c:v>
                </c:pt>
                <c:pt idx="10">
                  <c:v>0.87306734323501578</c:v>
                </c:pt>
                <c:pt idx="11">
                  <c:v>0.86460336446762076</c:v>
                </c:pt>
                <c:pt idx="12">
                  <c:v>0.85720950365066528</c:v>
                </c:pt>
                <c:pt idx="13">
                  <c:v>0.85094417333602901</c:v>
                </c:pt>
                <c:pt idx="14">
                  <c:v>0.84584826231002808</c:v>
                </c:pt>
                <c:pt idx="15">
                  <c:v>0.84194279909133907</c:v>
                </c:pt>
                <c:pt idx="16">
                  <c:v>0.83922895193099967</c:v>
                </c:pt>
                <c:pt idx="17">
                  <c:v>0.83768802881240845</c:v>
                </c:pt>
                <c:pt idx="18">
                  <c:v>0.83728731870651241</c:v>
                </c:pt>
                <c:pt idx="19">
                  <c:v>0.8379789233207704</c:v>
                </c:pt>
                <c:pt idx="20">
                  <c:v>0.83970559835433956</c:v>
                </c:pt>
                <c:pt idx="21">
                  <c:v>0.84240192174911499</c:v>
                </c:pt>
                <c:pt idx="22">
                  <c:v>0.8460048079490663</c:v>
                </c:pt>
                <c:pt idx="23">
                  <c:v>0.85044416189193717</c:v>
                </c:pt>
                <c:pt idx="24">
                  <c:v>0.85565339326858547</c:v>
                </c:pt>
                <c:pt idx="25">
                  <c:v>0.86157175302505529</c:v>
                </c:pt>
                <c:pt idx="26">
                  <c:v>0.86813615560531643</c:v>
                </c:pt>
                <c:pt idx="27">
                  <c:v>0.87529052495956416</c:v>
                </c:pt>
                <c:pt idx="28">
                  <c:v>0.88298345804214495</c:v>
                </c:pt>
                <c:pt idx="29">
                  <c:v>0.89116705656051654</c:v>
                </c:pt>
                <c:pt idx="30">
                  <c:v>0.89979575872421291</c:v>
                </c:pt>
                <c:pt idx="31">
                  <c:v>0.90882984399795541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D472-4477-BA89-86098ACA3BE6}"/>
            </c:ext>
          </c:extLst>
        </c:ser>
        <c:ser>
          <c:idx val="9"/>
          <c:order val="9"/>
          <c:tx>
            <c:strRef>
              <c:f>z!$E$47</c:f>
              <c:strCache>
                <c:ptCount val="1"/>
                <c:pt idx="0">
                  <c:v>t=90 C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z!$F$47:$AK$47</c:f>
              <c:numCache>
                <c:formatCode>0.00</c:formatCode>
                <c:ptCount val="32"/>
                <c:pt idx="0">
                  <c:v>0.9985047936439515</c:v>
                </c:pt>
                <c:pt idx="1">
                  <c:v>0.98519724607467651</c:v>
                </c:pt>
                <c:pt idx="2">
                  <c:v>0.9721946120262146</c:v>
                </c:pt>
                <c:pt idx="3">
                  <c:v>0.95955063104629512</c:v>
                </c:pt>
                <c:pt idx="4">
                  <c:v>0.94732371568679818</c:v>
                </c:pt>
                <c:pt idx="5">
                  <c:v>0.93557811975479144</c:v>
                </c:pt>
                <c:pt idx="6">
                  <c:v>0.92437926530838022</c:v>
                </c:pt>
                <c:pt idx="7">
                  <c:v>0.91379958391189575</c:v>
                </c:pt>
                <c:pt idx="8">
                  <c:v>0.90391033887863181</c:v>
                </c:pt>
                <c:pt idx="9">
                  <c:v>0.89478513002395643</c:v>
                </c:pt>
                <c:pt idx="10">
                  <c:v>0.88649171590805054</c:v>
                </c:pt>
                <c:pt idx="11">
                  <c:v>0.87909435033798222</c:v>
                </c:pt>
                <c:pt idx="12">
                  <c:v>0.87264794111251831</c:v>
                </c:pt>
                <c:pt idx="13">
                  <c:v>0.86719688177108778</c:v>
                </c:pt>
                <c:pt idx="14">
                  <c:v>0.86277154684066781</c:v>
                </c:pt>
                <c:pt idx="15">
                  <c:v>0.85938829183578513</c:v>
                </c:pt>
                <c:pt idx="16">
                  <c:v>0.85704828500747698</c:v>
                </c:pt>
                <c:pt idx="17">
                  <c:v>0.85573867559432992</c:v>
                </c:pt>
                <c:pt idx="18">
                  <c:v>0.85543493032455453</c:v>
                </c:pt>
                <c:pt idx="19">
                  <c:v>0.8561008334159852</c:v>
                </c:pt>
                <c:pt idx="20">
                  <c:v>0.85769199132919316</c:v>
                </c:pt>
                <c:pt idx="21">
                  <c:v>0.86015933752059937</c:v>
                </c:pt>
                <c:pt idx="22">
                  <c:v>0.86344913244247423</c:v>
                </c:pt>
                <c:pt idx="23">
                  <c:v>0.86750646829605116</c:v>
                </c:pt>
                <c:pt idx="24">
                  <c:v>0.87227643728256221</c:v>
                </c:pt>
                <c:pt idx="25">
                  <c:v>0.87770646810531638</c:v>
                </c:pt>
                <c:pt idx="26">
                  <c:v>0.88374398946762089</c:v>
                </c:pt>
                <c:pt idx="27">
                  <c:v>0.89034110307693481</c:v>
                </c:pt>
                <c:pt idx="28">
                  <c:v>0.89745107889175446</c:v>
                </c:pt>
                <c:pt idx="29">
                  <c:v>0.90503302812576303</c:v>
                </c:pt>
                <c:pt idx="30">
                  <c:v>0.9130448937416078</c:v>
                </c:pt>
                <c:pt idx="31">
                  <c:v>0.92145279645919809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D472-4477-BA89-86098ACA3BE6}"/>
            </c:ext>
          </c:extLst>
        </c:ser>
        <c:ser>
          <c:idx val="10"/>
          <c:order val="10"/>
          <c:tx>
            <c:strRef>
              <c:f>z!$E$48</c:f>
              <c:strCache>
                <c:ptCount val="1"/>
                <c:pt idx="0">
                  <c:v>t=100 C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z!$F$48:$AK$48</c:f>
              <c:numCache>
                <c:formatCode>0.00</c:formatCode>
                <c:ptCount val="32"/>
                <c:pt idx="0">
                  <c:v>0.99863446950912471</c:v>
                </c:pt>
                <c:pt idx="1">
                  <c:v>0.98651036024093641</c:v>
                </c:pt>
                <c:pt idx="2">
                  <c:v>0.9747098565101624</c:v>
                </c:pt>
                <c:pt idx="3">
                  <c:v>0.96328319311141986</c:v>
                </c:pt>
                <c:pt idx="4">
                  <c:v>0.95228060483932508</c:v>
                </c:pt>
                <c:pt idx="5">
                  <c:v>0.94175466299056998</c:v>
                </c:pt>
                <c:pt idx="6">
                  <c:v>0.93176494836807255</c:v>
                </c:pt>
                <c:pt idx="7">
                  <c:v>0.92236870527267456</c:v>
                </c:pt>
                <c:pt idx="8">
                  <c:v>0.91362551450729379</c:v>
                </c:pt>
                <c:pt idx="9">
                  <c:v>0.90559028387069707</c:v>
                </c:pt>
                <c:pt idx="10">
                  <c:v>0.89832025766372703</c:v>
                </c:pt>
                <c:pt idx="11">
                  <c:v>0.89186216592788714</c:v>
                </c:pt>
                <c:pt idx="12">
                  <c:v>0.88625923395156869</c:v>
                </c:pt>
                <c:pt idx="13">
                  <c:v>0.88154417276382468</c:v>
                </c:pt>
                <c:pt idx="14">
                  <c:v>0.87774034738540663</c:v>
                </c:pt>
                <c:pt idx="15">
                  <c:v>0.87485827207565303</c:v>
                </c:pt>
                <c:pt idx="16">
                  <c:v>0.87290028333663949</c:v>
                </c:pt>
                <c:pt idx="17">
                  <c:v>0.87185469865798959</c:v>
                </c:pt>
                <c:pt idx="18">
                  <c:v>0.87170399427413958</c:v>
                </c:pt>
                <c:pt idx="19">
                  <c:v>0.87241779565811162</c:v>
                </c:pt>
                <c:pt idx="20">
                  <c:v>0.87396105527877799</c:v>
                </c:pt>
                <c:pt idx="21">
                  <c:v>0.87629638910293584</c:v>
                </c:pt>
                <c:pt idx="22">
                  <c:v>0.8793782353401185</c:v>
                </c:pt>
                <c:pt idx="23">
                  <c:v>0.88316220045089744</c:v>
                </c:pt>
                <c:pt idx="24">
                  <c:v>0.88760389089584346</c:v>
                </c:pt>
                <c:pt idx="25">
                  <c:v>0.89265657663345355</c:v>
                </c:pt>
                <c:pt idx="26">
                  <c:v>0.89827820062637342</c:v>
                </c:pt>
                <c:pt idx="27">
                  <c:v>0.90442553758621225</c:v>
                </c:pt>
                <c:pt idx="28">
                  <c:v>0.9110576987266541</c:v>
                </c:pt>
                <c:pt idx="29">
                  <c:v>0.91813963651657104</c:v>
                </c:pt>
                <c:pt idx="30">
                  <c:v>0.9256351351737977</c:v>
                </c:pt>
                <c:pt idx="31">
                  <c:v>0.93351031541824336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D472-4477-BA89-86098ACA3BE6}"/>
            </c:ext>
          </c:extLst>
        </c:ser>
        <c:ser>
          <c:idx val="11"/>
          <c:order val="11"/>
          <c:tx>
            <c:strRef>
              <c:f>z!$E$49</c:f>
              <c:strCache>
                <c:ptCount val="1"/>
                <c:pt idx="0">
                  <c:v>t=110 C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z!$F$49:$AK$49</c:f>
              <c:numCache>
                <c:formatCode>0.00</c:formatCode>
                <c:ptCount val="32"/>
                <c:pt idx="0">
                  <c:v>0.99875129461288448</c:v>
                </c:pt>
                <c:pt idx="1">
                  <c:v>0.98769029378890982</c:v>
                </c:pt>
                <c:pt idx="2">
                  <c:v>0.97696691751480103</c:v>
                </c:pt>
                <c:pt idx="3">
                  <c:v>0.96662322282791147</c:v>
                </c:pt>
                <c:pt idx="4">
                  <c:v>0.95670593976974483</c:v>
                </c:pt>
                <c:pt idx="5">
                  <c:v>0.94726179838180546</c:v>
                </c:pt>
                <c:pt idx="6">
                  <c:v>0.93833636045455937</c:v>
                </c:pt>
                <c:pt idx="7">
                  <c:v>0.92998102903366098</c:v>
                </c:pt>
                <c:pt idx="8">
                  <c:v>0.92224253416061397</c:v>
                </c:pt>
                <c:pt idx="9">
                  <c:v>0.91516643762588523</c:v>
                </c:pt>
                <c:pt idx="10">
                  <c:v>0.90879479646682748</c:v>
                </c:pt>
                <c:pt idx="11">
                  <c:v>0.90316733121871962</c:v>
                </c:pt>
                <c:pt idx="12">
                  <c:v>0.8983155846595765</c:v>
                </c:pt>
                <c:pt idx="13">
                  <c:v>0.89426409006118801</c:v>
                </c:pt>
                <c:pt idx="14">
                  <c:v>0.89102920293807997</c:v>
                </c:pt>
                <c:pt idx="15">
                  <c:v>0.88862026929855364</c:v>
                </c:pt>
                <c:pt idx="16">
                  <c:v>0.88703612089157091</c:v>
                </c:pt>
                <c:pt idx="17">
                  <c:v>0.88626741170883183</c:v>
                </c:pt>
                <c:pt idx="18">
                  <c:v>0.88629895448684715</c:v>
                </c:pt>
                <c:pt idx="19">
                  <c:v>0.88710738420486446</c:v>
                </c:pt>
                <c:pt idx="20">
                  <c:v>0.88866349458694471</c:v>
                </c:pt>
                <c:pt idx="21">
                  <c:v>0.89093574285507193</c:v>
                </c:pt>
                <c:pt idx="22">
                  <c:v>0.89388791322708161</c:v>
                </c:pt>
                <c:pt idx="23">
                  <c:v>0.89748262166976955</c:v>
                </c:pt>
                <c:pt idx="24">
                  <c:v>0.90168131589889544</c:v>
                </c:pt>
                <c:pt idx="25">
                  <c:v>0.90644661188125641</c:v>
                </c:pt>
                <c:pt idx="26">
                  <c:v>0.91173995733261104</c:v>
                </c:pt>
                <c:pt idx="27">
                  <c:v>0.91752630472183228</c:v>
                </c:pt>
                <c:pt idx="28">
                  <c:v>0.92376943826675428</c:v>
                </c:pt>
                <c:pt idx="29">
                  <c:v>0.93043781518936153</c:v>
                </c:pt>
                <c:pt idx="30">
                  <c:v>0.9374987244606019</c:v>
                </c:pt>
                <c:pt idx="31">
                  <c:v>0.94492412805557269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D472-4477-BA89-86098ACA3BE6}"/>
            </c:ext>
          </c:extLst>
        </c:ser>
        <c:ser>
          <c:idx val="12"/>
          <c:order val="12"/>
          <c:tx>
            <c:strRef>
              <c:f>z!$E$50</c:f>
              <c:strCache>
                <c:ptCount val="1"/>
                <c:pt idx="0">
                  <c:v>t=120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z!$F$50:$AK$50</c:f>
              <c:numCache>
                <c:formatCode>0.00</c:formatCode>
                <c:ptCount val="32"/>
                <c:pt idx="0">
                  <c:v>0.99885760545730573</c:v>
                </c:pt>
                <c:pt idx="1">
                  <c:v>0.98875340223312369</c:v>
                </c:pt>
                <c:pt idx="2">
                  <c:v>0.97899616956710811</c:v>
                </c:pt>
                <c:pt idx="3">
                  <c:v>0.96962329149246207</c:v>
                </c:pt>
                <c:pt idx="4">
                  <c:v>0.96067448854446424</c:v>
                </c:pt>
                <c:pt idx="5">
                  <c:v>0.95218831300735474</c:v>
                </c:pt>
                <c:pt idx="6">
                  <c:v>0.94420799016952506</c:v>
                </c:pt>
                <c:pt idx="7">
                  <c:v>0.9367720723152162</c:v>
                </c:pt>
                <c:pt idx="8">
                  <c:v>0.92992027997970572</c:v>
                </c:pt>
                <c:pt idx="9">
                  <c:v>0.9236899971961976</c:v>
                </c:pt>
                <c:pt idx="10">
                  <c:v>0.91811393499374394</c:v>
                </c:pt>
                <c:pt idx="11">
                  <c:v>0.91322363615036029</c:v>
                </c:pt>
                <c:pt idx="12">
                  <c:v>0.90904129743576068</c:v>
                </c:pt>
                <c:pt idx="13">
                  <c:v>0.90558677911758445</c:v>
                </c:pt>
                <c:pt idx="14">
                  <c:v>0.90287176370620736</c:v>
                </c:pt>
                <c:pt idx="15">
                  <c:v>0.90090209245681785</c:v>
                </c:pt>
                <c:pt idx="16">
                  <c:v>0.89967542886734031</c:v>
                </c:pt>
                <c:pt idx="17">
                  <c:v>0.89918359518051161</c:v>
                </c:pt>
                <c:pt idx="18">
                  <c:v>0.89941140413284315</c:v>
                </c:pt>
                <c:pt idx="19">
                  <c:v>0.90034250020980844</c:v>
                </c:pt>
                <c:pt idx="20">
                  <c:v>0.90195001363754268</c:v>
                </c:pt>
                <c:pt idx="21">
                  <c:v>0.90420824289321922</c:v>
                </c:pt>
                <c:pt idx="22">
                  <c:v>0.90708564519882207</c:v>
                </c:pt>
                <c:pt idx="23">
                  <c:v>0.91055301427841195</c:v>
                </c:pt>
                <c:pt idx="24">
                  <c:v>0.91457530260086073</c:v>
                </c:pt>
                <c:pt idx="25">
                  <c:v>0.91912213563919076</c:v>
                </c:pt>
                <c:pt idx="26">
                  <c:v>0.92415963411331181</c:v>
                </c:pt>
                <c:pt idx="27">
                  <c:v>0.92965625524520856</c:v>
                </c:pt>
                <c:pt idx="28">
                  <c:v>0.93558279275894174</c:v>
                </c:pt>
                <c:pt idx="29">
                  <c:v>0.94190887212753305</c:v>
                </c:pt>
                <c:pt idx="30">
                  <c:v>0.94860762357711792</c:v>
                </c:pt>
                <c:pt idx="31">
                  <c:v>0.95565217733383179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D472-4477-BA89-86098ACA3BE6}"/>
            </c:ext>
          </c:extLst>
        </c:ser>
        <c:ser>
          <c:idx val="13"/>
          <c:order val="13"/>
          <c:tx>
            <c:strRef>
              <c:f>z!$E$51</c:f>
              <c:strCache>
                <c:ptCount val="1"/>
                <c:pt idx="0">
                  <c:v>t=130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z!$F$51:$AK$51</c:f>
              <c:numCache>
                <c:formatCode>0.00</c:formatCode>
                <c:ptCount val="32"/>
                <c:pt idx="0">
                  <c:v>0.99895340204238892</c:v>
                </c:pt>
                <c:pt idx="1">
                  <c:v>0.98971604108810429</c:v>
                </c:pt>
                <c:pt idx="2">
                  <c:v>0.98082915544509897</c:v>
                </c:pt>
                <c:pt idx="3">
                  <c:v>0.97232662439346318</c:v>
                </c:pt>
                <c:pt idx="4">
                  <c:v>0.96424349546432508</c:v>
                </c:pt>
                <c:pt idx="5">
                  <c:v>0.9566136479377747</c:v>
                </c:pt>
                <c:pt idx="6">
                  <c:v>0.94947329759597787</c:v>
                </c:pt>
                <c:pt idx="7">
                  <c:v>0.94285398721694968</c:v>
                </c:pt>
                <c:pt idx="8">
                  <c:v>0.9367884278297427</c:v>
                </c:pt>
                <c:pt idx="9">
                  <c:v>0.93130816221237178</c:v>
                </c:pt>
                <c:pt idx="10">
                  <c:v>0.92643889188766471</c:v>
                </c:pt>
                <c:pt idx="11">
                  <c:v>0.92220281362533574</c:v>
                </c:pt>
                <c:pt idx="12">
                  <c:v>0.91861978769302377</c:v>
                </c:pt>
                <c:pt idx="13">
                  <c:v>0.91570266485214247</c:v>
                </c:pt>
                <c:pt idx="14">
                  <c:v>0.91346079111099265</c:v>
                </c:pt>
                <c:pt idx="15">
                  <c:v>0.91189533472061179</c:v>
                </c:pt>
                <c:pt idx="16">
                  <c:v>0.9110051274299622</c:v>
                </c:pt>
                <c:pt idx="17">
                  <c:v>0.9107808232307435</c:v>
                </c:pt>
                <c:pt idx="18">
                  <c:v>0.91121190786361694</c:v>
                </c:pt>
                <c:pt idx="19">
                  <c:v>0.91227852106094365</c:v>
                </c:pt>
                <c:pt idx="20">
                  <c:v>0.91396197080612174</c:v>
                </c:pt>
                <c:pt idx="21">
                  <c:v>0.9162388920783997</c:v>
                </c:pt>
                <c:pt idx="22">
                  <c:v>0.91908358335495</c:v>
                </c:pt>
                <c:pt idx="23">
                  <c:v>0.92246800661087036</c:v>
                </c:pt>
                <c:pt idx="24">
                  <c:v>0.92636529207229623</c:v>
                </c:pt>
                <c:pt idx="25">
                  <c:v>0.93074740171432491</c:v>
                </c:pt>
                <c:pt idx="26">
                  <c:v>0.9355839610099792</c:v>
                </c:pt>
                <c:pt idx="27">
                  <c:v>0.94085043668746948</c:v>
                </c:pt>
                <c:pt idx="28">
                  <c:v>0.94651879072189349</c:v>
                </c:pt>
                <c:pt idx="29">
                  <c:v>0.95256332159042367</c:v>
                </c:pt>
                <c:pt idx="30">
                  <c:v>0.95895832777023315</c:v>
                </c:pt>
                <c:pt idx="31">
                  <c:v>0.96568278074264535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D472-4477-BA89-86098ACA3BE6}"/>
            </c:ext>
          </c:extLst>
        </c:ser>
        <c:ser>
          <c:idx val="14"/>
          <c:order val="14"/>
          <c:tx>
            <c:strRef>
              <c:f>z!$E$52</c:f>
              <c:strCache>
                <c:ptCount val="1"/>
                <c:pt idx="0">
                  <c:v>t=140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z!$F$52:$AK$52</c:f>
              <c:numCache>
                <c:formatCode>0.00</c:formatCode>
                <c:ptCount val="32"/>
                <c:pt idx="0">
                  <c:v>0.99903985261917105</c:v>
                </c:pt>
                <c:pt idx="1">
                  <c:v>0.99058755636215201</c:v>
                </c:pt>
                <c:pt idx="2">
                  <c:v>0.98248690366744995</c:v>
                </c:pt>
                <c:pt idx="3">
                  <c:v>0.97476943731307975</c:v>
                </c:pt>
                <c:pt idx="4">
                  <c:v>0.96746436357498178</c:v>
                </c:pt>
                <c:pt idx="5">
                  <c:v>0.96060088872909555</c:v>
                </c:pt>
                <c:pt idx="6">
                  <c:v>0.95421055555343659</c:v>
                </c:pt>
                <c:pt idx="7">
                  <c:v>0.94832023382186881</c:v>
                </c:pt>
                <c:pt idx="8">
                  <c:v>0.94295562505722064</c:v>
                </c:pt>
                <c:pt idx="9">
                  <c:v>0.93814243078231807</c:v>
                </c:pt>
                <c:pt idx="10">
                  <c:v>0.93390167951583858</c:v>
                </c:pt>
                <c:pt idx="11">
                  <c:v>0.9302508950233459</c:v>
                </c:pt>
                <c:pt idx="12">
                  <c:v>0.92720409631729139</c:v>
                </c:pt>
                <c:pt idx="13">
                  <c:v>0.92477179765701312</c:v>
                </c:pt>
                <c:pt idx="14">
                  <c:v>0.92295750379562391</c:v>
                </c:pt>
                <c:pt idx="15">
                  <c:v>0.92176471948623662</c:v>
                </c:pt>
                <c:pt idx="16">
                  <c:v>0.92118760347366324</c:v>
                </c:pt>
                <c:pt idx="17">
                  <c:v>0.92121914625167856</c:v>
                </c:pt>
                <c:pt idx="18">
                  <c:v>0.92184766530990592</c:v>
                </c:pt>
                <c:pt idx="19">
                  <c:v>0.92305914163589486</c:v>
                </c:pt>
                <c:pt idx="20">
                  <c:v>0.92483371496200562</c:v>
                </c:pt>
                <c:pt idx="21">
                  <c:v>0.92715035676956181</c:v>
                </c:pt>
                <c:pt idx="22">
                  <c:v>0.92998920679092412</c:v>
                </c:pt>
                <c:pt idx="23">
                  <c:v>0.93332573175430311</c:v>
                </c:pt>
                <c:pt idx="24">
                  <c:v>0.93713539838790916</c:v>
                </c:pt>
                <c:pt idx="25">
                  <c:v>0.94139367341995239</c:v>
                </c:pt>
                <c:pt idx="26">
                  <c:v>0.94607485532760616</c:v>
                </c:pt>
                <c:pt idx="27">
                  <c:v>0.95115674734115618</c:v>
                </c:pt>
                <c:pt idx="28">
                  <c:v>0.95661481618881239</c:v>
                </c:pt>
                <c:pt idx="29">
                  <c:v>0.96242569684982304</c:v>
                </c:pt>
                <c:pt idx="30">
                  <c:v>0.96856719255447388</c:v>
                </c:pt>
                <c:pt idx="31">
                  <c:v>0.97501944303512555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D472-4477-BA89-86098ACA3BE6}"/>
            </c:ext>
          </c:extLst>
        </c:ser>
        <c:ser>
          <c:idx val="15"/>
          <c:order val="15"/>
          <c:tx>
            <c:strRef>
              <c:f>z!$E$53</c:f>
              <c:strCache>
                <c:ptCount val="1"/>
                <c:pt idx="0">
                  <c:v>t=150 C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z!$F$53:$AK$53</c:f>
              <c:numCache>
                <c:formatCode>0.00</c:formatCode>
                <c:ptCount val="32"/>
                <c:pt idx="0">
                  <c:v>0.99911929368972774</c:v>
                </c:pt>
                <c:pt idx="1">
                  <c:v>0.99137963056564327</c:v>
                </c:pt>
                <c:pt idx="2">
                  <c:v>0.98399277925491324</c:v>
                </c:pt>
                <c:pt idx="3">
                  <c:v>0.97698327302932753</c:v>
                </c:pt>
                <c:pt idx="4">
                  <c:v>0.97037914991378793</c:v>
                </c:pt>
                <c:pt idx="5">
                  <c:v>0.96420494318008432</c:v>
                </c:pt>
                <c:pt idx="6">
                  <c:v>0.95848752260208148</c:v>
                </c:pt>
                <c:pt idx="7">
                  <c:v>0.95324908494949345</c:v>
                </c:pt>
                <c:pt idx="8">
                  <c:v>0.94851182699203496</c:v>
                </c:pt>
                <c:pt idx="9">
                  <c:v>0.94429560899734488</c:v>
                </c:pt>
                <c:pt idx="10">
                  <c:v>0.94061561822891249</c:v>
                </c:pt>
                <c:pt idx="11">
                  <c:v>0.93748937845230107</c:v>
                </c:pt>
                <c:pt idx="12">
                  <c:v>0.93492389917373675</c:v>
                </c:pt>
                <c:pt idx="13">
                  <c:v>0.932927358150482</c:v>
                </c:pt>
                <c:pt idx="14">
                  <c:v>0.93150209188461308</c:v>
                </c:pt>
                <c:pt idx="15">
                  <c:v>0.93064926862716657</c:v>
                </c:pt>
                <c:pt idx="16">
                  <c:v>0.93036187887191768</c:v>
                </c:pt>
                <c:pt idx="17">
                  <c:v>0.93063408136367798</c:v>
                </c:pt>
                <c:pt idx="18">
                  <c:v>0.93145419359207149</c:v>
                </c:pt>
                <c:pt idx="19">
                  <c:v>0.93280936479568477</c:v>
                </c:pt>
                <c:pt idx="20">
                  <c:v>0.93468090295791639</c:v>
                </c:pt>
                <c:pt idx="21">
                  <c:v>0.9370536208152771</c:v>
                </c:pt>
                <c:pt idx="22">
                  <c:v>0.93990648984909075</c:v>
                </c:pt>
                <c:pt idx="23">
                  <c:v>0.94321848154068011</c:v>
                </c:pt>
                <c:pt idx="24">
                  <c:v>0.94696856737136836</c:v>
                </c:pt>
                <c:pt idx="25">
                  <c:v>0.95113455057144192</c:v>
                </c:pt>
                <c:pt idx="26">
                  <c:v>0.95569540262222308</c:v>
                </c:pt>
                <c:pt idx="27">
                  <c:v>0.9606289267539978</c:v>
                </c:pt>
                <c:pt idx="28">
                  <c:v>0.96591526269912742</c:v>
                </c:pt>
                <c:pt idx="29">
                  <c:v>0.97153221368789677</c:v>
                </c:pt>
                <c:pt idx="30">
                  <c:v>0.97746108770370488</c:v>
                </c:pt>
                <c:pt idx="31">
                  <c:v>0.98368319272994986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D472-4477-BA89-86098ACA3BE6}"/>
            </c:ext>
          </c:extLst>
        </c:ser>
        <c:ser>
          <c:idx val="16"/>
          <c:order val="16"/>
          <c:tx>
            <c:strRef>
              <c:f>z!$E$54</c:f>
              <c:strCache>
                <c:ptCount val="1"/>
                <c:pt idx="0">
                  <c:v>t=160 C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z!$F$54:$AK$54</c:f>
              <c:numCache>
                <c:formatCode>0.00</c:formatCode>
                <c:ptCount val="32"/>
                <c:pt idx="0">
                  <c:v>0.99919172525405875</c:v>
                </c:pt>
                <c:pt idx="1">
                  <c:v>0.99210160970687866</c:v>
                </c:pt>
                <c:pt idx="2">
                  <c:v>0.98536196947097765</c:v>
                </c:pt>
                <c:pt idx="3">
                  <c:v>0.97899500131607065</c:v>
                </c:pt>
                <c:pt idx="4">
                  <c:v>0.97302407026290916</c:v>
                </c:pt>
                <c:pt idx="5">
                  <c:v>0.96747254133224492</c:v>
                </c:pt>
                <c:pt idx="6">
                  <c:v>0.96235910654068024</c:v>
                </c:pt>
                <c:pt idx="7">
                  <c:v>0.9577071309089662</c:v>
                </c:pt>
                <c:pt idx="8">
                  <c:v>0.95353180170059226</c:v>
                </c:pt>
                <c:pt idx="9">
                  <c:v>0.94984947443008427</c:v>
                </c:pt>
                <c:pt idx="10">
                  <c:v>0.94667533636093149</c:v>
                </c:pt>
                <c:pt idx="11">
                  <c:v>0.94401756525039682</c:v>
                </c:pt>
                <c:pt idx="12">
                  <c:v>0.94188550710678109</c:v>
                </c:pt>
                <c:pt idx="13">
                  <c:v>0.94028266668319693</c:v>
                </c:pt>
                <c:pt idx="14">
                  <c:v>0.93921021223068246</c:v>
                </c:pt>
                <c:pt idx="15">
                  <c:v>0.93866697549819955</c:v>
                </c:pt>
                <c:pt idx="16">
                  <c:v>0.93864711523056044</c:v>
                </c:pt>
                <c:pt idx="17">
                  <c:v>0.93914362192153944</c:v>
                </c:pt>
                <c:pt idx="18">
                  <c:v>0.94014598131179827</c:v>
                </c:pt>
                <c:pt idx="19">
                  <c:v>0.94164134263992305</c:v>
                </c:pt>
                <c:pt idx="20">
                  <c:v>0.94361451864242563</c:v>
                </c:pt>
                <c:pt idx="21">
                  <c:v>0.94604915380477905</c:v>
                </c:pt>
                <c:pt idx="22">
                  <c:v>0.9489288926124575</c:v>
                </c:pt>
                <c:pt idx="23">
                  <c:v>0.95223270654678349</c:v>
                </c:pt>
                <c:pt idx="24">
                  <c:v>0.9559442400932312</c:v>
                </c:pt>
                <c:pt idx="25">
                  <c:v>0.96004363298416151</c:v>
                </c:pt>
                <c:pt idx="26">
                  <c:v>0.96450985670089739</c:v>
                </c:pt>
                <c:pt idx="27">
                  <c:v>0.9693242192268372</c:v>
                </c:pt>
                <c:pt idx="28">
                  <c:v>0.97446919679641719</c:v>
                </c:pt>
                <c:pt idx="29">
                  <c:v>0.97992492914199847</c:v>
                </c:pt>
                <c:pt idx="30">
                  <c:v>0.9856738924980164</c:v>
                </c:pt>
                <c:pt idx="31">
                  <c:v>0.99169973134994494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D472-4477-BA89-86098ACA3BE6}"/>
            </c:ext>
          </c:extLst>
        </c:ser>
        <c:ser>
          <c:idx val="17"/>
          <c:order val="17"/>
          <c:tx>
            <c:strRef>
              <c:f>z!$E$55</c:f>
              <c:strCache>
                <c:ptCount val="1"/>
                <c:pt idx="0">
                  <c:v>t=170 C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z!$F$55:$AK$55</c:f>
              <c:numCache>
                <c:formatCode>0.00</c:formatCode>
                <c:ptCount val="32"/>
                <c:pt idx="0">
                  <c:v>0.99925831556320199</c:v>
                </c:pt>
                <c:pt idx="1">
                  <c:v>0.99276167154312134</c:v>
                </c:pt>
                <c:pt idx="2">
                  <c:v>0.98661082983016968</c:v>
                </c:pt>
                <c:pt idx="3">
                  <c:v>0.98082798719406128</c:v>
                </c:pt>
                <c:pt idx="4">
                  <c:v>0.97543066740036011</c:v>
                </c:pt>
                <c:pt idx="5">
                  <c:v>0.97044106721878065</c:v>
                </c:pt>
                <c:pt idx="6">
                  <c:v>0.9658743739128115</c:v>
                </c:pt>
                <c:pt idx="7">
                  <c:v>0.96174927949905409</c:v>
                </c:pt>
                <c:pt idx="8">
                  <c:v>0.95808097124099745</c:v>
                </c:pt>
                <c:pt idx="9">
                  <c:v>0.95487996339797987</c:v>
                </c:pt>
                <c:pt idx="10">
                  <c:v>0.95215793848037733</c:v>
                </c:pt>
                <c:pt idx="11">
                  <c:v>0.94992424249649066</c:v>
                </c:pt>
                <c:pt idx="12">
                  <c:v>0.94818121194839478</c:v>
                </c:pt>
                <c:pt idx="13">
                  <c:v>0.94693468809127812</c:v>
                </c:pt>
                <c:pt idx="14">
                  <c:v>0.94618233442306532</c:v>
                </c:pt>
                <c:pt idx="15">
                  <c:v>0.94592181444168077</c:v>
                </c:pt>
                <c:pt idx="16">
                  <c:v>0.94614728689193717</c:v>
                </c:pt>
                <c:pt idx="17">
                  <c:v>0.9468517422676086</c:v>
                </c:pt>
                <c:pt idx="18">
                  <c:v>0.94802466630935678</c:v>
                </c:pt>
                <c:pt idx="19">
                  <c:v>0.9496555447578432</c:v>
                </c:pt>
                <c:pt idx="20">
                  <c:v>0.95172802209854157</c:v>
                </c:pt>
                <c:pt idx="21">
                  <c:v>0.95422924757003802</c:v>
                </c:pt>
                <c:pt idx="22">
                  <c:v>0.95714286565780649</c:v>
                </c:pt>
                <c:pt idx="23">
                  <c:v>0.96045252084732069</c:v>
                </c:pt>
                <c:pt idx="24">
                  <c:v>0.96414068937301645</c:v>
                </c:pt>
                <c:pt idx="25">
                  <c:v>0.96818984746932979</c:v>
                </c:pt>
                <c:pt idx="26">
                  <c:v>0.97258247137069698</c:v>
                </c:pt>
                <c:pt idx="27">
                  <c:v>0.97730103731155404</c:v>
                </c:pt>
                <c:pt idx="28">
                  <c:v>0.98232918977737449</c:v>
                </c:pt>
                <c:pt idx="29">
                  <c:v>0.98764940500259391</c:v>
                </c:pt>
                <c:pt idx="30">
                  <c:v>0.99324649572372437</c:v>
                </c:pt>
                <c:pt idx="31">
                  <c:v>0.99910527467727661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D472-4477-BA89-86098ACA3BE6}"/>
            </c:ext>
          </c:extLst>
        </c:ser>
        <c:ser>
          <c:idx val="18"/>
          <c:order val="18"/>
          <c:tx>
            <c:strRef>
              <c:f>z!$E$56</c:f>
              <c:strCache>
                <c:ptCount val="1"/>
                <c:pt idx="0">
                  <c:v>t=180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z!$F$56:$AK$56</c:f>
              <c:numCache>
                <c:formatCode>0.00</c:formatCode>
                <c:ptCount val="32"/>
                <c:pt idx="0">
                  <c:v>0.99931789636611956</c:v>
                </c:pt>
                <c:pt idx="1">
                  <c:v>0.99336448907852182</c:v>
                </c:pt>
                <c:pt idx="2">
                  <c:v>0.98775221109390254</c:v>
                </c:pt>
                <c:pt idx="3">
                  <c:v>0.98250092267990108</c:v>
                </c:pt>
                <c:pt idx="4">
                  <c:v>0.97762581110000624</c:v>
                </c:pt>
                <c:pt idx="5">
                  <c:v>0.97314440011978154</c:v>
                </c:pt>
                <c:pt idx="6">
                  <c:v>0.96907304525375371</c:v>
                </c:pt>
                <c:pt idx="7">
                  <c:v>0.96542576551437387</c:v>
                </c:pt>
                <c:pt idx="8">
                  <c:v>0.96221307516098031</c:v>
                </c:pt>
                <c:pt idx="9">
                  <c:v>0.95944665670394902</c:v>
                </c:pt>
                <c:pt idx="10">
                  <c:v>0.95713351964950566</c:v>
                </c:pt>
                <c:pt idx="11">
                  <c:v>0.95528067350387569</c:v>
                </c:pt>
                <c:pt idx="12">
                  <c:v>0.9538904547691347</c:v>
                </c:pt>
                <c:pt idx="13">
                  <c:v>0.95296519994735718</c:v>
                </c:pt>
                <c:pt idx="14">
                  <c:v>0.95250257253646864</c:v>
                </c:pt>
                <c:pt idx="15">
                  <c:v>0.9524990677833558</c:v>
                </c:pt>
                <c:pt idx="16">
                  <c:v>0.95295001268386859</c:v>
                </c:pt>
                <c:pt idx="17">
                  <c:v>0.95384722948074363</c:v>
                </c:pt>
                <c:pt idx="18">
                  <c:v>0.95517903566360474</c:v>
                </c:pt>
                <c:pt idx="19">
                  <c:v>0.95693725347518921</c:v>
                </c:pt>
                <c:pt idx="20">
                  <c:v>0.9591078639030457</c:v>
                </c:pt>
                <c:pt idx="21">
                  <c:v>0.96167684793472308</c:v>
                </c:pt>
                <c:pt idx="22">
                  <c:v>0.96463018655776978</c:v>
                </c:pt>
                <c:pt idx="23">
                  <c:v>0.96795152425765996</c:v>
                </c:pt>
                <c:pt idx="24">
                  <c:v>0.97162684202194227</c:v>
                </c:pt>
                <c:pt idx="25">
                  <c:v>0.97563978433609</c:v>
                </c:pt>
                <c:pt idx="26">
                  <c:v>0.97997516393661499</c:v>
                </c:pt>
                <c:pt idx="27">
                  <c:v>0.98461545705795284</c:v>
                </c:pt>
                <c:pt idx="28">
                  <c:v>0.98954664468765263</c:v>
                </c:pt>
                <c:pt idx="29">
                  <c:v>0.99475237131118788</c:v>
                </c:pt>
                <c:pt idx="30">
                  <c:v>1.0002197861671449</c:v>
                </c:pt>
                <c:pt idx="31">
                  <c:v>1.0059325337409974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D472-4477-BA89-86098ACA3BE6}"/>
            </c:ext>
          </c:extLst>
        </c:ser>
        <c:ser>
          <c:idx val="19"/>
          <c:order val="19"/>
          <c:tx>
            <c:strRef>
              <c:f>z!$E$57</c:f>
              <c:strCache>
                <c:ptCount val="1"/>
                <c:pt idx="0">
                  <c:v>t=190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z!$F$57:$AK$57</c:f>
              <c:numCache>
                <c:formatCode>0.00</c:formatCode>
                <c:ptCount val="32"/>
                <c:pt idx="0">
                  <c:v>0.99937397241592429</c:v>
                </c:pt>
                <c:pt idx="1">
                  <c:v>0.99391824007034302</c:v>
                </c:pt>
                <c:pt idx="2">
                  <c:v>0.98879896402358991</c:v>
                </c:pt>
                <c:pt idx="3">
                  <c:v>0.98403133153915401</c:v>
                </c:pt>
                <c:pt idx="4">
                  <c:v>0.97963169813156137</c:v>
                </c:pt>
                <c:pt idx="5">
                  <c:v>0.97561291456222543</c:v>
                </c:pt>
                <c:pt idx="6">
                  <c:v>0.9719913363456727</c:v>
                </c:pt>
                <c:pt idx="7">
                  <c:v>0.9687751412391663</c:v>
                </c:pt>
                <c:pt idx="8">
                  <c:v>0.96597601175308245</c:v>
                </c:pt>
                <c:pt idx="9">
                  <c:v>0.96360095739364615</c:v>
                </c:pt>
                <c:pt idx="10">
                  <c:v>0.96165815591812143</c:v>
                </c:pt>
                <c:pt idx="11">
                  <c:v>0.96014994382858276</c:v>
                </c:pt>
                <c:pt idx="12">
                  <c:v>0.95907865762710576</c:v>
                </c:pt>
                <c:pt idx="13">
                  <c:v>0.95844429731369041</c:v>
                </c:pt>
                <c:pt idx="14">
                  <c:v>0.95824569463729858</c:v>
                </c:pt>
                <c:pt idx="15">
                  <c:v>0.95847700834274296</c:v>
                </c:pt>
                <c:pt idx="16">
                  <c:v>0.9591335654258728</c:v>
                </c:pt>
                <c:pt idx="17">
                  <c:v>0.9602060198783875</c:v>
                </c:pt>
                <c:pt idx="18">
                  <c:v>0.96168736219406137</c:v>
                </c:pt>
                <c:pt idx="19">
                  <c:v>0.96356474161148076</c:v>
                </c:pt>
                <c:pt idx="20">
                  <c:v>0.96582764387130737</c:v>
                </c:pt>
                <c:pt idx="21">
                  <c:v>0.96846321821212777</c:v>
                </c:pt>
                <c:pt idx="22">
                  <c:v>0.97145861387252808</c:v>
                </c:pt>
                <c:pt idx="23">
                  <c:v>0.974797475337982</c:v>
                </c:pt>
                <c:pt idx="24">
                  <c:v>0.97846812009811401</c:v>
                </c:pt>
                <c:pt idx="25">
                  <c:v>0.98245536088943486</c:v>
                </c:pt>
                <c:pt idx="26">
                  <c:v>0.98674401044845572</c:v>
                </c:pt>
                <c:pt idx="27">
                  <c:v>0.99132004976272592</c:v>
                </c:pt>
                <c:pt idx="28">
                  <c:v>0.99616945981979366</c:v>
                </c:pt>
                <c:pt idx="29">
                  <c:v>1.001278221607208</c:v>
                </c:pt>
                <c:pt idx="30">
                  <c:v>1.006633484363556</c:v>
                </c:pt>
                <c:pt idx="31">
                  <c:v>1.0122212290763855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D472-4477-BA89-86098ACA3BE6}"/>
            </c:ext>
          </c:extLst>
        </c:ser>
        <c:ser>
          <c:idx val="20"/>
          <c:order val="20"/>
          <c:tx>
            <c:strRef>
              <c:f>z!$E$58</c:f>
              <c:strCache>
                <c:ptCount val="1"/>
                <c:pt idx="0">
                  <c:v>t=200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z!$F$58:$AK$58</c:f>
              <c:numCache>
                <c:formatCode>0.00</c:formatCode>
                <c:ptCount val="32"/>
                <c:pt idx="0">
                  <c:v>0.9994253754615785</c:v>
                </c:pt>
                <c:pt idx="1">
                  <c:v>0.994426429271698</c:v>
                </c:pt>
                <c:pt idx="2">
                  <c:v>0.98975809812545767</c:v>
                </c:pt>
                <c:pt idx="3">
                  <c:v>0.98543440103530866</c:v>
                </c:pt>
                <c:pt idx="4">
                  <c:v>0.98146818876266484</c:v>
                </c:pt>
                <c:pt idx="5">
                  <c:v>0.97787231206893921</c:v>
                </c:pt>
                <c:pt idx="6">
                  <c:v>0.9746572852134705</c:v>
                </c:pt>
                <c:pt idx="7">
                  <c:v>0.97183479070663448</c:v>
                </c:pt>
                <c:pt idx="8">
                  <c:v>0.96941066980361956</c:v>
                </c:pt>
                <c:pt idx="9">
                  <c:v>0.96739193201065077</c:v>
                </c:pt>
                <c:pt idx="10">
                  <c:v>0.96578325033187884</c:v>
                </c:pt>
                <c:pt idx="11">
                  <c:v>0.96458696126937871</c:v>
                </c:pt>
                <c:pt idx="12">
                  <c:v>0.96380423307418828</c:v>
                </c:pt>
                <c:pt idx="13">
                  <c:v>0.96343506574630755</c:v>
                </c:pt>
                <c:pt idx="14">
                  <c:v>0.96347478628158578</c:v>
                </c:pt>
                <c:pt idx="15">
                  <c:v>0.96391988992691058</c:v>
                </c:pt>
                <c:pt idx="16">
                  <c:v>0.96476336717605582</c:v>
                </c:pt>
                <c:pt idx="17">
                  <c:v>0.96599937677383441</c:v>
                </c:pt>
                <c:pt idx="18">
                  <c:v>0.96761623620986947</c:v>
                </c:pt>
                <c:pt idx="19">
                  <c:v>0.9696057677268981</c:v>
                </c:pt>
                <c:pt idx="20">
                  <c:v>0.97195628881454477</c:v>
                </c:pt>
                <c:pt idx="21">
                  <c:v>0.97465611696243282</c:v>
                </c:pt>
                <c:pt idx="22">
                  <c:v>0.97769240140914904</c:v>
                </c:pt>
                <c:pt idx="23">
                  <c:v>0.98105345964431767</c:v>
                </c:pt>
                <c:pt idx="24">
                  <c:v>0.98472410440444946</c:v>
                </c:pt>
                <c:pt idx="25">
                  <c:v>0.98869148492813119</c:v>
                </c:pt>
                <c:pt idx="26">
                  <c:v>0.99294391870498666</c:v>
                </c:pt>
                <c:pt idx="27">
                  <c:v>0.99746621847152706</c:v>
                </c:pt>
                <c:pt idx="28">
                  <c:v>1.0022467017173766</c:v>
                </c:pt>
                <c:pt idx="29">
                  <c:v>1.0072713494300842</c:v>
                </c:pt>
                <c:pt idx="30">
                  <c:v>1.0125296473503111</c:v>
                </c:pt>
                <c:pt idx="31">
                  <c:v>1.0180075764656069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D472-4477-BA89-86098ACA3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0267504"/>
        <c:axId val="1794276784"/>
      </c:scatterChart>
      <c:valAx>
        <c:axId val="1610267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P, atma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4276784"/>
        <c:crosses val="autoZero"/>
        <c:crossBetween val="midCat"/>
      </c:valAx>
      <c:valAx>
        <c:axId val="179427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0267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dz/dt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8.4687404940370803E-2"/>
          <c:y val="7.5491019220966141E-2"/>
          <c:w val="0.79438565642817582"/>
          <c:h val="0.7856408202430571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z!$E$62</c:f>
              <c:strCache>
                <c:ptCount val="1"/>
                <c:pt idx="0">
                  <c:v>t=0 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z!$F$62:$AK$62</c:f>
              <c:numCache>
                <c:formatCode>0.00</c:formatCode>
                <c:ptCount val="32"/>
                <c:pt idx="0">
                  <c:v>4.6730041503018072E-3</c:v>
                </c:pt>
                <c:pt idx="1">
                  <c:v>4.4393539428755346E-2</c:v>
                </c:pt>
                <c:pt idx="2">
                  <c:v>8.8787078857510693E-2</c:v>
                </c:pt>
                <c:pt idx="3">
                  <c:v>0.13902187347403228</c:v>
                </c:pt>
                <c:pt idx="4">
                  <c:v>0.19392967224129976</c:v>
                </c:pt>
                <c:pt idx="5">
                  <c:v>0.25467872619611143</c:v>
                </c:pt>
                <c:pt idx="6">
                  <c:v>0.32126903533935547</c:v>
                </c:pt>
                <c:pt idx="7">
                  <c:v>0.39019584655752837</c:v>
                </c:pt>
                <c:pt idx="8">
                  <c:v>0.45795440673845889</c:v>
                </c:pt>
                <c:pt idx="9">
                  <c:v>0.51753520965580613</c:v>
                </c:pt>
                <c:pt idx="10">
                  <c:v>0.55375099182120024</c:v>
                </c:pt>
                <c:pt idx="11">
                  <c:v>0.56543350219739885</c:v>
                </c:pt>
                <c:pt idx="12">
                  <c:v>0.55491924285888672</c:v>
                </c:pt>
                <c:pt idx="13">
                  <c:v>0.52571296691894531</c:v>
                </c:pt>
                <c:pt idx="14">
                  <c:v>0.48716068267840029</c:v>
                </c:pt>
                <c:pt idx="15">
                  <c:v>0.4451036453245738</c:v>
                </c:pt>
                <c:pt idx="16">
                  <c:v>0.40304660797119141</c:v>
                </c:pt>
                <c:pt idx="17">
                  <c:v>0.36332607269318196</c:v>
                </c:pt>
                <c:pt idx="18">
                  <c:v>0.32711029052734375</c:v>
                </c:pt>
                <c:pt idx="19">
                  <c:v>0.29323101043687849</c:v>
                </c:pt>
                <c:pt idx="20">
                  <c:v>0.26168823242200823</c:v>
                </c:pt>
                <c:pt idx="21">
                  <c:v>0.23365020751930921</c:v>
                </c:pt>
                <c:pt idx="22">
                  <c:v>0.21028518676757813</c:v>
                </c:pt>
                <c:pt idx="23">
                  <c:v>0.186920166015625</c:v>
                </c:pt>
                <c:pt idx="24">
                  <c:v>0.16822814941397368</c:v>
                </c:pt>
                <c:pt idx="25">
                  <c:v>0.14953613281254441</c:v>
                </c:pt>
                <c:pt idx="26">
                  <c:v>0.13201236724857957</c:v>
                </c:pt>
                <c:pt idx="27">
                  <c:v>0.11682510375976563</c:v>
                </c:pt>
                <c:pt idx="28">
                  <c:v>0.10163784027095168</c:v>
                </c:pt>
                <c:pt idx="29">
                  <c:v>8.7618827819824219E-2</c:v>
                </c:pt>
                <c:pt idx="30">
                  <c:v>7.4768066406383227E-2</c:v>
                </c:pt>
                <c:pt idx="31">
                  <c:v>6.3085556030406664E-2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E8-4D87-BAFC-1B0E16D841FD}"/>
            </c:ext>
          </c:extLst>
        </c:ser>
        <c:ser>
          <c:idx val="1"/>
          <c:order val="1"/>
          <c:tx>
            <c:strRef>
              <c:f>z!$E$63</c:f>
              <c:strCache>
                <c:ptCount val="1"/>
                <c:pt idx="0">
                  <c:v>t=10 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z!$F$63:$AK$63</c:f>
              <c:numCache>
                <c:formatCode>0.00</c:formatCode>
                <c:ptCount val="32"/>
                <c:pt idx="0">
                  <c:v>3.5047531128373777E-3</c:v>
                </c:pt>
                <c:pt idx="1">
                  <c:v>3.8552284240767065E-2</c:v>
                </c:pt>
                <c:pt idx="2">
                  <c:v>7.5936317443847656E-2</c:v>
                </c:pt>
                <c:pt idx="3">
                  <c:v>0.11682510375976563</c:v>
                </c:pt>
                <c:pt idx="4">
                  <c:v>0.1623868942259854</c:v>
                </c:pt>
                <c:pt idx="5">
                  <c:v>0.21028518676757813</c:v>
                </c:pt>
                <c:pt idx="6">
                  <c:v>0.26168823242200823</c:v>
                </c:pt>
                <c:pt idx="7">
                  <c:v>0.31309127807643833</c:v>
                </c:pt>
                <c:pt idx="8">
                  <c:v>0.36449432373042434</c:v>
                </c:pt>
                <c:pt idx="9">
                  <c:v>0.41122436523455264</c:v>
                </c:pt>
                <c:pt idx="10">
                  <c:v>0.44860839843741118</c:v>
                </c:pt>
                <c:pt idx="11">
                  <c:v>0.4696369171142134</c:v>
                </c:pt>
                <c:pt idx="12">
                  <c:v>0.47547817230197964</c:v>
                </c:pt>
                <c:pt idx="13">
                  <c:v>0.4673004150390625</c:v>
                </c:pt>
                <c:pt idx="14">
                  <c:v>0.44977664947487561</c:v>
                </c:pt>
                <c:pt idx="15">
                  <c:v>0.42524337768545806</c:v>
                </c:pt>
                <c:pt idx="16">
                  <c:v>0.39837360382066755</c:v>
                </c:pt>
                <c:pt idx="17">
                  <c:v>0.36799907684326172</c:v>
                </c:pt>
                <c:pt idx="18">
                  <c:v>0.33879280090309827</c:v>
                </c:pt>
                <c:pt idx="19">
                  <c:v>0.30958652496360095</c:v>
                </c:pt>
                <c:pt idx="20">
                  <c:v>0.28388500213627488</c:v>
                </c:pt>
                <c:pt idx="21">
                  <c:v>0.25701522827148438</c:v>
                </c:pt>
                <c:pt idx="22">
                  <c:v>0.23481845855721772</c:v>
                </c:pt>
                <c:pt idx="23">
                  <c:v>0.21145343780504255</c:v>
                </c:pt>
                <c:pt idx="24">
                  <c:v>0.19276142120361328</c:v>
                </c:pt>
                <c:pt idx="25">
                  <c:v>0.17406940460196196</c:v>
                </c:pt>
                <c:pt idx="26">
                  <c:v>0.15654563903799712</c:v>
                </c:pt>
                <c:pt idx="27">
                  <c:v>0.14019012451171875</c:v>
                </c:pt>
                <c:pt idx="28">
                  <c:v>0.12500286102312685</c:v>
                </c:pt>
                <c:pt idx="29">
                  <c:v>0.11098384857177734</c:v>
                </c:pt>
                <c:pt idx="30">
                  <c:v>9.6964836120649878E-2</c:v>
                </c:pt>
                <c:pt idx="31">
                  <c:v>8.4114074706986841E-2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E8-4D87-BAFC-1B0E16D841FD}"/>
            </c:ext>
          </c:extLst>
        </c:ser>
        <c:ser>
          <c:idx val="2"/>
          <c:order val="2"/>
          <c:tx>
            <c:strRef>
              <c:f>z!$E$64</c:f>
              <c:strCache>
                <c:ptCount val="1"/>
                <c:pt idx="0">
                  <c:v>t=20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z!$F$64:$AK$64</c:f>
              <c:numCache>
                <c:formatCode>0.00</c:formatCode>
                <c:ptCount val="32"/>
                <c:pt idx="0">
                  <c:v>3.5047531128373777E-3</c:v>
                </c:pt>
                <c:pt idx="1">
                  <c:v>3.3879280090243213E-2</c:v>
                </c:pt>
                <c:pt idx="2">
                  <c:v>6.5422058105557568E-2</c:v>
                </c:pt>
                <c:pt idx="3">
                  <c:v>0.10046958923326521</c:v>
                </c:pt>
                <c:pt idx="4">
                  <c:v>0.13668537139888137</c:v>
                </c:pt>
                <c:pt idx="5">
                  <c:v>0.17640590667733491</c:v>
                </c:pt>
                <c:pt idx="6">
                  <c:v>0.21612644195578845</c:v>
                </c:pt>
                <c:pt idx="7">
                  <c:v>0.25701522827126233</c:v>
                </c:pt>
                <c:pt idx="8">
                  <c:v>0.29790401458740234</c:v>
                </c:pt>
                <c:pt idx="9">
                  <c:v>0.33528804779048293</c:v>
                </c:pt>
                <c:pt idx="10">
                  <c:v>0.36683082580557524</c:v>
                </c:pt>
                <c:pt idx="11">
                  <c:v>0.39019584655775041</c:v>
                </c:pt>
                <c:pt idx="12">
                  <c:v>0.40421485900865584</c:v>
                </c:pt>
                <c:pt idx="13">
                  <c:v>0.40655136108380674</c:v>
                </c:pt>
                <c:pt idx="14">
                  <c:v>0.40071010589581846</c:v>
                </c:pt>
                <c:pt idx="15">
                  <c:v>0.38902759552006394</c:v>
                </c:pt>
                <c:pt idx="16">
                  <c:v>0.37267208099334148</c:v>
                </c:pt>
                <c:pt idx="17">
                  <c:v>0.35281181335466982</c:v>
                </c:pt>
                <c:pt idx="18">
                  <c:v>0.3317832946778676</c:v>
                </c:pt>
                <c:pt idx="19">
                  <c:v>0.30958652496337891</c:v>
                </c:pt>
                <c:pt idx="20">
                  <c:v>0.28855800628657668</c:v>
                </c:pt>
                <c:pt idx="21">
                  <c:v>0.26752948760999651</c:v>
                </c:pt>
                <c:pt idx="22">
                  <c:v>0.24650096893297224</c:v>
                </c:pt>
                <c:pt idx="23">
                  <c:v>0.22664070129407854</c:v>
                </c:pt>
                <c:pt idx="24">
                  <c:v>0.20794868469242722</c:v>
                </c:pt>
                <c:pt idx="25">
                  <c:v>0.19042491912846238</c:v>
                </c:pt>
                <c:pt idx="26">
                  <c:v>0.17406940460196196</c:v>
                </c:pt>
                <c:pt idx="27">
                  <c:v>0.15888214111314802</c:v>
                </c:pt>
                <c:pt idx="28">
                  <c:v>0.14369487762455613</c:v>
                </c:pt>
                <c:pt idx="29">
                  <c:v>0.12967586517320662</c:v>
                </c:pt>
                <c:pt idx="30">
                  <c:v>0.11565685272207915</c:v>
                </c:pt>
                <c:pt idx="31">
                  <c:v>0.10280609130863816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1E8-4D87-BAFC-1B0E16D841FD}"/>
            </c:ext>
          </c:extLst>
        </c:ser>
        <c:ser>
          <c:idx val="3"/>
          <c:order val="3"/>
          <c:tx>
            <c:strRef>
              <c:f>z!$E$65</c:f>
              <c:strCache>
                <c:ptCount val="1"/>
                <c:pt idx="0">
                  <c:v>t=30 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z!$F$65:$AK$65</c:f>
              <c:numCache>
                <c:formatCode>0.00</c:formatCode>
                <c:ptCount val="32"/>
                <c:pt idx="0">
                  <c:v>2.3365020751509036E-3</c:v>
                </c:pt>
                <c:pt idx="1">
                  <c:v>2.9206275939941406E-2</c:v>
                </c:pt>
                <c:pt idx="2">
                  <c:v>5.6076049804731909E-2</c:v>
                </c:pt>
                <c:pt idx="3">
                  <c:v>8.6450576782137745E-2</c:v>
                </c:pt>
                <c:pt idx="4">
                  <c:v>0.11682510375976563</c:v>
                </c:pt>
                <c:pt idx="5">
                  <c:v>0.14953613281254441</c:v>
                </c:pt>
                <c:pt idx="6">
                  <c:v>0.18224716186532319</c:v>
                </c:pt>
                <c:pt idx="7">
                  <c:v>0.21495819091787993</c:v>
                </c:pt>
                <c:pt idx="8">
                  <c:v>0.24883747100812315</c:v>
                </c:pt>
                <c:pt idx="9">
                  <c:v>0.2780437469482866</c:v>
                </c:pt>
                <c:pt idx="10">
                  <c:v>0.30608177185054153</c:v>
                </c:pt>
                <c:pt idx="11">
                  <c:v>0.32711029052734375</c:v>
                </c:pt>
                <c:pt idx="12">
                  <c:v>0.34229755401615769</c:v>
                </c:pt>
                <c:pt idx="13">
                  <c:v>0.35047531127951892</c:v>
                </c:pt>
                <c:pt idx="14">
                  <c:v>0.35281181335466982</c:v>
                </c:pt>
                <c:pt idx="15">
                  <c:v>0.34813880920436802</c:v>
                </c:pt>
                <c:pt idx="16">
                  <c:v>0.33879280090332031</c:v>
                </c:pt>
                <c:pt idx="17">
                  <c:v>0.32711029052734375</c:v>
                </c:pt>
                <c:pt idx="18">
                  <c:v>0.31309127807621628</c:v>
                </c:pt>
                <c:pt idx="19">
                  <c:v>0.29790401458762439</c:v>
                </c:pt>
                <c:pt idx="20">
                  <c:v>0.2803802490234375</c:v>
                </c:pt>
                <c:pt idx="21">
                  <c:v>0.26402473449693709</c:v>
                </c:pt>
                <c:pt idx="22">
                  <c:v>0.24766921997065872</c:v>
                </c:pt>
                <c:pt idx="23">
                  <c:v>0.23131370544438035</c:v>
                </c:pt>
                <c:pt idx="24">
                  <c:v>0.21495819091810198</c:v>
                </c:pt>
                <c:pt idx="25">
                  <c:v>0.19860267639182361</c:v>
                </c:pt>
                <c:pt idx="26">
                  <c:v>0.18341541290300967</c:v>
                </c:pt>
                <c:pt idx="27">
                  <c:v>0.16939640045166016</c:v>
                </c:pt>
                <c:pt idx="28">
                  <c:v>0.15537738800053269</c:v>
                </c:pt>
                <c:pt idx="29">
                  <c:v>0.14135837554918318</c:v>
                </c:pt>
                <c:pt idx="30">
                  <c:v>0.12967586517342866</c:v>
                </c:pt>
                <c:pt idx="31">
                  <c:v>0.1179933547974521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1E8-4D87-BAFC-1B0E16D841FD}"/>
            </c:ext>
          </c:extLst>
        </c:ser>
        <c:ser>
          <c:idx val="4"/>
          <c:order val="4"/>
          <c:tx>
            <c:strRef>
              <c:f>z!$E$66</c:f>
              <c:strCache>
                <c:ptCount val="1"/>
                <c:pt idx="0">
                  <c:v>t=40 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z!$F$66:$AK$66</c:f>
              <c:numCache>
                <c:formatCode>0.00</c:formatCode>
                <c:ptCount val="32"/>
                <c:pt idx="0">
                  <c:v>2.3365020751509036E-3</c:v>
                </c:pt>
                <c:pt idx="1">
                  <c:v>2.5701522827104029E-2</c:v>
                </c:pt>
                <c:pt idx="2">
                  <c:v>5.0234794616743628E-2</c:v>
                </c:pt>
                <c:pt idx="3">
                  <c:v>7.3599815368474708E-2</c:v>
                </c:pt>
                <c:pt idx="4">
                  <c:v>0.10046958923348726</c:v>
                </c:pt>
                <c:pt idx="5">
                  <c:v>0.12733936309805571</c:v>
                </c:pt>
                <c:pt idx="6">
                  <c:v>0.15420913696284622</c:v>
                </c:pt>
                <c:pt idx="7">
                  <c:v>0.18224716186510115</c:v>
                </c:pt>
                <c:pt idx="8">
                  <c:v>0.20911693572989165</c:v>
                </c:pt>
                <c:pt idx="9">
                  <c:v>0.23481845855721772</c:v>
                </c:pt>
                <c:pt idx="10">
                  <c:v>0.25818347930917085</c:v>
                </c:pt>
                <c:pt idx="11">
                  <c:v>0.27687549591037808</c:v>
                </c:pt>
                <c:pt idx="12">
                  <c:v>0.29206275939941406</c:v>
                </c:pt>
                <c:pt idx="13">
                  <c:v>0.30257701873770415</c:v>
                </c:pt>
                <c:pt idx="14">
                  <c:v>0.307250022888228</c:v>
                </c:pt>
                <c:pt idx="15">
                  <c:v>0.307250022888228</c:v>
                </c:pt>
                <c:pt idx="16">
                  <c:v>0.30374526977539063</c:v>
                </c:pt>
                <c:pt idx="17">
                  <c:v>0.29790401458740234</c:v>
                </c:pt>
                <c:pt idx="18">
                  <c:v>0.28972625732426316</c:v>
                </c:pt>
                <c:pt idx="19">
                  <c:v>0.27921199798575103</c:v>
                </c:pt>
                <c:pt idx="20">
                  <c:v>0.26752948760999651</c:v>
                </c:pt>
                <c:pt idx="21">
                  <c:v>0.25467872619633347</c:v>
                </c:pt>
                <c:pt idx="22">
                  <c:v>0.24065971374520601</c:v>
                </c:pt>
                <c:pt idx="23">
                  <c:v>0.22664070129385649</c:v>
                </c:pt>
                <c:pt idx="24">
                  <c:v>0.2137899398804155</c:v>
                </c:pt>
                <c:pt idx="25">
                  <c:v>0.20093917846675247</c:v>
                </c:pt>
                <c:pt idx="26">
                  <c:v>0.18808841705353352</c:v>
                </c:pt>
                <c:pt idx="27">
                  <c:v>0.17406940460218401</c:v>
                </c:pt>
                <c:pt idx="28">
                  <c:v>0.16121864318852097</c:v>
                </c:pt>
                <c:pt idx="29">
                  <c:v>0.14953613281254441</c:v>
                </c:pt>
                <c:pt idx="30">
                  <c:v>0.13785362243678989</c:v>
                </c:pt>
                <c:pt idx="31">
                  <c:v>0.12617111206059128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1E8-4D87-BAFC-1B0E16D841FD}"/>
            </c:ext>
          </c:extLst>
        </c:ser>
        <c:ser>
          <c:idx val="5"/>
          <c:order val="5"/>
          <c:tx>
            <c:strRef>
              <c:f>z!$E$67</c:f>
              <c:strCache>
                <c:ptCount val="1"/>
                <c:pt idx="0">
                  <c:v>t=50 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z!$F$67:$AK$67</c:f>
              <c:numCache>
                <c:formatCode>0.00</c:formatCode>
                <c:ptCount val="32"/>
                <c:pt idx="0">
                  <c:v>2.3365020753729482E-3</c:v>
                </c:pt>
                <c:pt idx="1">
                  <c:v>2.2196769714266651E-2</c:v>
                </c:pt>
                <c:pt idx="2">
                  <c:v>4.3225288391290917E-2</c:v>
                </c:pt>
                <c:pt idx="3">
                  <c:v>6.5422058105557568E-2</c:v>
                </c:pt>
                <c:pt idx="4">
                  <c:v>8.7618827819824219E-2</c:v>
                </c:pt>
                <c:pt idx="5">
                  <c:v>0.11098384857177734</c:v>
                </c:pt>
                <c:pt idx="6">
                  <c:v>0.13318061828626604</c:v>
                </c:pt>
                <c:pt idx="7">
                  <c:v>0.15654563903777508</c:v>
                </c:pt>
                <c:pt idx="8">
                  <c:v>0.17874240875270786</c:v>
                </c:pt>
                <c:pt idx="9">
                  <c:v>0.20093917846675247</c:v>
                </c:pt>
                <c:pt idx="10">
                  <c:v>0.21963119506840378</c:v>
                </c:pt>
                <c:pt idx="11">
                  <c:v>0.23715496063236863</c:v>
                </c:pt>
                <c:pt idx="12">
                  <c:v>0.25117397308371814</c:v>
                </c:pt>
                <c:pt idx="13">
                  <c:v>0.26168823242200823</c:v>
                </c:pt>
                <c:pt idx="14">
                  <c:v>0.26869773864746094</c:v>
                </c:pt>
                <c:pt idx="15">
                  <c:v>0.27103424072261184</c:v>
                </c:pt>
                <c:pt idx="16">
                  <c:v>0.27103424072283389</c:v>
                </c:pt>
                <c:pt idx="17">
                  <c:v>0.26752948760999651</c:v>
                </c:pt>
                <c:pt idx="18">
                  <c:v>0.26285648345925061</c:v>
                </c:pt>
                <c:pt idx="19">
                  <c:v>0.25584697723357586</c:v>
                </c:pt>
                <c:pt idx="20">
                  <c:v>0.24766921997065872</c:v>
                </c:pt>
                <c:pt idx="21">
                  <c:v>0.2383232116700551</c:v>
                </c:pt>
                <c:pt idx="22">
                  <c:v>0.22780895233154297</c:v>
                </c:pt>
                <c:pt idx="23">
                  <c:v>0.21846294403093935</c:v>
                </c:pt>
                <c:pt idx="24">
                  <c:v>0.20678043365474075</c:v>
                </c:pt>
                <c:pt idx="25">
                  <c:v>0.19626617431645066</c:v>
                </c:pt>
                <c:pt idx="26">
                  <c:v>0.18458366394025205</c:v>
                </c:pt>
                <c:pt idx="27">
                  <c:v>0.17406940460196196</c:v>
                </c:pt>
                <c:pt idx="28">
                  <c:v>0.16355514526367188</c:v>
                </c:pt>
                <c:pt idx="29">
                  <c:v>0.15304088592538179</c:v>
                </c:pt>
                <c:pt idx="30">
                  <c:v>0.14252662658686965</c:v>
                </c:pt>
                <c:pt idx="31">
                  <c:v>0.13201236724857957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1E8-4D87-BAFC-1B0E16D841FD}"/>
            </c:ext>
          </c:extLst>
        </c:ser>
        <c:ser>
          <c:idx val="6"/>
          <c:order val="6"/>
          <c:tx>
            <c:strRef>
              <c:f>z!$E$68</c:f>
              <c:strCache>
                <c:ptCount val="1"/>
                <c:pt idx="0">
                  <c:v>t=60 C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z!$F$68:$AK$68</c:f>
              <c:numCache>
                <c:formatCode>0.00</c:formatCode>
                <c:ptCount val="32"/>
                <c:pt idx="0">
                  <c:v>1.1682510374644295E-3</c:v>
                </c:pt>
                <c:pt idx="1">
                  <c:v>1.9860267639115747E-2</c:v>
                </c:pt>
                <c:pt idx="2">
                  <c:v>3.8552284240545021E-2</c:v>
                </c:pt>
                <c:pt idx="3">
                  <c:v>5.7244300842196338E-2</c:v>
                </c:pt>
                <c:pt idx="4">
                  <c:v>7.5936317444069701E-2</c:v>
                </c:pt>
                <c:pt idx="5">
                  <c:v>9.5796585082963404E-2</c:v>
                </c:pt>
                <c:pt idx="6">
                  <c:v>0.1156568527223012</c:v>
                </c:pt>
                <c:pt idx="7">
                  <c:v>0.13551712036141694</c:v>
                </c:pt>
                <c:pt idx="8">
                  <c:v>0.15420913696284622</c:v>
                </c:pt>
                <c:pt idx="9">
                  <c:v>0.17290115356449753</c:v>
                </c:pt>
                <c:pt idx="10">
                  <c:v>0.18925666809099795</c:v>
                </c:pt>
                <c:pt idx="11">
                  <c:v>0.20444393157958984</c:v>
                </c:pt>
                <c:pt idx="12">
                  <c:v>0.21612644195578845</c:v>
                </c:pt>
                <c:pt idx="13">
                  <c:v>0.22664070129407854</c:v>
                </c:pt>
                <c:pt idx="14">
                  <c:v>0.23365020751953125</c:v>
                </c:pt>
                <c:pt idx="15">
                  <c:v>0.23832321166983306</c:v>
                </c:pt>
                <c:pt idx="16">
                  <c:v>0.24065971374498396</c:v>
                </c:pt>
                <c:pt idx="17">
                  <c:v>0.23949146270774158</c:v>
                </c:pt>
                <c:pt idx="18">
                  <c:v>0.23832321166983306</c:v>
                </c:pt>
                <c:pt idx="19">
                  <c:v>0.23365020751953125</c:v>
                </c:pt>
                <c:pt idx="20">
                  <c:v>0.22780895233154297</c:v>
                </c:pt>
                <c:pt idx="21">
                  <c:v>0.22196769714377673</c:v>
                </c:pt>
                <c:pt idx="22">
                  <c:v>0.21495819091810198</c:v>
                </c:pt>
                <c:pt idx="23">
                  <c:v>0.20678043365496279</c:v>
                </c:pt>
                <c:pt idx="24">
                  <c:v>0.19743442535391509</c:v>
                </c:pt>
                <c:pt idx="25">
                  <c:v>0.18925666809055386</c:v>
                </c:pt>
                <c:pt idx="26">
                  <c:v>0.17874240875248582</c:v>
                </c:pt>
                <c:pt idx="27">
                  <c:v>0.17056465148934663</c:v>
                </c:pt>
                <c:pt idx="28">
                  <c:v>0.16121864318852097</c:v>
                </c:pt>
                <c:pt idx="29">
                  <c:v>0.15187263488769531</c:v>
                </c:pt>
                <c:pt idx="30">
                  <c:v>0.1425266265870917</c:v>
                </c:pt>
                <c:pt idx="31">
                  <c:v>0.13318061828626604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1E8-4D87-BAFC-1B0E16D841FD}"/>
            </c:ext>
          </c:extLst>
        </c:ser>
        <c:ser>
          <c:idx val="7"/>
          <c:order val="7"/>
          <c:tx>
            <c:strRef>
              <c:f>z!$E$69</c:f>
              <c:strCache>
                <c:ptCount val="1"/>
                <c:pt idx="0">
                  <c:v>t=70 C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z!$F$69:$AK$69</c:f>
              <c:numCache>
                <c:formatCode>0.00</c:formatCode>
                <c:ptCount val="32"/>
                <c:pt idx="0">
                  <c:v>2.3365020751509036E-3</c:v>
                </c:pt>
                <c:pt idx="1">
                  <c:v>1.7523765563964844E-2</c:v>
                </c:pt>
                <c:pt idx="2">
                  <c:v>3.3879280090465258E-2</c:v>
                </c:pt>
                <c:pt idx="3">
                  <c:v>4.9066543579057154E-2</c:v>
                </c:pt>
                <c:pt idx="4">
                  <c:v>6.6590309143244042E-2</c:v>
                </c:pt>
                <c:pt idx="5">
                  <c:v>8.2945823669300367E-2</c:v>
                </c:pt>
                <c:pt idx="6">
                  <c:v>0.10046958923326521</c:v>
                </c:pt>
                <c:pt idx="7">
                  <c:v>0.1179933547974521</c:v>
                </c:pt>
                <c:pt idx="8">
                  <c:v>0.13434886932373047</c:v>
                </c:pt>
                <c:pt idx="9">
                  <c:v>0.14836788177485793</c:v>
                </c:pt>
                <c:pt idx="10">
                  <c:v>0.16355514526389392</c:v>
                </c:pt>
                <c:pt idx="11">
                  <c:v>0.17757415771479934</c:v>
                </c:pt>
                <c:pt idx="12">
                  <c:v>0.18808841705308943</c:v>
                </c:pt>
                <c:pt idx="13">
                  <c:v>0.19743442535413713</c:v>
                </c:pt>
                <c:pt idx="14">
                  <c:v>0.20561218261727632</c:v>
                </c:pt>
                <c:pt idx="15">
                  <c:v>0.21028518676780017</c:v>
                </c:pt>
                <c:pt idx="16">
                  <c:v>0.21262168884272903</c:v>
                </c:pt>
                <c:pt idx="17">
                  <c:v>0.21495819091787993</c:v>
                </c:pt>
                <c:pt idx="18">
                  <c:v>0.2137899398804155</c:v>
                </c:pt>
                <c:pt idx="19">
                  <c:v>0.21145343780504255</c:v>
                </c:pt>
                <c:pt idx="20">
                  <c:v>0.20794868469242722</c:v>
                </c:pt>
                <c:pt idx="21">
                  <c:v>0.20327568054212541</c:v>
                </c:pt>
                <c:pt idx="22">
                  <c:v>0.19860267639160156</c:v>
                </c:pt>
                <c:pt idx="23">
                  <c:v>0.19276142120361328</c:v>
                </c:pt>
                <c:pt idx="24">
                  <c:v>0.18575191497793853</c:v>
                </c:pt>
                <c:pt idx="25">
                  <c:v>0.17757415771502139</c:v>
                </c:pt>
                <c:pt idx="26">
                  <c:v>0.17056465148912459</c:v>
                </c:pt>
                <c:pt idx="27">
                  <c:v>0.16355514526367188</c:v>
                </c:pt>
                <c:pt idx="28">
                  <c:v>0.15654563903777508</c:v>
                </c:pt>
                <c:pt idx="29">
                  <c:v>0.14719963073739351</c:v>
                </c:pt>
                <c:pt idx="30">
                  <c:v>0.14019012451171875</c:v>
                </c:pt>
                <c:pt idx="31">
                  <c:v>0.13201236724857957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1E8-4D87-BAFC-1B0E16D841FD}"/>
            </c:ext>
          </c:extLst>
        </c:ser>
        <c:ser>
          <c:idx val="8"/>
          <c:order val="8"/>
          <c:tx>
            <c:strRef>
              <c:f>z!$E$70</c:f>
              <c:strCache>
                <c:ptCount val="1"/>
                <c:pt idx="0">
                  <c:v>t=80 C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z!$F$70:$AK$70</c:f>
              <c:numCache>
                <c:formatCode>0.00</c:formatCode>
                <c:ptCount val="32"/>
                <c:pt idx="0">
                  <c:v>1.1682510376864741E-3</c:v>
                </c:pt>
                <c:pt idx="1">
                  <c:v>1.518726348881394E-2</c:v>
                </c:pt>
                <c:pt idx="2">
                  <c:v>3.037452697762788E-2</c:v>
                </c:pt>
                <c:pt idx="3">
                  <c:v>4.4393539428755346E-2</c:v>
                </c:pt>
                <c:pt idx="4">
                  <c:v>5.9580802917569287E-2</c:v>
                </c:pt>
                <c:pt idx="5">
                  <c:v>7.3599815368474708E-2</c:v>
                </c:pt>
                <c:pt idx="6">
                  <c:v>8.8787078857288648E-2</c:v>
                </c:pt>
                <c:pt idx="7">
                  <c:v>0.10280609130863816</c:v>
                </c:pt>
                <c:pt idx="8">
                  <c:v>0.11682510375954358</c:v>
                </c:pt>
                <c:pt idx="9">
                  <c:v>0.12967586517320662</c:v>
                </c:pt>
                <c:pt idx="10">
                  <c:v>0.14252662658686965</c:v>
                </c:pt>
                <c:pt idx="11">
                  <c:v>0.15420913696284622</c:v>
                </c:pt>
                <c:pt idx="12">
                  <c:v>0.16355514526389392</c:v>
                </c:pt>
                <c:pt idx="13">
                  <c:v>0.17290115356449753</c:v>
                </c:pt>
                <c:pt idx="14">
                  <c:v>0.17991065978995024</c:v>
                </c:pt>
                <c:pt idx="15">
                  <c:v>0.1845836639404741</c:v>
                </c:pt>
                <c:pt idx="16">
                  <c:v>0.18808841705353352</c:v>
                </c:pt>
                <c:pt idx="17">
                  <c:v>0.19159317016614885</c:v>
                </c:pt>
                <c:pt idx="18">
                  <c:v>0.19159317016614885</c:v>
                </c:pt>
                <c:pt idx="19">
                  <c:v>0.19042491912846238</c:v>
                </c:pt>
                <c:pt idx="20">
                  <c:v>0.18808841705331147</c:v>
                </c:pt>
                <c:pt idx="21">
                  <c:v>0.186920166015625</c:v>
                </c:pt>
                <c:pt idx="22">
                  <c:v>0.18224716186510115</c:v>
                </c:pt>
                <c:pt idx="23">
                  <c:v>0.17757415771502139</c:v>
                </c:pt>
                <c:pt idx="24">
                  <c:v>0.17290115356427549</c:v>
                </c:pt>
                <c:pt idx="25">
                  <c:v>0.16705989837628721</c:v>
                </c:pt>
                <c:pt idx="26">
                  <c:v>0.16121864318829893</c:v>
                </c:pt>
                <c:pt idx="27">
                  <c:v>0.15537738800053269</c:v>
                </c:pt>
                <c:pt idx="28">
                  <c:v>0.14953613281254441</c:v>
                </c:pt>
                <c:pt idx="29">
                  <c:v>0.14252662658686965</c:v>
                </c:pt>
                <c:pt idx="30">
                  <c:v>0.1355171203611949</c:v>
                </c:pt>
                <c:pt idx="31">
                  <c:v>0.12850761413574219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1E8-4D87-BAFC-1B0E16D841FD}"/>
            </c:ext>
          </c:extLst>
        </c:ser>
        <c:ser>
          <c:idx val="9"/>
          <c:order val="9"/>
          <c:tx>
            <c:strRef>
              <c:f>z!$E$71</c:f>
              <c:strCache>
                <c:ptCount val="1"/>
                <c:pt idx="0">
                  <c:v>t=90 C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z!$F$71:$AK$71</c:f>
              <c:numCache>
                <c:formatCode>0.00</c:formatCode>
                <c:ptCount val="32"/>
                <c:pt idx="0">
                  <c:v>1.1682510374644295E-3</c:v>
                </c:pt>
                <c:pt idx="1">
                  <c:v>1.4019012451127466E-2</c:v>
                </c:pt>
                <c:pt idx="2">
                  <c:v>2.6869773864790503E-2</c:v>
                </c:pt>
                <c:pt idx="3">
                  <c:v>3.9720535278453539E-2</c:v>
                </c:pt>
                <c:pt idx="4">
                  <c:v>5.2571296691672487E-2</c:v>
                </c:pt>
                <c:pt idx="5">
                  <c:v>6.5422058105335523E-2</c:v>
                </c:pt>
                <c:pt idx="6">
                  <c:v>7.827281951899856E-2</c:v>
                </c:pt>
                <c:pt idx="7">
                  <c:v>9.1123580932661596E-2</c:v>
                </c:pt>
                <c:pt idx="8">
                  <c:v>0.10397434234610259</c:v>
                </c:pt>
                <c:pt idx="9">
                  <c:v>0.11448860168461472</c:v>
                </c:pt>
                <c:pt idx="10">
                  <c:v>0.12617111206059128</c:v>
                </c:pt>
                <c:pt idx="11">
                  <c:v>0.13551712036141694</c:v>
                </c:pt>
                <c:pt idx="12">
                  <c:v>0.14486312866202056</c:v>
                </c:pt>
                <c:pt idx="13">
                  <c:v>0.15304088592538179</c:v>
                </c:pt>
                <c:pt idx="14">
                  <c:v>0.15888214111314802</c:v>
                </c:pt>
                <c:pt idx="15">
                  <c:v>0.16355514526344983</c:v>
                </c:pt>
                <c:pt idx="16">
                  <c:v>0.16822814941397368</c:v>
                </c:pt>
                <c:pt idx="17">
                  <c:v>0.17056465148934663</c:v>
                </c:pt>
                <c:pt idx="18">
                  <c:v>0.1717329025270331</c:v>
                </c:pt>
                <c:pt idx="19">
                  <c:v>0.17173290252681106</c:v>
                </c:pt>
                <c:pt idx="20">
                  <c:v>0.1717329025270331</c:v>
                </c:pt>
                <c:pt idx="21">
                  <c:v>0.16939640045166016</c:v>
                </c:pt>
                <c:pt idx="22">
                  <c:v>0.16589164733904482</c:v>
                </c:pt>
                <c:pt idx="23">
                  <c:v>0.16355514526367188</c:v>
                </c:pt>
                <c:pt idx="24">
                  <c:v>0.16005039215105654</c:v>
                </c:pt>
                <c:pt idx="25">
                  <c:v>0.15537738800031065</c:v>
                </c:pt>
                <c:pt idx="26">
                  <c:v>0.15070438385023088</c:v>
                </c:pt>
                <c:pt idx="27">
                  <c:v>0.1448631286622426</c:v>
                </c:pt>
                <c:pt idx="28">
                  <c:v>0.14019012451149671</c:v>
                </c:pt>
                <c:pt idx="29">
                  <c:v>0.13434886932373047</c:v>
                </c:pt>
                <c:pt idx="30">
                  <c:v>0.12967586517320662</c:v>
                </c:pt>
                <c:pt idx="31">
                  <c:v>0.12383460998521834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1E8-4D87-BAFC-1B0E16D841FD}"/>
            </c:ext>
          </c:extLst>
        </c:ser>
        <c:ser>
          <c:idx val="10"/>
          <c:order val="10"/>
          <c:tx>
            <c:strRef>
              <c:f>z!$E$72</c:f>
              <c:strCache>
                <c:ptCount val="1"/>
                <c:pt idx="0">
                  <c:v>t=100 C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z!$F$72:$AK$72</c:f>
              <c:numCache>
                <c:formatCode>0.00</c:formatCode>
                <c:ptCount val="32"/>
                <c:pt idx="0">
                  <c:v>1.1682510376864741E-3</c:v>
                </c:pt>
                <c:pt idx="1">
                  <c:v>1.1682510375754518E-2</c:v>
                </c:pt>
                <c:pt idx="2">
                  <c:v>2.4533271789417554E-2</c:v>
                </c:pt>
                <c:pt idx="3">
                  <c:v>3.5047531127929688E-2</c:v>
                </c:pt>
                <c:pt idx="4">
                  <c:v>4.673004150390625E-2</c:v>
                </c:pt>
                <c:pt idx="5">
                  <c:v>5.8412551880104857E-2</c:v>
                </c:pt>
                <c:pt idx="6">
                  <c:v>7.0095062255859375E-2</c:v>
                </c:pt>
                <c:pt idx="7">
                  <c:v>8.0609321594371508E-2</c:v>
                </c:pt>
                <c:pt idx="8">
                  <c:v>9.1123580932439552E-2</c:v>
                </c:pt>
                <c:pt idx="9">
                  <c:v>0.10163784027117373</c:v>
                </c:pt>
                <c:pt idx="10">
                  <c:v>0.1109838485715553</c:v>
                </c:pt>
                <c:pt idx="11">
                  <c:v>0.12032985687238096</c:v>
                </c:pt>
                <c:pt idx="12">
                  <c:v>0.12850761413574219</c:v>
                </c:pt>
                <c:pt idx="13">
                  <c:v>0.13551712036141694</c:v>
                </c:pt>
                <c:pt idx="14">
                  <c:v>0.14019012451171875</c:v>
                </c:pt>
                <c:pt idx="15">
                  <c:v>0.14603137969970703</c:v>
                </c:pt>
                <c:pt idx="16">
                  <c:v>0.14953613281232236</c:v>
                </c:pt>
                <c:pt idx="17">
                  <c:v>0.15304088592515974</c:v>
                </c:pt>
                <c:pt idx="18">
                  <c:v>0.15304088592515974</c:v>
                </c:pt>
                <c:pt idx="19">
                  <c:v>0.15420913696284622</c:v>
                </c:pt>
                <c:pt idx="20">
                  <c:v>0.15537738800053269</c:v>
                </c:pt>
                <c:pt idx="21">
                  <c:v>0.15304088592538179</c:v>
                </c:pt>
                <c:pt idx="22">
                  <c:v>0.15187263488791736</c:v>
                </c:pt>
                <c:pt idx="23">
                  <c:v>0.14953613281254441</c:v>
                </c:pt>
                <c:pt idx="24">
                  <c:v>0.14719963073739351</c:v>
                </c:pt>
                <c:pt idx="25">
                  <c:v>0.14369487762455613</c:v>
                </c:pt>
                <c:pt idx="26">
                  <c:v>0.14019012451171875</c:v>
                </c:pt>
                <c:pt idx="27">
                  <c:v>0.13551712036141694</c:v>
                </c:pt>
                <c:pt idx="28">
                  <c:v>0.13201236724857957</c:v>
                </c:pt>
                <c:pt idx="29">
                  <c:v>0.12733936309827776</c:v>
                </c:pt>
                <c:pt idx="30">
                  <c:v>0.12149810791006743</c:v>
                </c:pt>
                <c:pt idx="31">
                  <c:v>0.11682510375998767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91E8-4D87-BAFC-1B0E16D841FD}"/>
            </c:ext>
          </c:extLst>
        </c:ser>
        <c:ser>
          <c:idx val="11"/>
          <c:order val="11"/>
          <c:tx>
            <c:strRef>
              <c:f>z!$E$73</c:f>
              <c:strCache>
                <c:ptCount val="1"/>
                <c:pt idx="0">
                  <c:v>t=110 C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z!$F$73:$AK$73</c:f>
              <c:numCache>
                <c:formatCode>0.00</c:formatCode>
                <c:ptCount val="32"/>
                <c:pt idx="0">
                  <c:v>1.1682510376864741E-3</c:v>
                </c:pt>
                <c:pt idx="1">
                  <c:v>1.0514259338512133E-2</c:v>
                </c:pt>
                <c:pt idx="2">
                  <c:v>2.1028518676802221E-2</c:v>
                </c:pt>
                <c:pt idx="3">
                  <c:v>3.154277801509231E-2</c:v>
                </c:pt>
                <c:pt idx="4">
                  <c:v>4.2057037353604443E-2</c:v>
                </c:pt>
                <c:pt idx="5">
                  <c:v>5.1403045654430102E-2</c:v>
                </c:pt>
                <c:pt idx="6">
                  <c:v>6.191730499272019E-2</c:v>
                </c:pt>
                <c:pt idx="7">
                  <c:v>7.2431564330788234E-2</c:v>
                </c:pt>
                <c:pt idx="8">
                  <c:v>8.0609321594371508E-2</c:v>
                </c:pt>
                <c:pt idx="9">
                  <c:v>8.9955329894975122E-2</c:v>
                </c:pt>
                <c:pt idx="10">
                  <c:v>9.9301338195800781E-2</c:v>
                </c:pt>
                <c:pt idx="11">
                  <c:v>0.10747909545916201</c:v>
                </c:pt>
                <c:pt idx="12">
                  <c:v>0.11332035064692825</c:v>
                </c:pt>
                <c:pt idx="13">
                  <c:v>0.12032985687238096</c:v>
                </c:pt>
                <c:pt idx="14">
                  <c:v>0.12617111206059128</c:v>
                </c:pt>
                <c:pt idx="15">
                  <c:v>0.12967586517320662</c:v>
                </c:pt>
                <c:pt idx="16">
                  <c:v>0.13318061828626604</c:v>
                </c:pt>
                <c:pt idx="17">
                  <c:v>0.13668537139888137</c:v>
                </c:pt>
                <c:pt idx="18">
                  <c:v>0.13902187347381023</c:v>
                </c:pt>
                <c:pt idx="19">
                  <c:v>0.13902187347425432</c:v>
                </c:pt>
                <c:pt idx="20">
                  <c:v>0.14019012451171875</c:v>
                </c:pt>
                <c:pt idx="21">
                  <c:v>0.13902187347425432</c:v>
                </c:pt>
                <c:pt idx="22">
                  <c:v>0.13785362243656785</c:v>
                </c:pt>
                <c:pt idx="23">
                  <c:v>0.13668537139888137</c:v>
                </c:pt>
                <c:pt idx="24">
                  <c:v>0.13434886932373047</c:v>
                </c:pt>
                <c:pt idx="25">
                  <c:v>0.13201236724835752</c:v>
                </c:pt>
                <c:pt idx="26">
                  <c:v>0.12967586517342866</c:v>
                </c:pt>
                <c:pt idx="27">
                  <c:v>0.12617111206059128</c:v>
                </c:pt>
                <c:pt idx="28">
                  <c:v>0.12266635894775391</c:v>
                </c:pt>
                <c:pt idx="29">
                  <c:v>0.1179933547974521</c:v>
                </c:pt>
                <c:pt idx="30">
                  <c:v>0.11448860168461472</c:v>
                </c:pt>
                <c:pt idx="31">
                  <c:v>0.10981559753386883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91E8-4D87-BAFC-1B0E16D841FD}"/>
            </c:ext>
          </c:extLst>
        </c:ser>
        <c:ser>
          <c:idx val="12"/>
          <c:order val="12"/>
          <c:tx>
            <c:strRef>
              <c:f>z!$E$74</c:f>
              <c:strCache>
                <c:ptCount val="1"/>
                <c:pt idx="0">
                  <c:v>t=120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z!$F$74:$AK$74</c:f>
              <c:numCache>
                <c:formatCode>0.00</c:formatCode>
                <c:ptCount val="32"/>
                <c:pt idx="0">
                  <c:v>1.1682510376864741E-3</c:v>
                </c:pt>
                <c:pt idx="1">
                  <c:v>1.0514259338290088E-2</c:v>
                </c:pt>
                <c:pt idx="2">
                  <c:v>1.9860267639115747E-2</c:v>
                </c:pt>
                <c:pt idx="3">
                  <c:v>2.9206275939941406E-2</c:v>
                </c:pt>
                <c:pt idx="4">
                  <c:v>3.7384033203080591E-2</c:v>
                </c:pt>
                <c:pt idx="5">
                  <c:v>4.673004150390625E-2</c:v>
                </c:pt>
                <c:pt idx="6">
                  <c:v>5.4907798767267479E-2</c:v>
                </c:pt>
                <c:pt idx="7">
                  <c:v>6.4253807067871094E-2</c:v>
                </c:pt>
                <c:pt idx="8">
                  <c:v>7.2431564331010279E-2</c:v>
                </c:pt>
                <c:pt idx="9">
                  <c:v>8.0609321594149463E-2</c:v>
                </c:pt>
                <c:pt idx="10">
                  <c:v>8.7618827819824219E-2</c:v>
                </c:pt>
                <c:pt idx="11">
                  <c:v>9.4628334045276929E-2</c:v>
                </c:pt>
                <c:pt idx="12">
                  <c:v>0.10046958923326521</c:v>
                </c:pt>
                <c:pt idx="13">
                  <c:v>0.10631084442125349</c:v>
                </c:pt>
                <c:pt idx="14">
                  <c:v>0.11215209960946382</c:v>
                </c:pt>
                <c:pt idx="15">
                  <c:v>0.11565685272207915</c:v>
                </c:pt>
                <c:pt idx="16">
                  <c:v>0.11916160583491653</c:v>
                </c:pt>
                <c:pt idx="17">
                  <c:v>0.12149810791006743</c:v>
                </c:pt>
                <c:pt idx="18">
                  <c:v>0.12500286102312685</c:v>
                </c:pt>
                <c:pt idx="19">
                  <c:v>0.12500286102312685</c:v>
                </c:pt>
                <c:pt idx="20">
                  <c:v>0.12617111206059128</c:v>
                </c:pt>
                <c:pt idx="21">
                  <c:v>0.12617111206036924</c:v>
                </c:pt>
                <c:pt idx="22">
                  <c:v>0.12617111206059128</c:v>
                </c:pt>
                <c:pt idx="23">
                  <c:v>0.12383460998544038</c:v>
                </c:pt>
                <c:pt idx="24">
                  <c:v>0.12266635894775391</c:v>
                </c:pt>
                <c:pt idx="25">
                  <c:v>0.120329856872603</c:v>
                </c:pt>
                <c:pt idx="26">
                  <c:v>0.11916160583513857</c:v>
                </c:pt>
                <c:pt idx="27">
                  <c:v>0.11682510375998767</c:v>
                </c:pt>
                <c:pt idx="28">
                  <c:v>0.11332035064692825</c:v>
                </c:pt>
                <c:pt idx="29">
                  <c:v>0.11098384857177734</c:v>
                </c:pt>
                <c:pt idx="30">
                  <c:v>0.10747909545916201</c:v>
                </c:pt>
                <c:pt idx="31">
                  <c:v>0.10397434234632463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91E8-4D87-BAFC-1B0E16D841FD}"/>
            </c:ext>
          </c:extLst>
        </c:ser>
        <c:ser>
          <c:idx val="13"/>
          <c:order val="13"/>
          <c:tx>
            <c:strRef>
              <c:f>z!$E$75</c:f>
              <c:strCache>
                <c:ptCount val="1"/>
                <c:pt idx="0">
                  <c:v>t=130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z!$F$75:$AK$75</c:f>
              <c:numCache>
                <c:formatCode>0.00</c:formatCode>
                <c:ptCount val="32"/>
                <c:pt idx="0">
                  <c:v>1.1682510374644295E-3</c:v>
                </c:pt>
                <c:pt idx="1">
                  <c:v>8.1777572631391848E-3</c:v>
                </c:pt>
                <c:pt idx="2">
                  <c:v>1.7523765563964844E-2</c:v>
                </c:pt>
                <c:pt idx="3">
                  <c:v>2.5701522827104029E-2</c:v>
                </c:pt>
                <c:pt idx="4">
                  <c:v>3.3879280090243213E-2</c:v>
                </c:pt>
                <c:pt idx="5">
                  <c:v>4.2057037353604443E-2</c:v>
                </c:pt>
                <c:pt idx="6">
                  <c:v>4.9066543579279198E-2</c:v>
                </c:pt>
                <c:pt idx="7">
                  <c:v>5.7244300842196338E-2</c:v>
                </c:pt>
                <c:pt idx="8">
                  <c:v>6.5422058105335523E-2</c:v>
                </c:pt>
                <c:pt idx="9">
                  <c:v>7.2431564331010279E-2</c:v>
                </c:pt>
                <c:pt idx="10">
                  <c:v>7.827281951899856E-2</c:v>
                </c:pt>
                <c:pt idx="11">
                  <c:v>8.4114074706986841E-2</c:v>
                </c:pt>
                <c:pt idx="12">
                  <c:v>8.9955329894975122E-2</c:v>
                </c:pt>
                <c:pt idx="13">
                  <c:v>9.5796585082963404E-2</c:v>
                </c:pt>
                <c:pt idx="14">
                  <c:v>9.9301338195578737E-2</c:v>
                </c:pt>
                <c:pt idx="15">
                  <c:v>0.10397434234610259</c:v>
                </c:pt>
                <c:pt idx="16">
                  <c:v>0.10747909545893997</c:v>
                </c:pt>
                <c:pt idx="17">
                  <c:v>0.10981559753409087</c:v>
                </c:pt>
                <c:pt idx="18">
                  <c:v>0.11098384857177734</c:v>
                </c:pt>
                <c:pt idx="19">
                  <c:v>0.11332035064692825</c:v>
                </c:pt>
                <c:pt idx="20">
                  <c:v>0.11448860168461472</c:v>
                </c:pt>
                <c:pt idx="21">
                  <c:v>0.11448860168461472</c:v>
                </c:pt>
                <c:pt idx="22">
                  <c:v>0.11448860168461472</c:v>
                </c:pt>
                <c:pt idx="23">
                  <c:v>0.11332035064715029</c:v>
                </c:pt>
                <c:pt idx="24">
                  <c:v>0.11215209960924177</c:v>
                </c:pt>
                <c:pt idx="25">
                  <c:v>0.11098384857177734</c:v>
                </c:pt>
                <c:pt idx="26">
                  <c:v>0.10981559753409087</c:v>
                </c:pt>
                <c:pt idx="27">
                  <c:v>0.10747909545916201</c:v>
                </c:pt>
                <c:pt idx="28">
                  <c:v>0.10514259338356702</c:v>
                </c:pt>
                <c:pt idx="29">
                  <c:v>0.10280609130863816</c:v>
                </c:pt>
                <c:pt idx="30">
                  <c:v>0.10046958923348726</c:v>
                </c:pt>
                <c:pt idx="31">
                  <c:v>9.6964836120649878E-2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91E8-4D87-BAFC-1B0E16D841FD}"/>
            </c:ext>
          </c:extLst>
        </c:ser>
        <c:ser>
          <c:idx val="14"/>
          <c:order val="14"/>
          <c:tx>
            <c:strRef>
              <c:f>z!$E$76</c:f>
              <c:strCache>
                <c:ptCount val="1"/>
                <c:pt idx="0">
                  <c:v>t=140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z!$F$76:$AK$76</c:f>
              <c:numCache>
                <c:formatCode>0.00</c:formatCode>
                <c:ptCount val="32"/>
                <c:pt idx="0">
                  <c:v>1.1682510374644295E-3</c:v>
                </c:pt>
                <c:pt idx="1">
                  <c:v>8.1777572631391848E-3</c:v>
                </c:pt>
                <c:pt idx="2">
                  <c:v>1.635551452627837E-2</c:v>
                </c:pt>
                <c:pt idx="3">
                  <c:v>2.3365020751953125E-2</c:v>
                </c:pt>
                <c:pt idx="4">
                  <c:v>3.037452697762788E-2</c:v>
                </c:pt>
                <c:pt idx="5">
                  <c:v>3.8552284240767065E-2</c:v>
                </c:pt>
                <c:pt idx="6">
                  <c:v>4.5561790466219776E-2</c:v>
                </c:pt>
                <c:pt idx="7">
                  <c:v>5.1403045654430102E-2</c:v>
                </c:pt>
                <c:pt idx="8">
                  <c:v>5.8412551879882813E-2</c:v>
                </c:pt>
                <c:pt idx="9">
                  <c:v>6.5422058105557568E-2</c:v>
                </c:pt>
                <c:pt idx="10">
                  <c:v>7.1263313293545849E-2</c:v>
                </c:pt>
                <c:pt idx="11">
                  <c:v>7.5936317443847656E-2</c:v>
                </c:pt>
                <c:pt idx="12">
                  <c:v>8.1777572631613893E-2</c:v>
                </c:pt>
                <c:pt idx="13">
                  <c:v>8.5282325744451271E-2</c:v>
                </c:pt>
                <c:pt idx="14">
                  <c:v>8.9955329894975122E-2</c:v>
                </c:pt>
                <c:pt idx="15">
                  <c:v>9.34600830078125E-2</c:v>
                </c:pt>
                <c:pt idx="16">
                  <c:v>9.6964836120649878E-2</c:v>
                </c:pt>
                <c:pt idx="17">
                  <c:v>9.9301338195800781E-2</c:v>
                </c:pt>
                <c:pt idx="18">
                  <c:v>0.10163784027117373</c:v>
                </c:pt>
                <c:pt idx="19">
                  <c:v>0.10163784027095168</c:v>
                </c:pt>
                <c:pt idx="20">
                  <c:v>0.10280609130863816</c:v>
                </c:pt>
                <c:pt idx="21">
                  <c:v>0.10397434234610259</c:v>
                </c:pt>
                <c:pt idx="22">
                  <c:v>0.10397434234610259</c:v>
                </c:pt>
                <c:pt idx="23">
                  <c:v>0.10397434234610259</c:v>
                </c:pt>
                <c:pt idx="24">
                  <c:v>0.10280609130841611</c:v>
                </c:pt>
                <c:pt idx="25">
                  <c:v>0.10163784027095168</c:v>
                </c:pt>
                <c:pt idx="26">
                  <c:v>0.10046958923348726</c:v>
                </c:pt>
                <c:pt idx="27">
                  <c:v>9.9301338195800781E-2</c:v>
                </c:pt>
                <c:pt idx="28">
                  <c:v>9.6964836120427833E-2</c:v>
                </c:pt>
                <c:pt idx="29">
                  <c:v>9.4628334045498974E-2</c:v>
                </c:pt>
                <c:pt idx="30">
                  <c:v>9.2291831970348071E-2</c:v>
                </c:pt>
                <c:pt idx="31">
                  <c:v>8.9955329895197167E-2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91E8-4D87-BAFC-1B0E16D841FD}"/>
            </c:ext>
          </c:extLst>
        </c:ser>
        <c:ser>
          <c:idx val="15"/>
          <c:order val="15"/>
          <c:tx>
            <c:strRef>
              <c:f>z!$E$77</c:f>
              <c:strCache>
                <c:ptCount val="1"/>
                <c:pt idx="0">
                  <c:v>t=150 C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z!$F$77:$AK$77</c:f>
              <c:numCache>
                <c:formatCode>0.00</c:formatCode>
                <c:ptCount val="32"/>
                <c:pt idx="0">
                  <c:v>1.1682510376864741E-3</c:v>
                </c:pt>
                <c:pt idx="1">
                  <c:v>8.1777572631391848E-3</c:v>
                </c:pt>
                <c:pt idx="2">
                  <c:v>1.4019012451127466E-2</c:v>
                </c:pt>
                <c:pt idx="3">
                  <c:v>2.1028518676802221E-2</c:v>
                </c:pt>
                <c:pt idx="4">
                  <c:v>2.8038024902476977E-2</c:v>
                </c:pt>
                <c:pt idx="5">
                  <c:v>3.5047531127929688E-2</c:v>
                </c:pt>
                <c:pt idx="6">
                  <c:v>4.0888786315917969E-2</c:v>
                </c:pt>
                <c:pt idx="7">
                  <c:v>4.673004150390625E-2</c:v>
                </c:pt>
                <c:pt idx="8">
                  <c:v>5.2571296691894531E-2</c:v>
                </c:pt>
                <c:pt idx="9">
                  <c:v>5.7244300842418383E-2</c:v>
                </c:pt>
                <c:pt idx="10">
                  <c:v>6.4253807067871094E-2</c:v>
                </c:pt>
                <c:pt idx="11">
                  <c:v>6.7758560180708471E-2</c:v>
                </c:pt>
                <c:pt idx="12">
                  <c:v>7.2431564331010279E-2</c:v>
                </c:pt>
                <c:pt idx="13">
                  <c:v>7.710456848153413E-2</c:v>
                </c:pt>
                <c:pt idx="14">
                  <c:v>8.0609321594149463E-2</c:v>
                </c:pt>
                <c:pt idx="15">
                  <c:v>8.4114074707208886E-2</c:v>
                </c:pt>
                <c:pt idx="16">
                  <c:v>8.7618827819824219E-2</c:v>
                </c:pt>
                <c:pt idx="17">
                  <c:v>8.9955329894975122E-2</c:v>
                </c:pt>
                <c:pt idx="18">
                  <c:v>9.1123580932661596E-2</c:v>
                </c:pt>
                <c:pt idx="19">
                  <c:v>9.2291831970348071E-2</c:v>
                </c:pt>
                <c:pt idx="20">
                  <c:v>9.4628334045276929E-2</c:v>
                </c:pt>
                <c:pt idx="21">
                  <c:v>9.4628334045721019E-2</c:v>
                </c:pt>
                <c:pt idx="22">
                  <c:v>9.4628334045276929E-2</c:v>
                </c:pt>
                <c:pt idx="23">
                  <c:v>9.34600830078125E-2</c:v>
                </c:pt>
                <c:pt idx="24">
                  <c:v>9.34600830078125E-2</c:v>
                </c:pt>
                <c:pt idx="25">
                  <c:v>9.34600830078125E-2</c:v>
                </c:pt>
                <c:pt idx="26">
                  <c:v>9.2291831969903981E-2</c:v>
                </c:pt>
                <c:pt idx="27">
                  <c:v>9.1123580932661596E-2</c:v>
                </c:pt>
                <c:pt idx="28">
                  <c:v>8.8787078857288648E-2</c:v>
                </c:pt>
                <c:pt idx="29">
                  <c:v>8.7618827819824219E-2</c:v>
                </c:pt>
                <c:pt idx="30">
                  <c:v>8.5282325744673315E-2</c:v>
                </c:pt>
                <c:pt idx="31">
                  <c:v>8.2945823669522412E-2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91E8-4D87-BAFC-1B0E16D841FD}"/>
            </c:ext>
          </c:extLst>
        </c:ser>
        <c:ser>
          <c:idx val="16"/>
          <c:order val="16"/>
          <c:tx>
            <c:strRef>
              <c:f>z!$E$78</c:f>
              <c:strCache>
                <c:ptCount val="1"/>
                <c:pt idx="0">
                  <c:v>t=160 C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z!$F$78:$AK$78</c:f>
              <c:numCache>
                <c:formatCode>0.00</c:formatCode>
                <c:ptCount val="32"/>
                <c:pt idx="0">
                  <c:v>1.1682510376864741E-3</c:v>
                </c:pt>
                <c:pt idx="1">
                  <c:v>7.0095062256747553E-3</c:v>
                </c:pt>
                <c:pt idx="2">
                  <c:v>1.2850761413663037E-2</c:v>
                </c:pt>
                <c:pt idx="3">
                  <c:v>1.9860267639115747E-2</c:v>
                </c:pt>
                <c:pt idx="4">
                  <c:v>2.5701522827104029E-2</c:v>
                </c:pt>
                <c:pt idx="5">
                  <c:v>3.037452697762788E-2</c:v>
                </c:pt>
                <c:pt idx="6">
                  <c:v>3.7384033203080591E-2</c:v>
                </c:pt>
                <c:pt idx="7">
                  <c:v>4.2057037353604443E-2</c:v>
                </c:pt>
                <c:pt idx="8">
                  <c:v>4.7898292541370679E-2</c:v>
                </c:pt>
                <c:pt idx="9">
                  <c:v>5.3739547729358961E-2</c:v>
                </c:pt>
                <c:pt idx="10">
                  <c:v>5.7244300842418383E-2</c:v>
                </c:pt>
                <c:pt idx="11">
                  <c:v>6.191730499272019E-2</c:v>
                </c:pt>
                <c:pt idx="12">
                  <c:v>6.6590309143244042E-2</c:v>
                </c:pt>
                <c:pt idx="13">
                  <c:v>7.009506225608142E-2</c:v>
                </c:pt>
                <c:pt idx="14">
                  <c:v>7.3599815368696753E-2</c:v>
                </c:pt>
                <c:pt idx="15">
                  <c:v>7.5936317443847656E-2</c:v>
                </c:pt>
                <c:pt idx="16">
                  <c:v>7.9441070556462989E-2</c:v>
                </c:pt>
                <c:pt idx="17">
                  <c:v>8.1777572631835938E-2</c:v>
                </c:pt>
                <c:pt idx="18">
                  <c:v>8.2945823669300367E-2</c:v>
                </c:pt>
                <c:pt idx="19">
                  <c:v>8.4114074707208886E-2</c:v>
                </c:pt>
                <c:pt idx="20">
                  <c:v>8.5282325744673315E-2</c:v>
                </c:pt>
                <c:pt idx="21">
                  <c:v>8.6450576782359789E-2</c:v>
                </c:pt>
                <c:pt idx="22">
                  <c:v>8.5282325744451271E-2</c:v>
                </c:pt>
                <c:pt idx="23">
                  <c:v>8.6450576782359789E-2</c:v>
                </c:pt>
                <c:pt idx="24">
                  <c:v>8.6450576782137745E-2</c:v>
                </c:pt>
                <c:pt idx="25">
                  <c:v>8.5282325744451271E-2</c:v>
                </c:pt>
                <c:pt idx="26">
                  <c:v>8.4114074706986841E-2</c:v>
                </c:pt>
                <c:pt idx="27">
                  <c:v>8.4114074706986841E-2</c:v>
                </c:pt>
                <c:pt idx="28">
                  <c:v>8.1777572632057982E-2</c:v>
                </c:pt>
                <c:pt idx="29">
                  <c:v>8.0609321594149463E-2</c:v>
                </c:pt>
                <c:pt idx="30">
                  <c:v>7.9441070556685034E-2</c:v>
                </c:pt>
                <c:pt idx="31">
                  <c:v>7.710456848153413E-2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91E8-4D87-BAFC-1B0E16D841FD}"/>
            </c:ext>
          </c:extLst>
        </c:ser>
        <c:ser>
          <c:idx val="17"/>
          <c:order val="17"/>
          <c:tx>
            <c:strRef>
              <c:f>z!$E$79</c:f>
              <c:strCache>
                <c:ptCount val="1"/>
                <c:pt idx="0">
                  <c:v>t=170 C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z!$F$79:$AK$79</c:f>
              <c:numCache>
                <c:formatCode>0.00</c:formatCode>
                <c:ptCount val="32"/>
                <c:pt idx="0">
                  <c:v>0</c:v>
                </c:pt>
                <c:pt idx="1">
                  <c:v>5.8412551879882813E-3</c:v>
                </c:pt>
                <c:pt idx="2">
                  <c:v>1.1682510375976563E-2</c:v>
                </c:pt>
                <c:pt idx="3">
                  <c:v>1.7523765563964844E-2</c:v>
                </c:pt>
                <c:pt idx="4">
                  <c:v>2.3365020751953125E-2</c:v>
                </c:pt>
                <c:pt idx="5">
                  <c:v>2.8038024902254932E-2</c:v>
                </c:pt>
                <c:pt idx="6">
                  <c:v>3.3879280090243213E-2</c:v>
                </c:pt>
                <c:pt idx="7">
                  <c:v>3.8552284240545021E-2</c:v>
                </c:pt>
                <c:pt idx="8">
                  <c:v>4.3225288391068872E-2</c:v>
                </c:pt>
                <c:pt idx="9">
                  <c:v>4.7898292541370679E-2</c:v>
                </c:pt>
                <c:pt idx="10">
                  <c:v>5.2571296691894531E-2</c:v>
                </c:pt>
                <c:pt idx="11">
                  <c:v>5.6076049804509864E-2</c:v>
                </c:pt>
                <c:pt idx="12">
                  <c:v>6.0749053955255761E-2</c:v>
                </c:pt>
                <c:pt idx="13">
                  <c:v>6.308555603018462E-2</c:v>
                </c:pt>
                <c:pt idx="14">
                  <c:v>6.5422058105335523E-2</c:v>
                </c:pt>
                <c:pt idx="15">
                  <c:v>6.8926811218394946E-2</c:v>
                </c:pt>
                <c:pt idx="16">
                  <c:v>7.1263313293545849E-2</c:v>
                </c:pt>
                <c:pt idx="17">
                  <c:v>7.3599815368696753E-2</c:v>
                </c:pt>
                <c:pt idx="18">
                  <c:v>7.5936317443847656E-2</c:v>
                </c:pt>
                <c:pt idx="19">
                  <c:v>7.5936317443625612E-2</c:v>
                </c:pt>
                <c:pt idx="20">
                  <c:v>7.7104568481312086E-2</c:v>
                </c:pt>
                <c:pt idx="21">
                  <c:v>7.8272819519220604E-2</c:v>
                </c:pt>
                <c:pt idx="22">
                  <c:v>7.9441070556685034E-2</c:v>
                </c:pt>
                <c:pt idx="23">
                  <c:v>7.827281951899856E-2</c:v>
                </c:pt>
                <c:pt idx="24">
                  <c:v>7.827281951899856E-2</c:v>
                </c:pt>
                <c:pt idx="25">
                  <c:v>7.8272819519220604E-2</c:v>
                </c:pt>
                <c:pt idx="26">
                  <c:v>7.7104568481756175E-2</c:v>
                </c:pt>
                <c:pt idx="27">
                  <c:v>7.7104568481312086E-2</c:v>
                </c:pt>
                <c:pt idx="28">
                  <c:v>7.5936317443625612E-2</c:v>
                </c:pt>
                <c:pt idx="29">
                  <c:v>7.4768066406383227E-2</c:v>
                </c:pt>
                <c:pt idx="30">
                  <c:v>7.2431564331010279E-2</c:v>
                </c:pt>
                <c:pt idx="31">
                  <c:v>7.0095062255859375E-2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91E8-4D87-BAFC-1B0E16D841FD}"/>
            </c:ext>
          </c:extLst>
        </c:ser>
        <c:ser>
          <c:idx val="18"/>
          <c:order val="18"/>
          <c:tx>
            <c:strRef>
              <c:f>z!$E$80</c:f>
              <c:strCache>
                <c:ptCount val="1"/>
                <c:pt idx="0">
                  <c:v>t=180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z!$F$80:$AK$80</c:f>
              <c:numCache>
                <c:formatCode>0.00</c:formatCode>
                <c:ptCount val="32"/>
                <c:pt idx="0">
                  <c:v>1.1682510374644295E-3</c:v>
                </c:pt>
                <c:pt idx="1">
                  <c:v>5.8412551879882813E-3</c:v>
                </c:pt>
                <c:pt idx="2">
                  <c:v>1.1682510375976563E-2</c:v>
                </c:pt>
                <c:pt idx="3">
                  <c:v>1.518726348881394E-2</c:v>
                </c:pt>
                <c:pt idx="4">
                  <c:v>2.1028518676580177E-2</c:v>
                </c:pt>
                <c:pt idx="5">
                  <c:v>2.5701522827104029E-2</c:v>
                </c:pt>
                <c:pt idx="6">
                  <c:v>3.0374526977405836E-2</c:v>
                </c:pt>
                <c:pt idx="7">
                  <c:v>3.5047531127707643E-2</c:v>
                </c:pt>
                <c:pt idx="8">
                  <c:v>3.8552284240767065E-2</c:v>
                </c:pt>
                <c:pt idx="9">
                  <c:v>4.3225288391068872E-2</c:v>
                </c:pt>
                <c:pt idx="10">
                  <c:v>4.673004150390625E-2</c:v>
                </c:pt>
                <c:pt idx="11">
                  <c:v>5.0234794616965672E-2</c:v>
                </c:pt>
                <c:pt idx="12">
                  <c:v>5.4907798767045435E-2</c:v>
                </c:pt>
                <c:pt idx="13">
                  <c:v>5.7244300842418383E-2</c:v>
                </c:pt>
                <c:pt idx="14">
                  <c:v>6.0749053955033716E-2</c:v>
                </c:pt>
                <c:pt idx="15">
                  <c:v>6.3085556030406664E-2</c:v>
                </c:pt>
                <c:pt idx="16">
                  <c:v>6.5422058105557568E-2</c:v>
                </c:pt>
                <c:pt idx="17">
                  <c:v>6.6590309143021997E-2</c:v>
                </c:pt>
                <c:pt idx="18">
                  <c:v>6.8926811218394946E-2</c:v>
                </c:pt>
                <c:pt idx="19">
                  <c:v>6.8926811218394946E-2</c:v>
                </c:pt>
                <c:pt idx="20">
                  <c:v>7.0095062255859375E-2</c:v>
                </c:pt>
                <c:pt idx="21">
                  <c:v>7.0095062255859375E-2</c:v>
                </c:pt>
                <c:pt idx="22">
                  <c:v>7.1263313293545849E-2</c:v>
                </c:pt>
                <c:pt idx="23">
                  <c:v>7.1263313293545849E-2</c:v>
                </c:pt>
                <c:pt idx="24">
                  <c:v>7.1263313293323804E-2</c:v>
                </c:pt>
                <c:pt idx="25">
                  <c:v>7.1263313293545849E-2</c:v>
                </c:pt>
                <c:pt idx="26">
                  <c:v>7.0095062255859375E-2</c:v>
                </c:pt>
                <c:pt idx="27">
                  <c:v>7.009506225563733E-2</c:v>
                </c:pt>
                <c:pt idx="28">
                  <c:v>6.8926811218172901E-2</c:v>
                </c:pt>
                <c:pt idx="29">
                  <c:v>6.7758560180486427E-2</c:v>
                </c:pt>
                <c:pt idx="30">
                  <c:v>6.6590309142799953E-2</c:v>
                </c:pt>
                <c:pt idx="31">
                  <c:v>6.5422058105557568E-2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91E8-4D87-BAFC-1B0E16D841FD}"/>
            </c:ext>
          </c:extLst>
        </c:ser>
        <c:ser>
          <c:idx val="19"/>
          <c:order val="19"/>
          <c:tx>
            <c:strRef>
              <c:f>z!$E$81</c:f>
              <c:strCache>
                <c:ptCount val="1"/>
                <c:pt idx="0">
                  <c:v>t=190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z!$F$81:$AK$81</c:f>
              <c:numCache>
                <c:formatCode>0.00</c:formatCode>
                <c:ptCount val="32"/>
                <c:pt idx="0">
                  <c:v>0</c:v>
                </c:pt>
                <c:pt idx="1">
                  <c:v>4.6730041503018072E-3</c:v>
                </c:pt>
                <c:pt idx="2">
                  <c:v>9.3460083008256589E-3</c:v>
                </c:pt>
                <c:pt idx="3">
                  <c:v>1.4019012451127466E-2</c:v>
                </c:pt>
                <c:pt idx="4">
                  <c:v>1.8692016601429273E-2</c:v>
                </c:pt>
                <c:pt idx="5">
                  <c:v>2.4533271789417554E-2</c:v>
                </c:pt>
                <c:pt idx="6">
                  <c:v>2.6869773864790503E-2</c:v>
                </c:pt>
                <c:pt idx="7">
                  <c:v>3.154277801509231E-2</c:v>
                </c:pt>
                <c:pt idx="8">
                  <c:v>3.6215782165394117E-2</c:v>
                </c:pt>
                <c:pt idx="9">
                  <c:v>3.9720535278453539E-2</c:v>
                </c:pt>
                <c:pt idx="10">
                  <c:v>4.3225288391068872E-2</c:v>
                </c:pt>
                <c:pt idx="11">
                  <c:v>4.673004150390625E-2</c:v>
                </c:pt>
                <c:pt idx="12">
                  <c:v>5.0234794616743628E-2</c:v>
                </c:pt>
                <c:pt idx="13">
                  <c:v>5.2571296691894531E-2</c:v>
                </c:pt>
                <c:pt idx="14">
                  <c:v>5.4907798767267479E-2</c:v>
                </c:pt>
                <c:pt idx="15">
                  <c:v>5.7244300842418383E-2</c:v>
                </c:pt>
                <c:pt idx="16">
                  <c:v>5.8412551879882813E-2</c:v>
                </c:pt>
                <c:pt idx="17">
                  <c:v>6.0749053955033716E-2</c:v>
                </c:pt>
                <c:pt idx="18">
                  <c:v>6.191730499272019E-2</c:v>
                </c:pt>
                <c:pt idx="19">
                  <c:v>6.3085556030406664E-2</c:v>
                </c:pt>
                <c:pt idx="20">
                  <c:v>6.4253807068093138E-2</c:v>
                </c:pt>
                <c:pt idx="21">
                  <c:v>6.5422058105335523E-2</c:v>
                </c:pt>
                <c:pt idx="22">
                  <c:v>6.4253807067871094E-2</c:v>
                </c:pt>
                <c:pt idx="23">
                  <c:v>6.5422058105557568E-2</c:v>
                </c:pt>
                <c:pt idx="24">
                  <c:v>6.5422058105335523E-2</c:v>
                </c:pt>
                <c:pt idx="25">
                  <c:v>6.5422058105335523E-2</c:v>
                </c:pt>
                <c:pt idx="26">
                  <c:v>6.4253807068093138E-2</c:v>
                </c:pt>
                <c:pt idx="27">
                  <c:v>6.4253807067649049E-2</c:v>
                </c:pt>
                <c:pt idx="28">
                  <c:v>6.3085556030406664E-2</c:v>
                </c:pt>
                <c:pt idx="29">
                  <c:v>6.3085556030628709E-2</c:v>
                </c:pt>
                <c:pt idx="30">
                  <c:v>6.1917304992276101E-2</c:v>
                </c:pt>
                <c:pt idx="31">
                  <c:v>6.0749053955255761E-2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91E8-4D87-BAFC-1B0E16D841FD}"/>
            </c:ext>
          </c:extLst>
        </c:ser>
        <c:ser>
          <c:idx val="20"/>
          <c:order val="20"/>
          <c:tx>
            <c:strRef>
              <c:f>z!$E$82</c:f>
              <c:strCache>
                <c:ptCount val="1"/>
                <c:pt idx="0">
                  <c:v>t=200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z!$F$82:$AK$82</c:f>
              <c:numCache>
                <c:formatCode>0.00</c:formatCode>
                <c:ptCount val="32"/>
                <c:pt idx="0">
                  <c:v>0</c:v>
                </c:pt>
                <c:pt idx="1">
                  <c:v>4.6730041505238518E-3</c:v>
                </c:pt>
                <c:pt idx="2">
                  <c:v>9.3460083008256589E-3</c:v>
                </c:pt>
                <c:pt idx="3">
                  <c:v>1.2850761413663037E-2</c:v>
                </c:pt>
                <c:pt idx="4">
                  <c:v>1.7523765564186888E-2</c:v>
                </c:pt>
                <c:pt idx="5">
                  <c:v>2.1028518676802221E-2</c:v>
                </c:pt>
                <c:pt idx="6">
                  <c:v>2.5701522827104029E-2</c:v>
                </c:pt>
                <c:pt idx="7">
                  <c:v>2.9206275940163451E-2</c:v>
                </c:pt>
                <c:pt idx="8">
                  <c:v>3.2711029052556739E-2</c:v>
                </c:pt>
                <c:pt idx="9">
                  <c:v>3.6215782165616162E-2</c:v>
                </c:pt>
                <c:pt idx="10">
                  <c:v>3.8552284240767065E-2</c:v>
                </c:pt>
                <c:pt idx="11">
                  <c:v>4.2057037353382398E-2</c:v>
                </c:pt>
                <c:pt idx="12">
                  <c:v>4.5561790466441821E-2</c:v>
                </c:pt>
                <c:pt idx="13">
                  <c:v>4.673004150390625E-2</c:v>
                </c:pt>
                <c:pt idx="14">
                  <c:v>5.0234794616743628E-2</c:v>
                </c:pt>
                <c:pt idx="15">
                  <c:v>5.1403045654208057E-2</c:v>
                </c:pt>
                <c:pt idx="16">
                  <c:v>5.3739547729581005E-2</c:v>
                </c:pt>
                <c:pt idx="17">
                  <c:v>5.490779876682339E-2</c:v>
                </c:pt>
                <c:pt idx="18">
                  <c:v>5.7244300842196338E-2</c:v>
                </c:pt>
                <c:pt idx="19">
                  <c:v>5.7244300842418383E-2</c:v>
                </c:pt>
                <c:pt idx="20">
                  <c:v>5.8412551879882813E-2</c:v>
                </c:pt>
                <c:pt idx="21">
                  <c:v>5.9580802917569287E-2</c:v>
                </c:pt>
                <c:pt idx="22">
                  <c:v>5.9580802917569287E-2</c:v>
                </c:pt>
                <c:pt idx="23">
                  <c:v>5.9580802917347242E-2</c:v>
                </c:pt>
                <c:pt idx="24">
                  <c:v>5.9580802917347242E-2</c:v>
                </c:pt>
                <c:pt idx="25">
                  <c:v>5.9580802917347242E-2</c:v>
                </c:pt>
                <c:pt idx="26">
                  <c:v>5.9580802917347242E-2</c:v>
                </c:pt>
                <c:pt idx="27">
                  <c:v>5.8412551879882813E-2</c:v>
                </c:pt>
                <c:pt idx="28">
                  <c:v>5.8412551879660768E-2</c:v>
                </c:pt>
                <c:pt idx="29">
                  <c:v>5.7244300842418383E-2</c:v>
                </c:pt>
                <c:pt idx="30">
                  <c:v>5.6076049804953954E-2</c:v>
                </c:pt>
                <c:pt idx="31">
                  <c:v>5.490779876682339E-2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91E8-4D87-BAFC-1B0E16D841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0267504"/>
        <c:axId val="1794276784"/>
      </c:scatterChart>
      <c:valAx>
        <c:axId val="1610267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P, atma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4276784"/>
        <c:crosses val="autoZero"/>
        <c:crossBetween val="midCat"/>
      </c:valAx>
      <c:valAx>
        <c:axId val="179427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dz/dt * 100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0267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dz/dp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z!$E$85</c:f>
              <c:strCache>
                <c:ptCount val="1"/>
                <c:pt idx="0">
                  <c:v>t=0 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z!$F$85:$AK$85</c:f>
              <c:numCache>
                <c:formatCode>0.00</c:formatCode>
                <c:ptCount val="32"/>
                <c:pt idx="0">
                  <c:v>-3.7267208099378557</c:v>
                </c:pt>
                <c:pt idx="1">
                  <c:v>-3.8435459136954009</c:v>
                </c:pt>
                <c:pt idx="2">
                  <c:v>-3.9370059967036575</c:v>
                </c:pt>
                <c:pt idx="3">
                  <c:v>-4.0304660797119141</c:v>
                </c:pt>
                <c:pt idx="4">
                  <c:v>-4.1239261627201707</c:v>
                </c:pt>
                <c:pt idx="5">
                  <c:v>-4.1823387146022739</c:v>
                </c:pt>
                <c:pt idx="6">
                  <c:v>-4.1940212249746978</c:v>
                </c:pt>
                <c:pt idx="7">
                  <c:v>-4.1122436523455264</c:v>
                </c:pt>
                <c:pt idx="8">
                  <c:v>-3.8902759552006394</c:v>
                </c:pt>
                <c:pt idx="9">
                  <c:v>-3.4813880920414597</c:v>
                </c:pt>
                <c:pt idx="10">
                  <c:v>-2.8855800628657668</c:v>
                </c:pt>
                <c:pt idx="11">
                  <c:v>-2.1729469299325288</c:v>
                </c:pt>
                <c:pt idx="12">
                  <c:v>-1.4252662658686965</c:v>
                </c:pt>
                <c:pt idx="13">
                  <c:v>-0.75936317443625612</c:v>
                </c:pt>
                <c:pt idx="14">
                  <c:v>-0.18692016601429273</c:v>
                </c:pt>
                <c:pt idx="15">
                  <c:v>0.28038024902476977</c:v>
                </c:pt>
                <c:pt idx="16">
                  <c:v>0.65422058105335523</c:v>
                </c:pt>
                <c:pt idx="17">
                  <c:v>0.94628334045498974</c:v>
                </c:pt>
                <c:pt idx="18">
                  <c:v>1.179933547974521</c:v>
                </c:pt>
                <c:pt idx="19">
                  <c:v>1.3551712036141694</c:v>
                </c:pt>
                <c:pt idx="20">
                  <c:v>1.4836788177507998</c:v>
                </c:pt>
                <c:pt idx="21">
                  <c:v>1.5888214111314802</c:v>
                </c:pt>
                <c:pt idx="22">
                  <c:v>1.6822814941419573</c:v>
                </c:pt>
                <c:pt idx="23">
                  <c:v>1.7406940460196196</c:v>
                </c:pt>
                <c:pt idx="24">
                  <c:v>1.7991065978995024</c:v>
                </c:pt>
                <c:pt idx="25">
                  <c:v>1.8341541290300967</c:v>
                </c:pt>
                <c:pt idx="26">
                  <c:v>1.86920166015625</c:v>
                </c:pt>
                <c:pt idx="27">
                  <c:v>1.892566680907759</c:v>
                </c:pt>
                <c:pt idx="28">
                  <c:v>1.9159317016592681</c:v>
                </c:pt>
                <c:pt idx="29">
                  <c:v>1.9276142120361328</c:v>
                </c:pt>
                <c:pt idx="30">
                  <c:v>1.9392967224129976</c:v>
                </c:pt>
                <c:pt idx="31">
                  <c:v>1.9509792327876418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3F-454D-9965-B3EC0196B4B1}"/>
            </c:ext>
          </c:extLst>
        </c:ser>
        <c:ser>
          <c:idx val="1"/>
          <c:order val="1"/>
          <c:tx>
            <c:strRef>
              <c:f>z!$E$86</c:f>
              <c:strCache>
                <c:ptCount val="1"/>
                <c:pt idx="0">
                  <c:v>t=10 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z!$F$86:$AK$86</c:f>
              <c:numCache>
                <c:formatCode>0.00</c:formatCode>
                <c:ptCount val="32"/>
                <c:pt idx="0">
                  <c:v>-3.3411979675301851</c:v>
                </c:pt>
                <c:pt idx="1">
                  <c:v>-3.3996105194078474</c:v>
                </c:pt>
                <c:pt idx="2">
                  <c:v>-3.4580230712877302</c:v>
                </c:pt>
                <c:pt idx="3">
                  <c:v>-3.5164356231698335</c:v>
                </c:pt>
                <c:pt idx="4">
                  <c:v>-3.5398006439213425</c:v>
                </c:pt>
                <c:pt idx="5">
                  <c:v>-3.5514831542959868</c:v>
                </c:pt>
                <c:pt idx="6">
                  <c:v>-3.5281181335422573</c:v>
                </c:pt>
                <c:pt idx="7">
                  <c:v>-3.4346580505362212</c:v>
                </c:pt>
                <c:pt idx="8">
                  <c:v>-3.2594203948965728</c:v>
                </c:pt>
                <c:pt idx="9">
                  <c:v>-2.979040145871803</c:v>
                </c:pt>
                <c:pt idx="10">
                  <c:v>-2.5701522827148438</c:v>
                </c:pt>
                <c:pt idx="11">
                  <c:v>-2.091169357301137</c:v>
                </c:pt>
                <c:pt idx="12">
                  <c:v>-1.5537738800053269</c:v>
                </c:pt>
                <c:pt idx="13">
                  <c:v>-1.0163784027117373</c:v>
                </c:pt>
                <c:pt idx="14">
                  <c:v>-0.52571296691894531</c:v>
                </c:pt>
                <c:pt idx="15">
                  <c:v>-0.10514259338512133</c:v>
                </c:pt>
                <c:pt idx="16">
                  <c:v>0.26869773864568458</c:v>
                </c:pt>
                <c:pt idx="17">
                  <c:v>0.57244300842196338</c:v>
                </c:pt>
                <c:pt idx="18">
                  <c:v>0.80609321593927419</c:v>
                </c:pt>
                <c:pt idx="19">
                  <c:v>1.0046958923348726</c:v>
                </c:pt>
                <c:pt idx="20">
                  <c:v>1.179933547974521</c:v>
                </c:pt>
                <c:pt idx="21">
                  <c:v>1.3084411621089309</c:v>
                </c:pt>
                <c:pt idx="22">
                  <c:v>1.4252662658686965</c:v>
                </c:pt>
                <c:pt idx="23">
                  <c:v>1.5070438385000884</c:v>
                </c:pt>
                <c:pt idx="24">
                  <c:v>1.5771389007568359</c:v>
                </c:pt>
                <c:pt idx="25">
                  <c:v>1.6355514526367188</c:v>
                </c:pt>
                <c:pt idx="26">
                  <c:v>1.6939640045166016</c:v>
                </c:pt>
                <c:pt idx="27">
                  <c:v>1.7290115356449753</c:v>
                </c:pt>
                <c:pt idx="28">
                  <c:v>1.7523765563964844</c:v>
                </c:pt>
                <c:pt idx="29">
                  <c:v>1.7874240875226377</c:v>
                </c:pt>
                <c:pt idx="30">
                  <c:v>1.7991065979017229</c:v>
                </c:pt>
                <c:pt idx="31">
                  <c:v>1.8224716186532319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3F-454D-9965-B3EC0196B4B1}"/>
            </c:ext>
          </c:extLst>
        </c:ser>
        <c:ser>
          <c:idx val="2"/>
          <c:order val="2"/>
          <c:tx>
            <c:strRef>
              <c:f>z!$E$87</c:f>
              <c:strCache>
                <c:ptCount val="1"/>
                <c:pt idx="0">
                  <c:v>t=20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z!$F$87:$AK$87</c:f>
              <c:numCache>
                <c:formatCode>0.00</c:formatCode>
                <c:ptCount val="32"/>
                <c:pt idx="0">
                  <c:v>-2.9790401458740234</c:v>
                </c:pt>
                <c:pt idx="1">
                  <c:v>-3.025770187379262</c:v>
                </c:pt>
                <c:pt idx="2">
                  <c:v>-3.049135208130771</c:v>
                </c:pt>
                <c:pt idx="3">
                  <c:v>-3.07250022888228</c:v>
                </c:pt>
                <c:pt idx="4">
                  <c:v>-3.0841827392591448</c:v>
                </c:pt>
                <c:pt idx="5">
                  <c:v>-3.0608177185054153</c:v>
                </c:pt>
                <c:pt idx="6">
                  <c:v>-3.0140876770001768</c:v>
                </c:pt>
                <c:pt idx="7">
                  <c:v>-2.9206275939941406</c:v>
                </c:pt>
                <c:pt idx="8">
                  <c:v>-2.7687549591082217</c:v>
                </c:pt>
                <c:pt idx="9">
                  <c:v>-2.5467872619633347</c:v>
                </c:pt>
                <c:pt idx="10">
                  <c:v>-2.2547245025617002</c:v>
                </c:pt>
                <c:pt idx="11">
                  <c:v>-1.9042491912824033</c:v>
                </c:pt>
                <c:pt idx="12">
                  <c:v>-1.5070438385000884</c:v>
                </c:pt>
                <c:pt idx="13">
                  <c:v>-1.0981559753431291</c:v>
                </c:pt>
                <c:pt idx="14">
                  <c:v>-0.70095062255859375</c:v>
                </c:pt>
                <c:pt idx="15">
                  <c:v>-0.32711029052778784</c:v>
                </c:pt>
                <c:pt idx="16">
                  <c:v>0</c:v>
                </c:pt>
                <c:pt idx="17">
                  <c:v>0.29206275939941406</c:v>
                </c:pt>
                <c:pt idx="18">
                  <c:v>0.53739547729581005</c:v>
                </c:pt>
                <c:pt idx="19">
                  <c:v>0.73599815368696753</c:v>
                </c:pt>
                <c:pt idx="20">
                  <c:v>0.91123580932661596</c:v>
                </c:pt>
                <c:pt idx="21">
                  <c:v>1.0631084442147554</c:v>
                </c:pt>
                <c:pt idx="22">
                  <c:v>1.1916160583491653</c:v>
                </c:pt>
                <c:pt idx="23">
                  <c:v>1.2850761413574219</c:v>
                </c:pt>
                <c:pt idx="24">
                  <c:v>1.3668537139888137</c:v>
                </c:pt>
                <c:pt idx="25">
                  <c:v>1.4369487762455613</c:v>
                </c:pt>
                <c:pt idx="26">
                  <c:v>1.4953613281232236</c:v>
                </c:pt>
                <c:pt idx="27">
                  <c:v>1.5537738800031065</c:v>
                </c:pt>
                <c:pt idx="28">
                  <c:v>1.600503921508345</c:v>
                </c:pt>
                <c:pt idx="29">
                  <c:v>1.6355514526367188</c:v>
                </c:pt>
                <c:pt idx="30">
                  <c:v>1.6589164733882278</c:v>
                </c:pt>
                <c:pt idx="31">
                  <c:v>1.6822814941397368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33F-454D-9965-B3EC0196B4B1}"/>
            </c:ext>
          </c:extLst>
        </c:ser>
        <c:ser>
          <c:idx val="3"/>
          <c:order val="3"/>
          <c:tx>
            <c:strRef>
              <c:f>z!$E$88</c:f>
              <c:strCache>
                <c:ptCount val="1"/>
                <c:pt idx="0">
                  <c:v>t=30 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z!$F$88:$AK$88</c:f>
              <c:numCache>
                <c:formatCode>0.00</c:formatCode>
                <c:ptCount val="32"/>
                <c:pt idx="0">
                  <c:v>-2.6869773864746094</c:v>
                </c:pt>
                <c:pt idx="1">
                  <c:v>-2.6986598968492537</c:v>
                </c:pt>
                <c:pt idx="2">
                  <c:v>-2.7103424072261184</c:v>
                </c:pt>
                <c:pt idx="3">
                  <c:v>-2.7103424072261184</c:v>
                </c:pt>
                <c:pt idx="4">
                  <c:v>-2.6986598968514741</c:v>
                </c:pt>
                <c:pt idx="5">
                  <c:v>-2.6636123657231003</c:v>
                </c:pt>
                <c:pt idx="6">
                  <c:v>-2.5935173034663528</c:v>
                </c:pt>
                <c:pt idx="7">
                  <c:v>-2.5117397308371814</c:v>
                </c:pt>
                <c:pt idx="8">
                  <c:v>-2.3715496063259067</c:v>
                </c:pt>
                <c:pt idx="9">
                  <c:v>-2.1963119506840378</c:v>
                </c:pt>
                <c:pt idx="10">
                  <c:v>-1.9626617431622861</c:v>
                </c:pt>
                <c:pt idx="11">
                  <c:v>-1.6939640045166016</c:v>
                </c:pt>
                <c:pt idx="12">
                  <c:v>-1.4019012451171875</c:v>
                </c:pt>
                <c:pt idx="13">
                  <c:v>-1.0747909545893997</c:v>
                </c:pt>
                <c:pt idx="14">
                  <c:v>-0.74768066406161182</c:v>
                </c:pt>
                <c:pt idx="15">
                  <c:v>-0.44393539428533302</c:v>
                </c:pt>
                <c:pt idx="16">
                  <c:v>-0.1635551452627837</c:v>
                </c:pt>
                <c:pt idx="17">
                  <c:v>9.3460083008256589E-2</c:v>
                </c:pt>
                <c:pt idx="18">
                  <c:v>0.32711029052778784</c:v>
                </c:pt>
                <c:pt idx="19">
                  <c:v>0.52571296692116576</c:v>
                </c:pt>
                <c:pt idx="20">
                  <c:v>0.70095062255859375</c:v>
                </c:pt>
                <c:pt idx="21">
                  <c:v>0.85282325744451271</c:v>
                </c:pt>
                <c:pt idx="22">
                  <c:v>0.96964836120427833</c:v>
                </c:pt>
                <c:pt idx="23">
                  <c:v>1.086473464964044</c:v>
                </c:pt>
                <c:pt idx="24">
                  <c:v>1.179933547974521</c:v>
                </c:pt>
                <c:pt idx="25">
                  <c:v>1.2617111206059128</c:v>
                </c:pt>
                <c:pt idx="26">
                  <c:v>1.3318061828604399</c:v>
                </c:pt>
                <c:pt idx="27">
                  <c:v>1.3902187347403228</c:v>
                </c:pt>
                <c:pt idx="28">
                  <c:v>1.4369487762455613</c:v>
                </c:pt>
                <c:pt idx="29">
                  <c:v>1.4836788177485793</c:v>
                </c:pt>
                <c:pt idx="30">
                  <c:v>1.5304088592515974</c:v>
                </c:pt>
                <c:pt idx="31">
                  <c:v>1.5537738800053269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33F-454D-9965-B3EC0196B4B1}"/>
            </c:ext>
          </c:extLst>
        </c:ser>
        <c:ser>
          <c:idx val="4"/>
          <c:order val="4"/>
          <c:tx>
            <c:strRef>
              <c:f>z!$E$89</c:f>
              <c:strCache>
                <c:ptCount val="1"/>
                <c:pt idx="0">
                  <c:v>t=40 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z!$F$89:$AK$89</c:f>
              <c:numCache>
                <c:formatCode>0.00</c:formatCode>
                <c:ptCount val="32"/>
                <c:pt idx="0">
                  <c:v>-2.4182796478267043</c:v>
                </c:pt>
                <c:pt idx="1">
                  <c:v>-2.4182796478267043</c:v>
                </c:pt>
                <c:pt idx="2">
                  <c:v>-2.4182796478244839</c:v>
                </c:pt>
                <c:pt idx="3">
                  <c:v>-2.4065971374520601</c:v>
                </c:pt>
                <c:pt idx="4">
                  <c:v>-2.3715496063214658</c:v>
                </c:pt>
                <c:pt idx="5">
                  <c:v>-2.3365020751953125</c:v>
                </c:pt>
                <c:pt idx="6">
                  <c:v>-2.2664070129385649</c:v>
                </c:pt>
                <c:pt idx="7">
                  <c:v>-2.1729469299325288</c:v>
                </c:pt>
                <c:pt idx="8">
                  <c:v>-2.044439315793678</c:v>
                </c:pt>
                <c:pt idx="9">
                  <c:v>-1.892566680907759</c:v>
                </c:pt>
                <c:pt idx="10">
                  <c:v>-1.7056465148912459</c:v>
                </c:pt>
                <c:pt idx="11">
                  <c:v>-1.4953613281254441</c:v>
                </c:pt>
                <c:pt idx="12">
                  <c:v>-1.2617111206059128</c:v>
                </c:pt>
                <c:pt idx="13">
                  <c:v>-1.0046958923326521</c:v>
                </c:pt>
                <c:pt idx="14">
                  <c:v>-0.73599815368474708</c:v>
                </c:pt>
                <c:pt idx="15">
                  <c:v>-0.49066543579279198</c:v>
                </c:pt>
                <c:pt idx="16">
                  <c:v>-0.24533271789417554</c:v>
                </c:pt>
                <c:pt idx="17">
                  <c:v>-1.1682510376864741E-2</c:v>
                </c:pt>
                <c:pt idx="18">
                  <c:v>0.18692016601651318</c:v>
                </c:pt>
                <c:pt idx="19">
                  <c:v>0.37384033203080591</c:v>
                </c:pt>
                <c:pt idx="20">
                  <c:v>0.53739547729581005</c:v>
                </c:pt>
                <c:pt idx="21">
                  <c:v>0.68926811218172901</c:v>
                </c:pt>
                <c:pt idx="22">
                  <c:v>0.81777572631835938</c:v>
                </c:pt>
                <c:pt idx="23">
                  <c:v>0.92291831969903981</c:v>
                </c:pt>
                <c:pt idx="24">
                  <c:v>1.0163784027095168</c:v>
                </c:pt>
                <c:pt idx="25">
                  <c:v>1.1098384857177734</c:v>
                </c:pt>
                <c:pt idx="26">
                  <c:v>1.1799335479767414</c:v>
                </c:pt>
                <c:pt idx="27">
                  <c:v>1.2383460998544038</c:v>
                </c:pt>
                <c:pt idx="28">
                  <c:v>1.2967586517342866</c:v>
                </c:pt>
                <c:pt idx="29">
                  <c:v>1.3434886932395251</c:v>
                </c:pt>
                <c:pt idx="30">
                  <c:v>1.3902187347425432</c:v>
                </c:pt>
                <c:pt idx="31">
                  <c:v>1.4135837554940522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33F-454D-9965-B3EC0196B4B1}"/>
            </c:ext>
          </c:extLst>
        </c:ser>
        <c:ser>
          <c:idx val="5"/>
          <c:order val="5"/>
          <c:tx>
            <c:strRef>
              <c:f>z!$E$90</c:f>
              <c:strCache>
                <c:ptCount val="1"/>
                <c:pt idx="0">
                  <c:v>t=50 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z!$F$90:$AK$90</c:f>
              <c:numCache>
                <c:formatCode>0.00</c:formatCode>
                <c:ptCount val="32"/>
                <c:pt idx="0">
                  <c:v>-2.1846294403071731</c:v>
                </c:pt>
                <c:pt idx="1">
                  <c:v>-2.1846294403093935</c:v>
                </c:pt>
                <c:pt idx="2">
                  <c:v>-2.1612644195534436</c:v>
                </c:pt>
                <c:pt idx="3">
                  <c:v>-2.137899398804155</c:v>
                </c:pt>
                <c:pt idx="4">
                  <c:v>-2.091169357301137</c:v>
                </c:pt>
                <c:pt idx="5">
                  <c:v>-2.0444393157958984</c:v>
                </c:pt>
                <c:pt idx="6">
                  <c:v>-1.9860267639160156</c:v>
                </c:pt>
                <c:pt idx="7">
                  <c:v>-1.8808841705331147</c:v>
                </c:pt>
                <c:pt idx="8">
                  <c:v>-1.7874240875226377</c:v>
                </c:pt>
                <c:pt idx="9">
                  <c:v>-1.647233963011363</c:v>
                </c:pt>
                <c:pt idx="10">
                  <c:v>-1.4953613281254441</c:v>
                </c:pt>
                <c:pt idx="11">
                  <c:v>-1.3084411621089309</c:v>
                </c:pt>
                <c:pt idx="12">
                  <c:v>-1.1215209960924177</c:v>
                </c:pt>
                <c:pt idx="13">
                  <c:v>-0.91123580932661596</c:v>
                </c:pt>
                <c:pt idx="14">
                  <c:v>-0.68926811218172901</c:v>
                </c:pt>
                <c:pt idx="15">
                  <c:v>-0.47898292541370679</c:v>
                </c:pt>
                <c:pt idx="16">
                  <c:v>-0.26869773864790503</c:v>
                </c:pt>
                <c:pt idx="17">
                  <c:v>-8.1777572631391848E-2</c:v>
                </c:pt>
                <c:pt idx="18">
                  <c:v>9.3460083006036143E-2</c:v>
                </c:pt>
                <c:pt idx="19">
                  <c:v>0.26869773864568458</c:v>
                </c:pt>
                <c:pt idx="20">
                  <c:v>0.42057037353604443</c:v>
                </c:pt>
                <c:pt idx="21">
                  <c:v>0.54907798767045435</c:v>
                </c:pt>
                <c:pt idx="22">
                  <c:v>0.67758560180708471</c:v>
                </c:pt>
                <c:pt idx="23">
                  <c:v>0.79441070556685034</c:v>
                </c:pt>
                <c:pt idx="24">
                  <c:v>0.87618827819824219</c:v>
                </c:pt>
                <c:pt idx="25">
                  <c:v>0.96964836120649878</c:v>
                </c:pt>
                <c:pt idx="26">
                  <c:v>1.0397434234632463</c:v>
                </c:pt>
                <c:pt idx="27">
                  <c:v>1.1098384857177734</c:v>
                </c:pt>
                <c:pt idx="28">
                  <c:v>1.1682510375976563</c:v>
                </c:pt>
                <c:pt idx="29">
                  <c:v>1.2149810791028948</c:v>
                </c:pt>
                <c:pt idx="30">
                  <c:v>1.2617111206059128</c:v>
                </c:pt>
                <c:pt idx="31">
                  <c:v>1.3084411621089309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33F-454D-9965-B3EC0196B4B1}"/>
            </c:ext>
          </c:extLst>
        </c:ser>
        <c:ser>
          <c:idx val="6"/>
          <c:order val="6"/>
          <c:tx>
            <c:strRef>
              <c:f>z!$E$91</c:f>
              <c:strCache>
                <c:ptCount val="1"/>
                <c:pt idx="0">
                  <c:v>t=60 C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z!$F$91:$AK$91</c:f>
              <c:numCache>
                <c:formatCode>0.00</c:formatCode>
                <c:ptCount val="32"/>
                <c:pt idx="0">
                  <c:v>-1.9860267639160156</c:v>
                </c:pt>
                <c:pt idx="1">
                  <c:v>-1.9626617431645066</c:v>
                </c:pt>
                <c:pt idx="2">
                  <c:v>-1.9392967224129976</c:v>
                </c:pt>
                <c:pt idx="3">
                  <c:v>-1.9042491912846238</c:v>
                </c:pt>
                <c:pt idx="4">
                  <c:v>-1.86920166015625</c:v>
                </c:pt>
                <c:pt idx="5">
                  <c:v>-1.8107891082763672</c:v>
                </c:pt>
                <c:pt idx="6">
                  <c:v>-1.7406940460173992</c:v>
                </c:pt>
                <c:pt idx="7">
                  <c:v>-1.6589164733860073</c:v>
                </c:pt>
                <c:pt idx="8">
                  <c:v>-1.5654563903821916</c:v>
                </c:pt>
                <c:pt idx="9">
                  <c:v>-1.4369487762455613</c:v>
                </c:pt>
                <c:pt idx="10">
                  <c:v>-1.3084411621089309</c:v>
                </c:pt>
                <c:pt idx="11">
                  <c:v>-1.1448860168461472</c:v>
                </c:pt>
                <c:pt idx="12">
                  <c:v>-0.98133087158336352</c:v>
                </c:pt>
                <c:pt idx="13">
                  <c:v>-0.80609321594149463</c:v>
                </c:pt>
                <c:pt idx="14">
                  <c:v>-0.64253807067871094</c:v>
                </c:pt>
                <c:pt idx="15">
                  <c:v>-0.45561790466441821</c:v>
                </c:pt>
                <c:pt idx="16">
                  <c:v>-0.28038024902476977</c:v>
                </c:pt>
                <c:pt idx="17">
                  <c:v>-0.11682510375754518</c:v>
                </c:pt>
                <c:pt idx="18">
                  <c:v>5.8412551879882813E-2</c:v>
                </c:pt>
                <c:pt idx="19">
                  <c:v>0.19860267639115747</c:v>
                </c:pt>
                <c:pt idx="20">
                  <c:v>0.33879280090465258</c:v>
                </c:pt>
                <c:pt idx="21">
                  <c:v>0.46730041504128295</c:v>
                </c:pt>
                <c:pt idx="22">
                  <c:v>0.58412551879882813</c:v>
                </c:pt>
                <c:pt idx="23">
                  <c:v>0.68926811218172901</c:v>
                </c:pt>
                <c:pt idx="24">
                  <c:v>0.7710456848153413</c:v>
                </c:pt>
                <c:pt idx="25">
                  <c:v>0.86450576782137745</c:v>
                </c:pt>
                <c:pt idx="26">
                  <c:v>0.92291831970348071</c:v>
                </c:pt>
                <c:pt idx="27">
                  <c:v>0.99301338196022826</c:v>
                </c:pt>
                <c:pt idx="28">
                  <c:v>1.0514259338378906</c:v>
                </c:pt>
                <c:pt idx="29">
                  <c:v>1.1098384857177734</c:v>
                </c:pt>
                <c:pt idx="30">
                  <c:v>1.156568527223012</c:v>
                </c:pt>
                <c:pt idx="31">
                  <c:v>1.20329856872603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33F-454D-9965-B3EC0196B4B1}"/>
            </c:ext>
          </c:extLst>
        </c:ser>
        <c:ser>
          <c:idx val="7"/>
          <c:order val="7"/>
          <c:tx>
            <c:strRef>
              <c:f>z!$E$92</c:f>
              <c:strCache>
                <c:ptCount val="1"/>
                <c:pt idx="0">
                  <c:v>t=70 C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z!$F$92:$AK$92</c:f>
              <c:numCache>
                <c:formatCode>0.00</c:formatCode>
                <c:ptCount val="32"/>
                <c:pt idx="0">
                  <c:v>-1.7991065979017229</c:v>
                </c:pt>
                <c:pt idx="1">
                  <c:v>-1.7757415771502139</c:v>
                </c:pt>
                <c:pt idx="2">
                  <c:v>-1.7406940460196196</c:v>
                </c:pt>
                <c:pt idx="3">
                  <c:v>-1.717329025270331</c:v>
                </c:pt>
                <c:pt idx="4">
                  <c:v>-1.6705989837628721</c:v>
                </c:pt>
                <c:pt idx="5">
                  <c:v>-1.6121864318852097</c:v>
                </c:pt>
                <c:pt idx="6">
                  <c:v>-1.5420913696284622</c:v>
                </c:pt>
                <c:pt idx="7">
                  <c:v>-1.4486312866202056</c:v>
                </c:pt>
                <c:pt idx="8">
                  <c:v>-1.3551712036141694</c:v>
                </c:pt>
                <c:pt idx="9">
                  <c:v>-1.2617111206059128</c:v>
                </c:pt>
                <c:pt idx="10">
                  <c:v>-1.1448860168439268</c:v>
                </c:pt>
                <c:pt idx="11">
                  <c:v>-1.0046958923348726</c:v>
                </c:pt>
                <c:pt idx="12">
                  <c:v>-0.86450576782137745</c:v>
                </c:pt>
                <c:pt idx="13">
                  <c:v>-0.71263313293545849</c:v>
                </c:pt>
                <c:pt idx="14">
                  <c:v>-0.56076049804731909</c:v>
                </c:pt>
                <c:pt idx="15">
                  <c:v>-0.42057037353382398</c:v>
                </c:pt>
                <c:pt idx="16">
                  <c:v>-0.25701522827104029</c:v>
                </c:pt>
                <c:pt idx="17">
                  <c:v>-0.11682510375976563</c:v>
                </c:pt>
                <c:pt idx="18">
                  <c:v>2.3365020751509036E-2</c:v>
                </c:pt>
                <c:pt idx="19">
                  <c:v>0.16355514526500414</c:v>
                </c:pt>
                <c:pt idx="20">
                  <c:v>0.28038024902254932</c:v>
                </c:pt>
                <c:pt idx="21">
                  <c:v>0.39720535278231495</c:v>
                </c:pt>
                <c:pt idx="22">
                  <c:v>0.50234794616743628</c:v>
                </c:pt>
                <c:pt idx="23">
                  <c:v>0.60749053955033716</c:v>
                </c:pt>
                <c:pt idx="24">
                  <c:v>0.68926811218172901</c:v>
                </c:pt>
                <c:pt idx="25">
                  <c:v>0.75936317443847656</c:v>
                </c:pt>
                <c:pt idx="26">
                  <c:v>0.82945823669300367</c:v>
                </c:pt>
                <c:pt idx="27">
                  <c:v>0.91123580932661596</c:v>
                </c:pt>
                <c:pt idx="28">
                  <c:v>0.96964836120649878</c:v>
                </c:pt>
                <c:pt idx="29">
                  <c:v>1.0163784027095168</c:v>
                </c:pt>
                <c:pt idx="30">
                  <c:v>1.0631084442147554</c:v>
                </c:pt>
                <c:pt idx="31">
                  <c:v>1.1098384857177734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33F-454D-9965-B3EC0196B4B1}"/>
            </c:ext>
          </c:extLst>
        </c:ser>
        <c:ser>
          <c:idx val="8"/>
          <c:order val="8"/>
          <c:tx>
            <c:strRef>
              <c:f>z!$E$93</c:f>
              <c:strCache>
                <c:ptCount val="1"/>
                <c:pt idx="0">
                  <c:v>t=80 C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z!$F$93:$AK$93</c:f>
              <c:numCache>
                <c:formatCode>0.00</c:formatCode>
                <c:ptCount val="32"/>
                <c:pt idx="0">
                  <c:v>-1.6355514526344983</c:v>
                </c:pt>
                <c:pt idx="1">
                  <c:v>-1.6121864318829893</c:v>
                </c:pt>
                <c:pt idx="2">
                  <c:v>-1.5771389007568359</c:v>
                </c:pt>
                <c:pt idx="3">
                  <c:v>-1.5304088592538179</c:v>
                </c:pt>
                <c:pt idx="4">
                  <c:v>-1.4836788177485793</c:v>
                </c:pt>
                <c:pt idx="5">
                  <c:v>-1.4369487762455613</c:v>
                </c:pt>
                <c:pt idx="6">
                  <c:v>-1.3551712036141694</c:v>
                </c:pt>
                <c:pt idx="7">
                  <c:v>-1.2850761413574219</c:v>
                </c:pt>
                <c:pt idx="8">
                  <c:v>-1.2032985687282505</c:v>
                </c:pt>
                <c:pt idx="9">
                  <c:v>-1.1098384857177734</c:v>
                </c:pt>
                <c:pt idx="10">
                  <c:v>-1.0046958923326521</c:v>
                </c:pt>
                <c:pt idx="11">
                  <c:v>-0.88787078857288648</c:v>
                </c:pt>
                <c:pt idx="12">
                  <c:v>-0.75936317443625612</c:v>
                </c:pt>
                <c:pt idx="13">
                  <c:v>-0.6308555603018462</c:v>
                </c:pt>
                <c:pt idx="14">
                  <c:v>-0.50234794616743628</c:v>
                </c:pt>
                <c:pt idx="15">
                  <c:v>-0.37384033203080591</c:v>
                </c:pt>
                <c:pt idx="16">
                  <c:v>-0.23365020751953125</c:v>
                </c:pt>
                <c:pt idx="17">
                  <c:v>-0.10514259338512133</c:v>
                </c:pt>
                <c:pt idx="18">
                  <c:v>2.3365020751509036E-2</c:v>
                </c:pt>
                <c:pt idx="19">
                  <c:v>0.14019012451127466</c:v>
                </c:pt>
                <c:pt idx="20">
                  <c:v>0.24533271789639599</c:v>
                </c:pt>
                <c:pt idx="21">
                  <c:v>0.36215782165616162</c:v>
                </c:pt>
                <c:pt idx="22">
                  <c:v>0.44393539428533302</c:v>
                </c:pt>
                <c:pt idx="23">
                  <c:v>0.53739547729581005</c:v>
                </c:pt>
                <c:pt idx="24">
                  <c:v>0.61917304992498146</c:v>
                </c:pt>
                <c:pt idx="25">
                  <c:v>0.68926811217950856</c:v>
                </c:pt>
                <c:pt idx="26">
                  <c:v>0.75936317443847656</c:v>
                </c:pt>
                <c:pt idx="27">
                  <c:v>0.82945823669522412</c:v>
                </c:pt>
                <c:pt idx="28">
                  <c:v>0.88787078857510693</c:v>
                </c:pt>
                <c:pt idx="29">
                  <c:v>0.934600830078125</c:v>
                </c:pt>
                <c:pt idx="30">
                  <c:v>0.98133087158114307</c:v>
                </c:pt>
                <c:pt idx="31">
                  <c:v>1.0280609130863816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33F-454D-9965-B3EC0196B4B1}"/>
            </c:ext>
          </c:extLst>
        </c:ser>
        <c:ser>
          <c:idx val="9"/>
          <c:order val="9"/>
          <c:tx>
            <c:strRef>
              <c:f>z!$E$94</c:f>
              <c:strCache>
                <c:ptCount val="1"/>
                <c:pt idx="0">
                  <c:v>t=90 C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z!$F$94:$AK$94</c:f>
              <c:numCache>
                <c:formatCode>0.00</c:formatCode>
                <c:ptCount val="32"/>
                <c:pt idx="0">
                  <c:v>-1.4953613281254441</c:v>
                </c:pt>
                <c:pt idx="1">
                  <c:v>-1.4603137969970703</c:v>
                </c:pt>
                <c:pt idx="2">
                  <c:v>-1.4252662658686965</c:v>
                </c:pt>
                <c:pt idx="3">
                  <c:v>-1.3785362243656785</c:v>
                </c:pt>
                <c:pt idx="4">
                  <c:v>-1.3318061828626604</c:v>
                </c:pt>
                <c:pt idx="5">
                  <c:v>-1.273393630984998</c:v>
                </c:pt>
                <c:pt idx="6">
                  <c:v>-1.2149810791028948</c:v>
                </c:pt>
                <c:pt idx="7">
                  <c:v>-1.1332035064692825</c:v>
                </c:pt>
                <c:pt idx="8">
                  <c:v>-1.0514259338401111</c:v>
                </c:pt>
                <c:pt idx="9">
                  <c:v>-0.96964836120649878</c:v>
                </c:pt>
                <c:pt idx="10">
                  <c:v>-0.87618827819824219</c:v>
                </c:pt>
                <c:pt idx="11">
                  <c:v>-0.7710456848153413</c:v>
                </c:pt>
                <c:pt idx="12">
                  <c:v>-0.65422058105335523</c:v>
                </c:pt>
                <c:pt idx="13">
                  <c:v>-0.54907798767045435</c:v>
                </c:pt>
                <c:pt idx="14">
                  <c:v>-0.43225288391068872</c:v>
                </c:pt>
                <c:pt idx="15">
                  <c:v>-0.31542778015314354</c:v>
                </c:pt>
                <c:pt idx="16">
                  <c:v>-0.19860267639115747</c:v>
                </c:pt>
                <c:pt idx="17">
                  <c:v>-8.1777572631391848E-2</c:v>
                </c:pt>
                <c:pt idx="18">
                  <c:v>2.3365020753729482E-2</c:v>
                </c:pt>
                <c:pt idx="19">
                  <c:v>0.12850761413663037</c:v>
                </c:pt>
                <c:pt idx="20">
                  <c:v>0.23365020751953125</c:v>
                </c:pt>
                <c:pt idx="21">
                  <c:v>0.32711029052778784</c:v>
                </c:pt>
                <c:pt idx="22">
                  <c:v>0.40888786315917969</c:v>
                </c:pt>
                <c:pt idx="23">
                  <c:v>0.49066543579279198</c:v>
                </c:pt>
                <c:pt idx="24">
                  <c:v>0.57244300842418383</c:v>
                </c:pt>
                <c:pt idx="25">
                  <c:v>0.6308555603018462</c:v>
                </c:pt>
                <c:pt idx="26">
                  <c:v>0.70095062255859375</c:v>
                </c:pt>
                <c:pt idx="27">
                  <c:v>0.75936317444069701</c:v>
                </c:pt>
                <c:pt idx="28">
                  <c:v>0.81777572631613893</c:v>
                </c:pt>
                <c:pt idx="29">
                  <c:v>0.86450576782359789</c:v>
                </c:pt>
                <c:pt idx="30">
                  <c:v>0.91123580932439552</c:v>
                </c:pt>
                <c:pt idx="31">
                  <c:v>0.95796585082963404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33F-454D-9965-B3EC0196B4B1}"/>
            </c:ext>
          </c:extLst>
        </c:ser>
        <c:ser>
          <c:idx val="10"/>
          <c:order val="10"/>
          <c:tx>
            <c:strRef>
              <c:f>z!$E$95</c:f>
              <c:strCache>
                <c:ptCount val="1"/>
                <c:pt idx="0">
                  <c:v>t=100 C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z!$F$95:$AK$95</c:f>
              <c:numCache>
                <c:formatCode>0.00</c:formatCode>
                <c:ptCount val="32"/>
                <c:pt idx="0">
                  <c:v>-1.3551712036141694</c:v>
                </c:pt>
                <c:pt idx="1">
                  <c:v>-1.3318061828626604</c:v>
                </c:pt>
                <c:pt idx="2">
                  <c:v>-1.2850761413574219</c:v>
                </c:pt>
                <c:pt idx="3">
                  <c:v>-1.2500286102290481</c:v>
                </c:pt>
                <c:pt idx="4">
                  <c:v>-1.20329856872603</c:v>
                </c:pt>
                <c:pt idx="5">
                  <c:v>-1.1332035064692825</c:v>
                </c:pt>
                <c:pt idx="6">
                  <c:v>-1.0747909545916201</c:v>
                </c:pt>
                <c:pt idx="7">
                  <c:v>-1.0046958923326521</c:v>
                </c:pt>
                <c:pt idx="8">
                  <c:v>-0.934600830078125</c:v>
                </c:pt>
                <c:pt idx="9">
                  <c:v>-0.84114074706986841</c:v>
                </c:pt>
                <c:pt idx="10">
                  <c:v>-0.75936317444069701</c:v>
                </c:pt>
                <c:pt idx="11">
                  <c:v>-0.66590309143244042</c:v>
                </c:pt>
                <c:pt idx="12">
                  <c:v>-0.57244300842418383</c:v>
                </c:pt>
                <c:pt idx="13">
                  <c:v>-0.4673004150390625</c:v>
                </c:pt>
                <c:pt idx="14">
                  <c:v>-0.37384033203080591</c:v>
                </c:pt>
                <c:pt idx="15">
                  <c:v>-0.26869773864568458</c:v>
                </c:pt>
                <c:pt idx="16">
                  <c:v>-0.16355514526500414</c:v>
                </c:pt>
                <c:pt idx="17">
                  <c:v>-5.8412551879882813E-2</c:v>
                </c:pt>
                <c:pt idx="18">
                  <c:v>2.3365020751509036E-2</c:v>
                </c:pt>
                <c:pt idx="19">
                  <c:v>0.11682510375976563</c:v>
                </c:pt>
                <c:pt idx="20">
                  <c:v>0.22196769714488696</c:v>
                </c:pt>
                <c:pt idx="21">
                  <c:v>0.3037452697762788</c:v>
                </c:pt>
                <c:pt idx="22">
                  <c:v>0.38552284240767065</c:v>
                </c:pt>
                <c:pt idx="23">
                  <c:v>0.46730041503684205</c:v>
                </c:pt>
                <c:pt idx="24">
                  <c:v>0.52571296691894531</c:v>
                </c:pt>
                <c:pt idx="25">
                  <c:v>0.59580802917347242</c:v>
                </c:pt>
                <c:pt idx="26">
                  <c:v>0.65422058105557568</c:v>
                </c:pt>
                <c:pt idx="27">
                  <c:v>0.71263313293323804</c:v>
                </c:pt>
                <c:pt idx="28">
                  <c:v>0.7710456848153413</c:v>
                </c:pt>
                <c:pt idx="29">
                  <c:v>0.81777572631835938</c:v>
                </c:pt>
                <c:pt idx="30">
                  <c:v>0.85282325744673315</c:v>
                </c:pt>
                <c:pt idx="31">
                  <c:v>0.89955329894975122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33F-454D-9965-B3EC0196B4B1}"/>
            </c:ext>
          </c:extLst>
        </c:ser>
        <c:ser>
          <c:idx val="11"/>
          <c:order val="11"/>
          <c:tx>
            <c:strRef>
              <c:f>z!$E$96</c:f>
              <c:strCache>
                <c:ptCount val="1"/>
                <c:pt idx="0">
                  <c:v>t=110 C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z!$F$96:$AK$96</c:f>
              <c:numCache>
                <c:formatCode>0.00</c:formatCode>
                <c:ptCount val="32"/>
                <c:pt idx="0">
                  <c:v>-1.2383460998544038</c:v>
                </c:pt>
                <c:pt idx="1">
                  <c:v>-1.2149810791028948</c:v>
                </c:pt>
                <c:pt idx="2">
                  <c:v>-1.1799335479723005</c:v>
                </c:pt>
                <c:pt idx="3">
                  <c:v>-1.1215209960946382</c:v>
                </c:pt>
                <c:pt idx="4">
                  <c:v>-1.0747909545871792</c:v>
                </c:pt>
                <c:pt idx="5">
                  <c:v>-1.0280609130863816</c:v>
                </c:pt>
                <c:pt idx="6">
                  <c:v>-0.95796585082963404</c:v>
                </c:pt>
                <c:pt idx="7">
                  <c:v>-0.88787078857510693</c:v>
                </c:pt>
                <c:pt idx="8">
                  <c:v>-0.82945823669300367</c:v>
                </c:pt>
                <c:pt idx="9">
                  <c:v>-0.74768066406161182</c:v>
                </c:pt>
                <c:pt idx="10">
                  <c:v>-0.66590309143021997</c:v>
                </c:pt>
                <c:pt idx="11">
                  <c:v>-0.57244300842196338</c:v>
                </c:pt>
                <c:pt idx="12">
                  <c:v>-0.49066543579057154</c:v>
                </c:pt>
                <c:pt idx="13">
                  <c:v>-0.39720535278453539</c:v>
                </c:pt>
                <c:pt idx="14">
                  <c:v>-0.3037452697762788</c:v>
                </c:pt>
                <c:pt idx="15">
                  <c:v>-0.22196769714488696</c:v>
                </c:pt>
                <c:pt idx="16">
                  <c:v>-0.12850761413440992</c:v>
                </c:pt>
                <c:pt idx="17">
                  <c:v>-3.5047531126153331E-2</c:v>
                </c:pt>
                <c:pt idx="18">
                  <c:v>4.6730041503018072E-2</c:v>
                </c:pt>
                <c:pt idx="19">
                  <c:v>0.12850761413663037</c:v>
                </c:pt>
                <c:pt idx="20">
                  <c:v>0.22196769714266651</c:v>
                </c:pt>
                <c:pt idx="21">
                  <c:v>0.29206275940163451</c:v>
                </c:pt>
                <c:pt idx="22">
                  <c:v>0.36215782165394117</c:v>
                </c:pt>
                <c:pt idx="23">
                  <c:v>0.43225288391068872</c:v>
                </c:pt>
                <c:pt idx="24">
                  <c:v>0.50234794616521583</c:v>
                </c:pt>
                <c:pt idx="25">
                  <c:v>0.56076049804509864</c:v>
                </c:pt>
                <c:pt idx="26">
                  <c:v>0.61917304992942235</c:v>
                </c:pt>
                <c:pt idx="27">
                  <c:v>0.66590309143021997</c:v>
                </c:pt>
                <c:pt idx="28">
                  <c:v>0.71263313293323804</c:v>
                </c:pt>
                <c:pt idx="29">
                  <c:v>0.75936317443847656</c:v>
                </c:pt>
                <c:pt idx="30">
                  <c:v>0.80609321594149463</c:v>
                </c:pt>
                <c:pt idx="31">
                  <c:v>0.84114074706764796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33F-454D-9965-B3EC0196B4B1}"/>
            </c:ext>
          </c:extLst>
        </c:ser>
        <c:ser>
          <c:idx val="12"/>
          <c:order val="12"/>
          <c:tx>
            <c:strRef>
              <c:f>z!$E$97</c:f>
              <c:strCache>
                <c:ptCount val="1"/>
                <c:pt idx="0">
                  <c:v>t=120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z!$F$97:$AK$97</c:f>
              <c:numCache>
                <c:formatCode>0.00</c:formatCode>
                <c:ptCount val="32"/>
                <c:pt idx="0">
                  <c:v>-1.1448860168439268</c:v>
                </c:pt>
                <c:pt idx="1">
                  <c:v>-1.0981559753409087</c:v>
                </c:pt>
                <c:pt idx="2">
                  <c:v>-1.0631084442125349</c:v>
                </c:pt>
                <c:pt idx="3">
                  <c:v>-1.0163784027072964</c:v>
                </c:pt>
                <c:pt idx="4">
                  <c:v>-0.96964836120649878</c:v>
                </c:pt>
                <c:pt idx="5">
                  <c:v>-0.91123580932439552</c:v>
                </c:pt>
                <c:pt idx="6">
                  <c:v>-0.86450576782137745</c:v>
                </c:pt>
                <c:pt idx="7">
                  <c:v>-0.79441070556685034</c:v>
                </c:pt>
                <c:pt idx="8">
                  <c:v>-0.72431564331010279</c:v>
                </c:pt>
                <c:pt idx="9">
                  <c:v>-0.65422058105557568</c:v>
                </c:pt>
                <c:pt idx="10">
                  <c:v>-0.58412551879882813</c:v>
                </c:pt>
                <c:pt idx="11">
                  <c:v>-0.51403045654430102</c:v>
                </c:pt>
                <c:pt idx="12">
                  <c:v>-0.42057037353604443</c:v>
                </c:pt>
                <c:pt idx="13">
                  <c:v>-0.33879280090465258</c:v>
                </c:pt>
                <c:pt idx="14">
                  <c:v>-0.25701522827104029</c:v>
                </c:pt>
                <c:pt idx="15">
                  <c:v>-0.17523765563964844</c:v>
                </c:pt>
                <c:pt idx="16">
                  <c:v>-0.10514259338512133</c:v>
                </c:pt>
                <c:pt idx="17">
                  <c:v>-2.3365020751509036E-2</c:v>
                </c:pt>
                <c:pt idx="18">
                  <c:v>7.0095062256747553E-2</c:v>
                </c:pt>
                <c:pt idx="19">
                  <c:v>0.14019012451127466</c:v>
                </c:pt>
                <c:pt idx="20">
                  <c:v>0.21028518676802221</c:v>
                </c:pt>
                <c:pt idx="21">
                  <c:v>0.28038024902254932</c:v>
                </c:pt>
                <c:pt idx="22">
                  <c:v>0.35047531127929688</c:v>
                </c:pt>
                <c:pt idx="23">
                  <c:v>0.40888786315917969</c:v>
                </c:pt>
                <c:pt idx="24">
                  <c:v>0.47898292541370679</c:v>
                </c:pt>
                <c:pt idx="25">
                  <c:v>0.52571296691894531</c:v>
                </c:pt>
                <c:pt idx="26">
                  <c:v>0.58412551879882813</c:v>
                </c:pt>
                <c:pt idx="27">
                  <c:v>0.63085556030406664</c:v>
                </c:pt>
                <c:pt idx="28">
                  <c:v>0.67758560180486427</c:v>
                </c:pt>
                <c:pt idx="29">
                  <c:v>0.72431564331010279</c:v>
                </c:pt>
                <c:pt idx="30">
                  <c:v>0.75936317444069701</c:v>
                </c:pt>
                <c:pt idx="31">
                  <c:v>0.80609321594371508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33F-454D-9965-B3EC0196B4B1}"/>
            </c:ext>
          </c:extLst>
        </c:ser>
        <c:ser>
          <c:idx val="13"/>
          <c:order val="13"/>
          <c:tx>
            <c:strRef>
              <c:f>z!$E$98</c:f>
              <c:strCache>
                <c:ptCount val="1"/>
                <c:pt idx="0">
                  <c:v>t=130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z!$F$98:$AK$98</c:f>
              <c:numCache>
                <c:formatCode>0.00</c:formatCode>
                <c:ptCount val="32"/>
                <c:pt idx="0">
                  <c:v>-1.0397434234632463</c:v>
                </c:pt>
                <c:pt idx="1">
                  <c:v>-1.0163784027095168</c:v>
                </c:pt>
                <c:pt idx="2">
                  <c:v>-0.96964836120871922</c:v>
                </c:pt>
                <c:pt idx="3">
                  <c:v>-0.92291831970348071</c:v>
                </c:pt>
                <c:pt idx="4">
                  <c:v>-0.87618827819824219</c:v>
                </c:pt>
                <c:pt idx="5">
                  <c:v>-0.81777572631613893</c:v>
                </c:pt>
                <c:pt idx="6">
                  <c:v>-0.7710456848153413</c:v>
                </c:pt>
                <c:pt idx="7">
                  <c:v>-0.71263313293545849</c:v>
                </c:pt>
                <c:pt idx="8">
                  <c:v>-0.64253807068093138</c:v>
                </c:pt>
                <c:pt idx="9">
                  <c:v>-0.57244300842196338</c:v>
                </c:pt>
                <c:pt idx="10">
                  <c:v>-0.51403045654208057</c:v>
                </c:pt>
                <c:pt idx="11">
                  <c:v>-0.43225288391068872</c:v>
                </c:pt>
                <c:pt idx="12">
                  <c:v>-0.36215782165616162</c:v>
                </c:pt>
                <c:pt idx="13">
                  <c:v>-0.29206275939941406</c:v>
                </c:pt>
                <c:pt idx="14">
                  <c:v>-0.22196769714488696</c:v>
                </c:pt>
                <c:pt idx="15">
                  <c:v>-0.14019012451349511</c:v>
                </c:pt>
                <c:pt idx="16">
                  <c:v>-5.8412551879882813E-2</c:v>
                </c:pt>
                <c:pt idx="17">
                  <c:v>1.1682510374644295E-2</c:v>
                </c:pt>
                <c:pt idx="18">
                  <c:v>8.1777572633612294E-2</c:v>
                </c:pt>
                <c:pt idx="19">
                  <c:v>0.1518726348881394</c:v>
                </c:pt>
                <c:pt idx="20">
                  <c:v>0.22196769714488696</c:v>
                </c:pt>
                <c:pt idx="21">
                  <c:v>0.29206275939941406</c:v>
                </c:pt>
                <c:pt idx="22">
                  <c:v>0.35047531127929688</c:v>
                </c:pt>
                <c:pt idx="23">
                  <c:v>0.40888786316140013</c:v>
                </c:pt>
                <c:pt idx="24">
                  <c:v>0.4673004150390625</c:v>
                </c:pt>
                <c:pt idx="25">
                  <c:v>0.50234794616743628</c:v>
                </c:pt>
                <c:pt idx="26">
                  <c:v>0.57244300842196338</c:v>
                </c:pt>
                <c:pt idx="27">
                  <c:v>0.60749053955033716</c:v>
                </c:pt>
                <c:pt idx="28">
                  <c:v>0.65422058105335523</c:v>
                </c:pt>
                <c:pt idx="29">
                  <c:v>0.68926811218394946</c:v>
                </c:pt>
                <c:pt idx="30">
                  <c:v>0.73599815368696753</c:v>
                </c:pt>
                <c:pt idx="31">
                  <c:v>0.75936317443847656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33F-454D-9965-B3EC0196B4B1}"/>
            </c:ext>
          </c:extLst>
        </c:ser>
        <c:ser>
          <c:idx val="14"/>
          <c:order val="14"/>
          <c:tx>
            <c:strRef>
              <c:f>z!$E$99</c:f>
              <c:strCache>
                <c:ptCount val="1"/>
                <c:pt idx="0">
                  <c:v>t=140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z!$F$99:$AK$99</c:f>
              <c:numCache>
                <c:formatCode>0.00</c:formatCode>
                <c:ptCount val="32"/>
                <c:pt idx="0">
                  <c:v>-0.95796585082963404</c:v>
                </c:pt>
                <c:pt idx="1">
                  <c:v>-0.92291831970126026</c:v>
                </c:pt>
                <c:pt idx="2">
                  <c:v>-0.87618827819602174</c:v>
                </c:pt>
                <c:pt idx="3">
                  <c:v>-0.82945823669300367</c:v>
                </c:pt>
                <c:pt idx="4">
                  <c:v>-0.79441070556685034</c:v>
                </c:pt>
                <c:pt idx="5">
                  <c:v>-0.73599815368696753</c:v>
                </c:pt>
                <c:pt idx="6">
                  <c:v>-0.67758560180930516</c:v>
                </c:pt>
                <c:pt idx="7">
                  <c:v>-0.6308555603018462</c:v>
                </c:pt>
                <c:pt idx="8">
                  <c:v>-0.56076049804731909</c:v>
                </c:pt>
                <c:pt idx="9">
                  <c:v>-0.50234794616521583</c:v>
                </c:pt>
                <c:pt idx="10">
                  <c:v>-0.43225288390846828</c:v>
                </c:pt>
                <c:pt idx="11">
                  <c:v>-0.37384033203080591</c:v>
                </c:pt>
                <c:pt idx="12">
                  <c:v>-0.30374526977849925</c:v>
                </c:pt>
                <c:pt idx="13">
                  <c:v>-0.24533271789639599</c:v>
                </c:pt>
                <c:pt idx="14">
                  <c:v>-0.16355514526500414</c:v>
                </c:pt>
                <c:pt idx="15">
                  <c:v>-0.10514259338512133</c:v>
                </c:pt>
                <c:pt idx="16">
                  <c:v>-3.5047531128373777E-2</c:v>
                </c:pt>
                <c:pt idx="17">
                  <c:v>3.5047531128373777E-2</c:v>
                </c:pt>
                <c:pt idx="18">
                  <c:v>0.10514259338512133</c:v>
                </c:pt>
                <c:pt idx="19">
                  <c:v>0.1635551452627837</c:v>
                </c:pt>
                <c:pt idx="20">
                  <c:v>0.22196769714488696</c:v>
                </c:pt>
                <c:pt idx="21">
                  <c:v>0.29206275939719362</c:v>
                </c:pt>
                <c:pt idx="22">
                  <c:v>0.35047531127929688</c:v>
                </c:pt>
                <c:pt idx="23">
                  <c:v>0.39720535278231495</c:v>
                </c:pt>
                <c:pt idx="24">
                  <c:v>0.44393539428533302</c:v>
                </c:pt>
                <c:pt idx="25">
                  <c:v>0.49066543579057154</c:v>
                </c:pt>
                <c:pt idx="26">
                  <c:v>0.54907798767267479</c:v>
                </c:pt>
                <c:pt idx="27">
                  <c:v>0.58412551879882813</c:v>
                </c:pt>
                <c:pt idx="28">
                  <c:v>0.6191730499272019</c:v>
                </c:pt>
                <c:pt idx="29">
                  <c:v>0.66590309143021997</c:v>
                </c:pt>
                <c:pt idx="30">
                  <c:v>0.70095062255859375</c:v>
                </c:pt>
                <c:pt idx="31">
                  <c:v>0.73599815368918797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033F-454D-9965-B3EC0196B4B1}"/>
            </c:ext>
          </c:extLst>
        </c:ser>
        <c:ser>
          <c:idx val="15"/>
          <c:order val="15"/>
          <c:tx>
            <c:strRef>
              <c:f>z!$E$100</c:f>
              <c:strCache>
                <c:ptCount val="1"/>
                <c:pt idx="0">
                  <c:v>t=150 C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z!$F$100:$AK$100</c:f>
              <c:numCache>
                <c:formatCode>0.00</c:formatCode>
                <c:ptCount val="32"/>
                <c:pt idx="0">
                  <c:v>-0.87618827819824219</c:v>
                </c:pt>
                <c:pt idx="1">
                  <c:v>-0.84114074706986841</c:v>
                </c:pt>
                <c:pt idx="2">
                  <c:v>-0.80609321594149463</c:v>
                </c:pt>
                <c:pt idx="3">
                  <c:v>-0.75936317444069701</c:v>
                </c:pt>
                <c:pt idx="4">
                  <c:v>-0.71263313293323804</c:v>
                </c:pt>
                <c:pt idx="5">
                  <c:v>-0.65422058105335523</c:v>
                </c:pt>
                <c:pt idx="6">
                  <c:v>-0.60749053955255761</c:v>
                </c:pt>
                <c:pt idx="7">
                  <c:v>-0.56076049804731909</c:v>
                </c:pt>
                <c:pt idx="8">
                  <c:v>-0.50234794616743628</c:v>
                </c:pt>
                <c:pt idx="9">
                  <c:v>-0.44393539428533302</c:v>
                </c:pt>
                <c:pt idx="10">
                  <c:v>-0.37384033203080591</c:v>
                </c:pt>
                <c:pt idx="11">
                  <c:v>-0.32711029052556739</c:v>
                </c:pt>
                <c:pt idx="12">
                  <c:v>-0.25701522827326073</c:v>
                </c:pt>
                <c:pt idx="13">
                  <c:v>-0.19860267638893703</c:v>
                </c:pt>
                <c:pt idx="14">
                  <c:v>-0.12850761413663037</c:v>
                </c:pt>
                <c:pt idx="15">
                  <c:v>-7.0095062254527107E-2</c:v>
                </c:pt>
                <c:pt idx="16">
                  <c:v>0</c:v>
                </c:pt>
                <c:pt idx="17">
                  <c:v>5.8412551879882813E-2</c:v>
                </c:pt>
                <c:pt idx="18">
                  <c:v>0.12850761413663037</c:v>
                </c:pt>
                <c:pt idx="19">
                  <c:v>0.17523765563964844</c:v>
                </c:pt>
                <c:pt idx="20">
                  <c:v>0.24533271789417554</c:v>
                </c:pt>
                <c:pt idx="21">
                  <c:v>0.29206275940163451</c:v>
                </c:pt>
                <c:pt idx="22">
                  <c:v>0.33879280090243213</c:v>
                </c:pt>
                <c:pt idx="23">
                  <c:v>0.38552284240545021</c:v>
                </c:pt>
                <c:pt idx="24">
                  <c:v>0.43225288391068872</c:v>
                </c:pt>
                <c:pt idx="25">
                  <c:v>0.47898292541370679</c:v>
                </c:pt>
                <c:pt idx="26">
                  <c:v>0.52571296691672487</c:v>
                </c:pt>
                <c:pt idx="27">
                  <c:v>0.57244300842418383</c:v>
                </c:pt>
                <c:pt idx="28">
                  <c:v>0.60749053955033716</c:v>
                </c:pt>
                <c:pt idx="29">
                  <c:v>0.64253807067871094</c:v>
                </c:pt>
                <c:pt idx="30">
                  <c:v>0.67758560180708471</c:v>
                </c:pt>
                <c:pt idx="31">
                  <c:v>0.70095062255859375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033F-454D-9965-B3EC0196B4B1}"/>
            </c:ext>
          </c:extLst>
        </c:ser>
        <c:ser>
          <c:idx val="16"/>
          <c:order val="16"/>
          <c:tx>
            <c:strRef>
              <c:f>z!$E$101</c:f>
              <c:strCache>
                <c:ptCount val="1"/>
                <c:pt idx="0">
                  <c:v>t=160 C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z!$F$101:$AK$101</c:f>
              <c:numCache>
                <c:formatCode>0.00</c:formatCode>
                <c:ptCount val="32"/>
                <c:pt idx="0">
                  <c:v>-0.80609321594149463</c:v>
                </c:pt>
                <c:pt idx="1">
                  <c:v>-0.75936317443847656</c:v>
                </c:pt>
                <c:pt idx="2">
                  <c:v>-0.72431564330788234</c:v>
                </c:pt>
                <c:pt idx="3">
                  <c:v>-0.68926811218394946</c:v>
                </c:pt>
                <c:pt idx="4">
                  <c:v>-0.64253807068093138</c:v>
                </c:pt>
                <c:pt idx="5">
                  <c:v>-0.59580802917347242</c:v>
                </c:pt>
                <c:pt idx="6">
                  <c:v>-0.53739547729581005</c:v>
                </c:pt>
                <c:pt idx="7">
                  <c:v>-0.49066543579057154</c:v>
                </c:pt>
                <c:pt idx="8">
                  <c:v>-0.43225288391290917</c:v>
                </c:pt>
                <c:pt idx="9">
                  <c:v>-0.37384033203080591</c:v>
                </c:pt>
                <c:pt idx="10">
                  <c:v>-0.32711029052778784</c:v>
                </c:pt>
                <c:pt idx="11">
                  <c:v>-0.26869773864790503</c:v>
                </c:pt>
                <c:pt idx="12">
                  <c:v>-0.21028518676802221</c:v>
                </c:pt>
                <c:pt idx="13">
                  <c:v>-0.15187263488591896</c:v>
                </c:pt>
                <c:pt idx="14">
                  <c:v>-8.1777572631391848E-2</c:v>
                </c:pt>
                <c:pt idx="15">
                  <c:v>-3.5047531128373777E-2</c:v>
                </c:pt>
                <c:pt idx="16">
                  <c:v>3.5047531128373777E-2</c:v>
                </c:pt>
                <c:pt idx="17">
                  <c:v>9.3460083008256589E-2</c:v>
                </c:pt>
                <c:pt idx="18">
                  <c:v>0.14019012451127466</c:v>
                </c:pt>
                <c:pt idx="19">
                  <c:v>0.19860267639115747</c:v>
                </c:pt>
                <c:pt idx="20">
                  <c:v>0.24533271789417554</c:v>
                </c:pt>
                <c:pt idx="21">
                  <c:v>0.3037452697762788</c:v>
                </c:pt>
                <c:pt idx="22">
                  <c:v>0.33879280090243213</c:v>
                </c:pt>
                <c:pt idx="23">
                  <c:v>0.39720535278453539</c:v>
                </c:pt>
                <c:pt idx="24">
                  <c:v>0.44393539428755346</c:v>
                </c:pt>
                <c:pt idx="25">
                  <c:v>0.46730041503684205</c:v>
                </c:pt>
                <c:pt idx="26">
                  <c:v>0.51403045654208057</c:v>
                </c:pt>
                <c:pt idx="27">
                  <c:v>0.56076049804731909</c:v>
                </c:pt>
                <c:pt idx="28">
                  <c:v>0.58412551879882813</c:v>
                </c:pt>
                <c:pt idx="29">
                  <c:v>0.6191730499272019</c:v>
                </c:pt>
                <c:pt idx="30">
                  <c:v>0.66590309143021997</c:v>
                </c:pt>
                <c:pt idx="31">
                  <c:v>0.68926811218394946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033F-454D-9965-B3EC0196B4B1}"/>
            </c:ext>
          </c:extLst>
        </c:ser>
        <c:ser>
          <c:idx val="17"/>
          <c:order val="17"/>
          <c:tx>
            <c:strRef>
              <c:f>z!$E$102</c:f>
              <c:strCache>
                <c:ptCount val="1"/>
                <c:pt idx="0">
                  <c:v>t=170 C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z!$F$102:$AK$102</c:f>
              <c:numCache>
                <c:formatCode>0.00</c:formatCode>
                <c:ptCount val="32"/>
                <c:pt idx="0">
                  <c:v>-0.74768066406383227</c:v>
                </c:pt>
                <c:pt idx="1">
                  <c:v>-0.70095062255859375</c:v>
                </c:pt>
                <c:pt idx="2">
                  <c:v>-0.66590309143021997</c:v>
                </c:pt>
                <c:pt idx="3">
                  <c:v>-0.63085556030406664</c:v>
                </c:pt>
                <c:pt idx="4">
                  <c:v>-0.57244300842196338</c:v>
                </c:pt>
                <c:pt idx="5">
                  <c:v>-0.53739547729581005</c:v>
                </c:pt>
                <c:pt idx="6">
                  <c:v>-0.47898292541592724</c:v>
                </c:pt>
                <c:pt idx="7">
                  <c:v>-0.43225288391068872</c:v>
                </c:pt>
                <c:pt idx="8">
                  <c:v>-0.38552284240767065</c:v>
                </c:pt>
                <c:pt idx="9">
                  <c:v>-0.32711029052778784</c:v>
                </c:pt>
                <c:pt idx="10">
                  <c:v>-0.26869773864790503</c:v>
                </c:pt>
                <c:pt idx="11">
                  <c:v>-0.22196769714488696</c:v>
                </c:pt>
                <c:pt idx="12">
                  <c:v>-0.1635551452627837</c:v>
                </c:pt>
                <c:pt idx="13">
                  <c:v>-0.11682510375976563</c:v>
                </c:pt>
                <c:pt idx="14">
                  <c:v>-5.8412551879882813E-2</c:v>
                </c:pt>
                <c:pt idx="15">
                  <c:v>0</c:v>
                </c:pt>
                <c:pt idx="16">
                  <c:v>5.8412551882103259E-2</c:v>
                </c:pt>
                <c:pt idx="17">
                  <c:v>0.10514259338290088</c:v>
                </c:pt>
                <c:pt idx="18">
                  <c:v>0.16355514526500414</c:v>
                </c:pt>
                <c:pt idx="19">
                  <c:v>0.19860267638893703</c:v>
                </c:pt>
                <c:pt idx="20">
                  <c:v>0.25701522826881984</c:v>
                </c:pt>
                <c:pt idx="21">
                  <c:v>0.3037452697762788</c:v>
                </c:pt>
                <c:pt idx="22">
                  <c:v>0.35047531127929688</c:v>
                </c:pt>
                <c:pt idx="23">
                  <c:v>0.39720535278231495</c:v>
                </c:pt>
                <c:pt idx="24">
                  <c:v>0.43225288391068872</c:v>
                </c:pt>
                <c:pt idx="25">
                  <c:v>0.4673004150390625</c:v>
                </c:pt>
                <c:pt idx="26">
                  <c:v>0.50234794616743628</c:v>
                </c:pt>
                <c:pt idx="27">
                  <c:v>0.5490779876682339</c:v>
                </c:pt>
                <c:pt idx="28">
                  <c:v>0.57244300842196338</c:v>
                </c:pt>
                <c:pt idx="29">
                  <c:v>0.60749053955255761</c:v>
                </c:pt>
                <c:pt idx="30">
                  <c:v>0.64253807067871094</c:v>
                </c:pt>
                <c:pt idx="31">
                  <c:v>0.65422058105557568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033F-454D-9965-B3EC0196B4B1}"/>
            </c:ext>
          </c:extLst>
        </c:ser>
        <c:ser>
          <c:idx val="18"/>
          <c:order val="18"/>
          <c:tx>
            <c:strRef>
              <c:f>z!$E$103</c:f>
              <c:strCache>
                <c:ptCount val="1"/>
                <c:pt idx="0">
                  <c:v>t=180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z!$F$103:$AK$103</c:f>
              <c:numCache>
                <c:formatCode>0.00</c:formatCode>
                <c:ptCount val="32"/>
                <c:pt idx="0">
                  <c:v>-0.67758560180930516</c:v>
                </c:pt>
                <c:pt idx="1">
                  <c:v>-0.64253807067871094</c:v>
                </c:pt>
                <c:pt idx="2">
                  <c:v>-0.59580802917569287</c:v>
                </c:pt>
                <c:pt idx="3">
                  <c:v>-0.57244300842196338</c:v>
                </c:pt>
                <c:pt idx="4">
                  <c:v>-0.52571296692116576</c:v>
                </c:pt>
                <c:pt idx="5">
                  <c:v>-0.4673004150390625</c:v>
                </c:pt>
                <c:pt idx="6">
                  <c:v>-0.43225288391290917</c:v>
                </c:pt>
                <c:pt idx="7">
                  <c:v>-0.38552284240767065</c:v>
                </c:pt>
                <c:pt idx="8">
                  <c:v>-0.33879280090243213</c:v>
                </c:pt>
                <c:pt idx="9">
                  <c:v>-0.29206275940163451</c:v>
                </c:pt>
                <c:pt idx="10">
                  <c:v>-0.2336502075173108</c:v>
                </c:pt>
                <c:pt idx="11">
                  <c:v>-0.18692016601429273</c:v>
                </c:pt>
                <c:pt idx="12">
                  <c:v>-0.12850761413440992</c:v>
                </c:pt>
                <c:pt idx="13">
                  <c:v>-8.1777572629171402E-2</c:v>
                </c:pt>
                <c:pt idx="14">
                  <c:v>-2.3365020751509036E-2</c:v>
                </c:pt>
                <c:pt idx="15">
                  <c:v>3.5047531128373777E-2</c:v>
                </c:pt>
                <c:pt idx="16">
                  <c:v>8.1777572631391848E-2</c:v>
                </c:pt>
                <c:pt idx="17">
                  <c:v>0.11682510375976563</c:v>
                </c:pt>
                <c:pt idx="18">
                  <c:v>0.17523765563964844</c:v>
                </c:pt>
                <c:pt idx="19">
                  <c:v>0.22196769714488696</c:v>
                </c:pt>
                <c:pt idx="20">
                  <c:v>0.25701522827104029</c:v>
                </c:pt>
                <c:pt idx="21">
                  <c:v>0.30374526977405836</c:v>
                </c:pt>
                <c:pt idx="22">
                  <c:v>0.33879280090465258</c:v>
                </c:pt>
                <c:pt idx="23">
                  <c:v>0.38552284240767065</c:v>
                </c:pt>
                <c:pt idx="24">
                  <c:v>0.43225288391068872</c:v>
                </c:pt>
                <c:pt idx="25">
                  <c:v>0.46730041504128295</c:v>
                </c:pt>
                <c:pt idx="26">
                  <c:v>0.49066543579279198</c:v>
                </c:pt>
                <c:pt idx="27">
                  <c:v>0.52571296691894531</c:v>
                </c:pt>
                <c:pt idx="28">
                  <c:v>0.56076049804731909</c:v>
                </c:pt>
                <c:pt idx="29">
                  <c:v>0.59580802917347242</c:v>
                </c:pt>
                <c:pt idx="30">
                  <c:v>0.61917304992498146</c:v>
                </c:pt>
                <c:pt idx="31">
                  <c:v>0.65422058105557568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033F-454D-9965-B3EC0196B4B1}"/>
            </c:ext>
          </c:extLst>
        </c:ser>
        <c:ser>
          <c:idx val="19"/>
          <c:order val="19"/>
          <c:tx>
            <c:strRef>
              <c:f>z!$E$104</c:f>
              <c:strCache>
                <c:ptCount val="1"/>
                <c:pt idx="0">
                  <c:v>t=190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z!$F$104:$AK$104</c:f>
              <c:numCache>
                <c:formatCode>0.00</c:formatCode>
                <c:ptCount val="32"/>
                <c:pt idx="0">
                  <c:v>-0.63085556030406664</c:v>
                </c:pt>
                <c:pt idx="1">
                  <c:v>-0.58412551879882813</c:v>
                </c:pt>
                <c:pt idx="2">
                  <c:v>-0.54907798767045435</c:v>
                </c:pt>
                <c:pt idx="3">
                  <c:v>-0.51403045654430102</c:v>
                </c:pt>
                <c:pt idx="4">
                  <c:v>-0.46730041504128295</c:v>
                </c:pt>
                <c:pt idx="5">
                  <c:v>-0.42057037353604443</c:v>
                </c:pt>
                <c:pt idx="6">
                  <c:v>-0.38552284240545021</c:v>
                </c:pt>
                <c:pt idx="7">
                  <c:v>-0.33879280090465258</c:v>
                </c:pt>
                <c:pt idx="8">
                  <c:v>-0.29206275939941406</c:v>
                </c:pt>
                <c:pt idx="9">
                  <c:v>-0.2336502075173108</c:v>
                </c:pt>
                <c:pt idx="10">
                  <c:v>-0.18692016601651318</c:v>
                </c:pt>
                <c:pt idx="11">
                  <c:v>-0.14019012451127466</c:v>
                </c:pt>
                <c:pt idx="12">
                  <c:v>-9.3460083006036143E-2</c:v>
                </c:pt>
                <c:pt idx="13">
                  <c:v>-3.5047531128373777E-2</c:v>
                </c:pt>
                <c:pt idx="14">
                  <c:v>0</c:v>
                </c:pt>
                <c:pt idx="15">
                  <c:v>4.6730041505238518E-2</c:v>
                </c:pt>
                <c:pt idx="16">
                  <c:v>9.3460083008256589E-2</c:v>
                </c:pt>
                <c:pt idx="17">
                  <c:v>0.1518726348881394</c:v>
                </c:pt>
                <c:pt idx="18">
                  <c:v>0.18692016601651318</c:v>
                </c:pt>
                <c:pt idx="19">
                  <c:v>0.23365020751953125</c:v>
                </c:pt>
                <c:pt idx="20">
                  <c:v>0.28038024902476977</c:v>
                </c:pt>
                <c:pt idx="21">
                  <c:v>0.3154277801509231</c:v>
                </c:pt>
                <c:pt idx="22">
                  <c:v>0.35047531127929688</c:v>
                </c:pt>
                <c:pt idx="23">
                  <c:v>0.39720535278453539</c:v>
                </c:pt>
                <c:pt idx="24">
                  <c:v>0.43225288391068872</c:v>
                </c:pt>
                <c:pt idx="25">
                  <c:v>0.45561790466219776</c:v>
                </c:pt>
                <c:pt idx="26">
                  <c:v>0.49066543579279198</c:v>
                </c:pt>
                <c:pt idx="27">
                  <c:v>0.52571296691672487</c:v>
                </c:pt>
                <c:pt idx="28">
                  <c:v>0.56076049804731909</c:v>
                </c:pt>
                <c:pt idx="29">
                  <c:v>0.58412551880326902</c:v>
                </c:pt>
                <c:pt idx="30">
                  <c:v>0.60749053954811671</c:v>
                </c:pt>
                <c:pt idx="31">
                  <c:v>0.63085556030406664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033F-454D-9965-B3EC0196B4B1}"/>
            </c:ext>
          </c:extLst>
        </c:ser>
        <c:ser>
          <c:idx val="20"/>
          <c:order val="20"/>
          <c:tx>
            <c:strRef>
              <c:f>z!$E$105</c:f>
              <c:strCache>
                <c:ptCount val="1"/>
                <c:pt idx="0">
                  <c:v>t=200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z!$F$105:$AK$105</c:f>
              <c:numCache>
                <c:formatCode>0.00</c:formatCode>
                <c:ptCount val="32"/>
                <c:pt idx="0">
                  <c:v>-0.57244300842418383</c:v>
                </c:pt>
                <c:pt idx="1">
                  <c:v>-0.53739547729358961</c:v>
                </c:pt>
                <c:pt idx="2">
                  <c:v>-0.50234794616743628</c:v>
                </c:pt>
                <c:pt idx="3">
                  <c:v>-0.46730041503684205</c:v>
                </c:pt>
                <c:pt idx="4">
                  <c:v>-0.42057037353382398</c:v>
                </c:pt>
                <c:pt idx="5">
                  <c:v>-0.38552284240767065</c:v>
                </c:pt>
                <c:pt idx="6">
                  <c:v>-0.32711029052778784</c:v>
                </c:pt>
                <c:pt idx="7">
                  <c:v>-0.29206275939719362</c:v>
                </c:pt>
                <c:pt idx="8">
                  <c:v>-0.25701522827326073</c:v>
                </c:pt>
                <c:pt idx="9">
                  <c:v>-0.21028518676802221</c:v>
                </c:pt>
                <c:pt idx="10">
                  <c:v>-0.16355514526500414</c:v>
                </c:pt>
                <c:pt idx="11">
                  <c:v>-0.10514259338512133</c:v>
                </c:pt>
                <c:pt idx="12">
                  <c:v>-5.8412551877662366E-2</c:v>
                </c:pt>
                <c:pt idx="13">
                  <c:v>-2.3365020753729482E-2</c:v>
                </c:pt>
                <c:pt idx="14">
                  <c:v>2.3365020753729482E-2</c:v>
                </c:pt>
                <c:pt idx="15">
                  <c:v>7.0095062254527107E-2</c:v>
                </c:pt>
                <c:pt idx="16">
                  <c:v>0.11682510376198607</c:v>
                </c:pt>
                <c:pt idx="17">
                  <c:v>0.15187263488591896</c:v>
                </c:pt>
                <c:pt idx="18">
                  <c:v>0.19860267639115747</c:v>
                </c:pt>
                <c:pt idx="19">
                  <c:v>0.24533271789639599</c:v>
                </c:pt>
                <c:pt idx="20">
                  <c:v>0.28038024902254932</c:v>
                </c:pt>
                <c:pt idx="21">
                  <c:v>0.3154277801509231</c:v>
                </c:pt>
                <c:pt idx="22">
                  <c:v>0.36215782165616162</c:v>
                </c:pt>
                <c:pt idx="23">
                  <c:v>0.38552284240545021</c:v>
                </c:pt>
                <c:pt idx="24">
                  <c:v>0.42057037353604443</c:v>
                </c:pt>
                <c:pt idx="25">
                  <c:v>0.45561790466219776</c:v>
                </c:pt>
                <c:pt idx="26">
                  <c:v>0.49066543579057154</c:v>
                </c:pt>
                <c:pt idx="27">
                  <c:v>0.51403045654430102</c:v>
                </c:pt>
                <c:pt idx="28">
                  <c:v>0.54907798767045435</c:v>
                </c:pt>
                <c:pt idx="29">
                  <c:v>0.57244300842418383</c:v>
                </c:pt>
                <c:pt idx="30">
                  <c:v>0.59580802918013376</c:v>
                </c:pt>
                <c:pt idx="31">
                  <c:v>0.61917304992498146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033F-454D-9965-B3EC0196B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0267504"/>
        <c:axId val="1794276784"/>
      </c:scatterChart>
      <c:valAx>
        <c:axId val="161026750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p_atma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4276784"/>
        <c:crosses val="max"/>
        <c:crossBetween val="midCat"/>
      </c:valAx>
      <c:valAx>
        <c:axId val="179427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dz/dp * 100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0267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8</xdr:row>
      <xdr:rowOff>158582</xdr:rowOff>
    </xdr:from>
    <xdr:to>
      <xdr:col>11</xdr:col>
      <xdr:colOff>571500</xdr:colOff>
      <xdr:row>33</xdr:row>
      <xdr:rowOff>24120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595995</xdr:colOff>
      <xdr:row>8</xdr:row>
      <xdr:rowOff>166007</xdr:rowOff>
    </xdr:from>
    <xdr:to>
      <xdr:col>22</xdr:col>
      <xdr:colOff>180975</xdr:colOff>
      <xdr:row>33</xdr:row>
      <xdr:rowOff>31545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208720</xdr:colOff>
      <xdr:row>8</xdr:row>
      <xdr:rowOff>155299</xdr:rowOff>
    </xdr:from>
    <xdr:to>
      <xdr:col>32</xdr:col>
      <xdr:colOff>333375</xdr:colOff>
      <xdr:row>33</xdr:row>
      <xdr:rowOff>20837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381000</xdr:colOff>
      <xdr:row>0</xdr:row>
      <xdr:rowOff>122465</xdr:rowOff>
    </xdr:from>
    <xdr:to>
      <xdr:col>25</xdr:col>
      <xdr:colOff>598714</xdr:colOff>
      <xdr:row>6</xdr:row>
      <xdr:rowOff>108857</xdr:rowOff>
    </xdr:to>
    <xdr:sp macro="[0]!time_compare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11402786" y="122465"/>
          <a:ext cx="4503964" cy="11566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time to calc comparison for z factor. 100000 runs</a:t>
          </a:r>
        </a:p>
        <a:p>
          <a:r>
            <a:rPr lang="en-US" sz="1100"/>
            <a:t>z_cor = 0. Beggs Brill. time = 0.1289063</a:t>
          </a:r>
        </a:p>
        <a:p>
          <a:r>
            <a:rPr lang="en-US" sz="1100"/>
            <a:t>z_cor = 1. Dranchuk.  time = 5.355469</a:t>
          </a:r>
        </a:p>
        <a:p>
          <a:r>
            <a:rPr lang="en-US" sz="1100"/>
            <a:t>z_cor = 2. Kareem.  time = 0.25</a:t>
          </a:r>
        </a:p>
        <a:p>
          <a:endParaRPr lang="en-US" sz="1100"/>
        </a:p>
        <a:p>
          <a:r>
            <a:rPr lang="en-US" sz="1100"/>
            <a:t>run macro time_compare and read result in immediate window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289560</xdr:colOff>
          <xdr:row>1</xdr:row>
          <xdr:rowOff>190500</xdr:rowOff>
        </xdr:from>
        <xdr:to>
          <xdr:col>29</xdr:col>
          <xdr:colOff>342900</xdr:colOff>
          <xdr:row>4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time_compare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unf_pvt_dZdp"/>
      <definedName name="unf_pvt_dZdt"/>
      <definedName name="unf_pvt_Zgas_d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3CF1F-355D-45E3-BD70-D728E399707B}">
  <sheetPr codeName="Лист1"/>
  <dimension ref="A1:AK107"/>
  <sheetViews>
    <sheetView tabSelected="1" zoomScale="80" zoomScaleNormal="80" workbookViewId="0">
      <selection activeCell="O6" sqref="O6"/>
    </sheetView>
  </sheetViews>
  <sheetFormatPr defaultRowHeight="14.4" x14ac:dyDescent="0.3"/>
  <sheetData>
    <row r="1" spans="1:17" x14ac:dyDescent="0.3">
      <c r="A1" s="7" t="s">
        <v>10</v>
      </c>
      <c r="F1" t="s">
        <v>11</v>
      </c>
      <c r="G1" t="str">
        <f>[1]!unf_Version()</f>
        <v>7.26</v>
      </c>
    </row>
    <row r="2" spans="1:17" ht="15" thickBot="1" x14ac:dyDescent="0.35">
      <c r="A2" t="s">
        <v>0</v>
      </c>
      <c r="O2" t="s">
        <v>6</v>
      </c>
      <c r="P2">
        <v>0</v>
      </c>
      <c r="Q2" t="s">
        <v>7</v>
      </c>
    </row>
    <row r="3" spans="1:17" x14ac:dyDescent="0.3">
      <c r="K3" s="3" t="s">
        <v>5</v>
      </c>
      <c r="L3" s="4">
        <v>0.7</v>
      </c>
      <c r="P3">
        <v>1</v>
      </c>
      <c r="Q3" t="s">
        <v>8</v>
      </c>
    </row>
    <row r="4" spans="1:17" ht="15" thickBot="1" x14ac:dyDescent="0.35">
      <c r="K4" s="5" t="s">
        <v>6</v>
      </c>
      <c r="L4" s="6">
        <v>1</v>
      </c>
      <c r="P4">
        <v>2</v>
      </c>
      <c r="Q4" t="s">
        <v>9</v>
      </c>
    </row>
    <row r="32" ht="18" customHeight="1" x14ac:dyDescent="0.3"/>
    <row r="35" spans="3:37" x14ac:dyDescent="0.3">
      <c r="E35" t="s">
        <v>3</v>
      </c>
      <c r="F35">
        <v>1</v>
      </c>
      <c r="G35">
        <v>10</v>
      </c>
      <c r="H35">
        <v>19</v>
      </c>
      <c r="I35">
        <v>28</v>
      </c>
      <c r="J35">
        <v>37</v>
      </c>
      <c r="K35">
        <v>46</v>
      </c>
      <c r="L35">
        <v>55</v>
      </c>
      <c r="M35">
        <v>64</v>
      </c>
      <c r="N35">
        <v>73</v>
      </c>
      <c r="O35">
        <v>82</v>
      </c>
      <c r="P35">
        <v>91</v>
      </c>
      <c r="Q35">
        <v>100</v>
      </c>
      <c r="R35">
        <v>109</v>
      </c>
      <c r="S35">
        <v>118</v>
      </c>
      <c r="T35">
        <v>127</v>
      </c>
      <c r="U35">
        <v>136</v>
      </c>
      <c r="V35">
        <v>145</v>
      </c>
      <c r="W35">
        <v>154</v>
      </c>
      <c r="X35">
        <v>163</v>
      </c>
      <c r="Y35">
        <v>172</v>
      </c>
      <c r="Z35">
        <v>181</v>
      </c>
      <c r="AA35">
        <v>190</v>
      </c>
      <c r="AB35">
        <v>199</v>
      </c>
      <c r="AC35">
        <v>208</v>
      </c>
      <c r="AD35">
        <v>217</v>
      </c>
      <c r="AE35">
        <v>226</v>
      </c>
      <c r="AF35">
        <v>235</v>
      </c>
      <c r="AG35">
        <v>244</v>
      </c>
      <c r="AH35">
        <v>253</v>
      </c>
      <c r="AI35">
        <v>262</v>
      </c>
      <c r="AJ35">
        <v>271</v>
      </c>
      <c r="AK35">
        <v>280</v>
      </c>
    </row>
    <row r="36" spans="3:37" x14ac:dyDescent="0.3">
      <c r="E36" t="s">
        <v>4</v>
      </c>
      <c r="F36">
        <f t="shared" ref="F36:AK36" si="0">F35/10</f>
        <v>0.1</v>
      </c>
      <c r="G36">
        <f t="shared" si="0"/>
        <v>1</v>
      </c>
      <c r="H36">
        <f t="shared" si="0"/>
        <v>1.9</v>
      </c>
      <c r="I36">
        <f t="shared" si="0"/>
        <v>2.8</v>
      </c>
      <c r="J36">
        <f t="shared" si="0"/>
        <v>3.7</v>
      </c>
      <c r="K36">
        <f t="shared" si="0"/>
        <v>4.5999999999999996</v>
      </c>
      <c r="L36">
        <f t="shared" si="0"/>
        <v>5.5</v>
      </c>
      <c r="M36">
        <f t="shared" si="0"/>
        <v>6.4</v>
      </c>
      <c r="N36">
        <f t="shared" si="0"/>
        <v>7.3</v>
      </c>
      <c r="O36">
        <f t="shared" si="0"/>
        <v>8.1999999999999993</v>
      </c>
      <c r="P36">
        <f t="shared" si="0"/>
        <v>9.1</v>
      </c>
      <c r="Q36">
        <f t="shared" si="0"/>
        <v>10</v>
      </c>
      <c r="R36">
        <f t="shared" si="0"/>
        <v>10.9</v>
      </c>
      <c r="S36">
        <f t="shared" si="0"/>
        <v>11.8</v>
      </c>
      <c r="T36">
        <f t="shared" si="0"/>
        <v>12.7</v>
      </c>
      <c r="U36">
        <f t="shared" si="0"/>
        <v>13.6</v>
      </c>
      <c r="V36">
        <f t="shared" si="0"/>
        <v>14.5</v>
      </c>
      <c r="W36">
        <f t="shared" si="0"/>
        <v>15.4</v>
      </c>
      <c r="X36">
        <f t="shared" si="0"/>
        <v>16.3</v>
      </c>
      <c r="Y36">
        <f t="shared" si="0"/>
        <v>17.2</v>
      </c>
      <c r="Z36">
        <f t="shared" si="0"/>
        <v>18.100000000000001</v>
      </c>
      <c r="AA36">
        <f t="shared" si="0"/>
        <v>19</v>
      </c>
      <c r="AB36">
        <f t="shared" si="0"/>
        <v>19.899999999999999</v>
      </c>
      <c r="AC36">
        <f t="shared" si="0"/>
        <v>20.8</v>
      </c>
      <c r="AD36">
        <f t="shared" si="0"/>
        <v>21.7</v>
      </c>
      <c r="AE36">
        <f t="shared" si="0"/>
        <v>22.6</v>
      </c>
      <c r="AF36">
        <f t="shared" si="0"/>
        <v>23.5</v>
      </c>
      <c r="AG36">
        <f t="shared" si="0"/>
        <v>24.4</v>
      </c>
      <c r="AH36">
        <f t="shared" si="0"/>
        <v>25.3</v>
      </c>
      <c r="AI36">
        <f t="shared" si="0"/>
        <v>26.2</v>
      </c>
      <c r="AJ36">
        <f t="shared" si="0"/>
        <v>27.1</v>
      </c>
      <c r="AK36">
        <f t="shared" si="0"/>
        <v>28</v>
      </c>
    </row>
    <row r="37" spans="3:37" x14ac:dyDescent="0.3">
      <c r="C37" t="s">
        <v>1</v>
      </c>
      <c r="D37" t="s">
        <v>2</v>
      </c>
    </row>
    <row r="38" spans="3:37" x14ac:dyDescent="0.3">
      <c r="C38">
        <v>0</v>
      </c>
      <c r="D38" s="2">
        <f t="shared" ref="D38:D58" si="1">C38+273.15</f>
        <v>273.14999999999998</v>
      </c>
      <c r="E38" t="str">
        <f t="shared" ref="E38:E58" si="2">"t="&amp;C38&amp; " C"</f>
        <v>t=0 C</v>
      </c>
      <c r="F38" s="1" cm="1">
        <f t="array" ref="F38">[1]!unf_pvt_Zgas_d($D38,F$36,gg,zcor)</f>
        <v>0.99627109766006483</v>
      </c>
      <c r="G38" s="1" cm="1">
        <f t="array" ref="G38">[1]!unf_pvt_Zgas_d($D38,G$36,gg,zcor)</f>
        <v>0.96222125291824345</v>
      </c>
      <c r="H38" s="1" cm="1">
        <f t="array" ref="H38">[1]!unf_pvt_Zgas_d($D38,H$36,gg,zcor)</f>
        <v>0.92726601362228389</v>
      </c>
      <c r="I38" s="1" cm="1">
        <f t="array" ref="I38">[1]!unf_pvt_Zgas_d($D38,I$36,gg,zcor)</f>
        <v>0.89140654802322405</v>
      </c>
      <c r="J38" s="1" cm="1">
        <f t="array" ref="J38">[1]!unf_pvt_Zgas_d($D38,J$36,gg,zcor)</f>
        <v>0.85470126867294316</v>
      </c>
      <c r="K38" s="1" cm="1">
        <f t="array" ref="K38">[1]!unf_pvt_Zgas_d($D38,K$36,gg,zcor)</f>
        <v>0.81730788946151756</v>
      </c>
      <c r="L38" s="1" cm="1">
        <f t="array" ref="L38">[1]!unf_pvt_Zgas_d($D38,L$36,gg,zcor)</f>
        <v>0.77956169843673706</v>
      </c>
      <c r="M38" s="1" cm="1">
        <f t="array" ref="M38">[1]!unf_pvt_Zgas_d($D38,M$36,gg,zcor)</f>
        <v>0.74209121465682992</v>
      </c>
      <c r="N38" s="1" cm="1">
        <f t="array" ref="N38">[1]!unf_pvt_Zgas_d($D38,N$36,gg,zcor)</f>
        <v>0.70593501329421993</v>
      </c>
      <c r="O38" s="1" cm="1">
        <f t="array" ref="O38">[1]!unf_pvt_Zgas_d($D38,O$36,gg,zcor)</f>
        <v>0.67258378267288221</v>
      </c>
      <c r="P38" s="1" cm="1">
        <f t="array" ref="P38">[1]!unf_pvt_Zgas_d($D38,P$36,gg,zcor)</f>
        <v>0.6437688708305358</v>
      </c>
      <c r="Q38" s="1" cm="1">
        <f t="array" ref="Q38">[1]!unf_pvt_Zgas_d($D38,Q$36,gg,zcor)</f>
        <v>0.62092956304550162</v>
      </c>
      <c r="R38" s="1" cm="1">
        <f t="array" ref="R38">[1]!unf_pvt_Zgas_d($D38,R$36,gg,zcor)</f>
        <v>0.60471073389053331</v>
      </c>
      <c r="S38" s="1" cm="1">
        <f t="array" ref="S38">[1]!unf_pvt_Zgas_d($D38,S$36,gg,zcor)</f>
        <v>0.59488924741744986</v>
      </c>
      <c r="T38" s="1" cm="1">
        <f t="array" ref="T38">[1]!unf_pvt_Zgas_d($D38,T$36,gg,zcor)</f>
        <v>0.59069522619247428</v>
      </c>
      <c r="U38" s="1" cm="1">
        <f t="array" ref="U38">[1]!unf_pvt_Zgas_d($D38,U$36,gg,zcor)</f>
        <v>0.59118238687515268</v>
      </c>
      <c r="V38" s="1" cm="1">
        <f t="array" ref="V38">[1]!unf_pvt_Zgas_d($D38,V$36,gg,zcor)</f>
        <v>0.59543949365615845</v>
      </c>
      <c r="W38" s="1" cm="1">
        <f t="array" ref="W38">[1]!unf_pvt_Zgas_d($D38,W$36,gg,zcor)</f>
        <v>0.60267680883407571</v>
      </c>
      <c r="X38" s="1" cm="1">
        <f t="array" ref="X38">[1]!unf_pvt_Zgas_d($D38,X$36,gg,zcor)</f>
        <v>0.61224478483200073</v>
      </c>
      <c r="Y38" s="1" cm="1">
        <f t="array" ref="Y38">[1]!unf_pvt_Zgas_d($D38,Y$36,gg,zcor)</f>
        <v>0.62362471818923959</v>
      </c>
      <c r="Z38" s="1" cm="1">
        <f t="array" ref="Z38">[1]!unf_pvt_Zgas_d($D38,Z$36,gg,zcor)</f>
        <v>0.63641356229782087</v>
      </c>
      <c r="AA38" s="1" cm="1">
        <f t="array" ref="AA38">[1]!unf_pvt_Zgas_d($D38,AA$36,gg,zcor)</f>
        <v>0.65029705762863177</v>
      </c>
      <c r="AB38" s="1" cm="1">
        <f t="array" ref="AB38">[1]!unf_pvt_Zgas_d($D38,AB$36,gg,zcor)</f>
        <v>0.66503571271896367</v>
      </c>
      <c r="AC38" s="1" cm="1">
        <f t="array" ref="AC38">[1]!unf_pvt_Zgas_d($D38,AC$36,gg,zcor)</f>
        <v>0.68044611215591444</v>
      </c>
      <c r="AD38" s="1" cm="1">
        <f t="array" ref="AD38">[1]!unf_pvt_Zgas_d($D38,AD$36,gg,zcor)</f>
        <v>0.69638456106185909</v>
      </c>
      <c r="AE38" s="1" cm="1">
        <f t="array" ref="AE38">[1]!unf_pvt_Zgas_d($D38,AE$36,gg,zcor)</f>
        <v>0.71274241209030142</v>
      </c>
      <c r="AF38" s="1" cm="1">
        <f t="array" ref="AF38">[1]!unf_pvt_Zgas_d($D38,AF$36,gg,zcor)</f>
        <v>0.72943204641342163</v>
      </c>
      <c r="AG38" s="1" cm="1">
        <f t="array" ref="AG38">[1]!unf_pvt_Zgas_d($D38,AG$36,gg,zcor)</f>
        <v>0.74638687372207646</v>
      </c>
      <c r="AH38" s="1" cm="1">
        <f t="array" ref="AH38">[1]!unf_pvt_Zgas_d($D38,AH$36,gg,zcor)</f>
        <v>0.76355198621749887</v>
      </c>
      <c r="AI38" s="1" cm="1">
        <f t="array" ref="AI38">[1]!unf_pvt_Zgas_d($D38,AI$36,gg,zcor)</f>
        <v>0.78088532686233525</v>
      </c>
      <c r="AJ38" s="1" cm="1">
        <f t="array" ref="AJ38">[1]!unf_pvt_Zgas_d($D38,AJ$36,gg,zcor)</f>
        <v>0.79835184812545767</v>
      </c>
      <c r="AK38" s="1" cm="1">
        <f t="array" ref="AK38">[1]!unf_pvt_Zgas_d($D38,AK$36,gg,zcor)</f>
        <v>0.81592351198196411</v>
      </c>
    </row>
    <row r="39" spans="3:37" x14ac:dyDescent="0.3">
      <c r="C39">
        <v>10</v>
      </c>
      <c r="D39" s="2">
        <f t="shared" si="1"/>
        <v>283.14999999999998</v>
      </c>
      <c r="E39" t="str">
        <f t="shared" si="2"/>
        <v>t=10 C</v>
      </c>
      <c r="F39" s="1" cm="1">
        <f t="array" ref="F39">[1]!unf_pvt_Zgas_d($D39,F$36,gg,zcor)</f>
        <v>0.99667063951492318</v>
      </c>
      <c r="G39" s="1" cm="1">
        <f t="array" ref="G39">[1]!unf_pvt_Zgas_d($D39,G$36,gg,zcor)</f>
        <v>0.9663860678672791</v>
      </c>
      <c r="H39" s="1" cm="1">
        <f t="array" ref="H39">[1]!unf_pvt_Zgas_d($D39,H$36,gg,zcor)</f>
        <v>0.93554540872573844</v>
      </c>
      <c r="I39" s="1" cm="1">
        <f t="array" ref="I39">unf_pvt_Zgas_d($D39,I$36,gg,zcor)</f>
        <v>0.90419889688491839</v>
      </c>
      <c r="J39" s="1" cm="1">
        <f t="array" ref="J39">[1]!unf_pvt_Zgas_d($D39,J$36,gg,zcor)</f>
        <v>0.87244349718093872</v>
      </c>
      <c r="K39" s="1" cm="1">
        <f t="array" ref="K39">[1]!unf_pvt_Zgas_d($D39,K$36,gg,zcor)</f>
        <v>0.84045678377151489</v>
      </c>
      <c r="L39" s="1" cm="1">
        <f t="array" ref="L39">[1]!unf_pvt_Zgas_d($D39,L$36,gg,zcor)</f>
        <v>0.80853198766708356</v>
      </c>
      <c r="M39" s="1" cm="1">
        <f t="array" ref="M39">[1]!unf_pvt_Zgas_d($D39,M$36,gg,zcor)</f>
        <v>0.77712706327438341</v>
      </c>
      <c r="N39" s="1" cm="1">
        <f t="array" ref="N39">[1]!unf_pvt_Zgas_d($D39,N$36,gg,zcor)</f>
        <v>0.74690908193588257</v>
      </c>
      <c r="O39" s="1" cm="1">
        <f t="array" ref="O39">[1]!unf_pvt_Zgas_d($D39,O$36,gg,zcor)</f>
        <v>0.71875890493392935</v>
      </c>
      <c r="P39" s="1" cm="1">
        <f t="array" ref="P39">[1]!unf_pvt_Zgas_d($D39,P$36,gg,zcor)</f>
        <v>0.69368706941604619</v>
      </c>
      <c r="Q39" s="1" cm="1">
        <f t="array" ref="Q39">[1]!unf_pvt_Zgas_d($D39,Q$36,gg,zcor)</f>
        <v>0.67263752222061179</v>
      </c>
      <c r="R39" s="1" cm="1">
        <f t="array" ref="R39">[1]!unf_pvt_Zgas_d($D39,R$36,gg,zcor)</f>
        <v>0.65624345541000384</v>
      </c>
      <c r="S39" s="1" cm="1">
        <f t="array" ref="S39">[1]!unf_pvt_Zgas_d($D39,S$36,gg,zcor)</f>
        <v>0.64469062089920048</v>
      </c>
      <c r="T39" s="1" cm="1">
        <f t="array" ref="T39">[1]!unf_pvt_Zgas_d($D39,T$36,gg,zcor)</f>
        <v>0.63775354623794578</v>
      </c>
      <c r="U39" s="1" cm="1">
        <f t="array" ref="U39">[1]!unf_pvt_Zgas_d($D39,U$36,gg,zcor)</f>
        <v>0.63495441675186171</v>
      </c>
      <c r="V39" s="1" cm="1">
        <f t="array" ref="V39">[1]!unf_pvt_Zgas_d($D39,V$36,gg,zcor)</f>
        <v>0.63571377992630018</v>
      </c>
      <c r="W39" s="1" cm="1">
        <f t="array" ref="W39">[1]!unf_pvt_Zgas_d($D39,W$36,gg,zcor)</f>
        <v>0.63946152925491329</v>
      </c>
      <c r="X39" s="1" cm="1">
        <f t="array" ref="X39">[1]!unf_pvt_Zgas_d($D39,X$36,gg,zcor)</f>
        <v>0.64567896127700819</v>
      </c>
      <c r="Y39" s="1" cm="1">
        <f t="array" ref="Y39">[1]!unf_pvt_Zgas_d($D39,Y$36,gg,zcor)</f>
        <v>0.65391863584518428</v>
      </c>
      <c r="Z39" s="1" cm="1">
        <f t="array" ref="Z39">[1]!unf_pvt_Zgas_d($D39,Z$36,gg,zcor)</f>
        <v>0.66380437612533583</v>
      </c>
      <c r="AA39" s="1" cm="1">
        <f t="array" ref="AA39">[1]!unf_pvt_Zgas_d($D39,AA$36,gg,zcor)</f>
        <v>0.67502893209457415</v>
      </c>
      <c r="AB39" s="1" cm="1">
        <f t="array" ref="AB39">[1]!unf_pvt_Zgas_d($D39,AB$36,gg,zcor)</f>
        <v>0.68733762502670293</v>
      </c>
      <c r="AC39" s="1" cm="1">
        <f t="array" ref="AC39">[1]!unf_pvt_Zgas_d($D39,AC$36,gg,zcor)</f>
        <v>0.70052834749221793</v>
      </c>
      <c r="AD39" s="1" cm="1">
        <f t="array" ref="AD39">[1]!unf_pvt_Zgas_d($D39,AD$36,gg,zcor)</f>
        <v>0.71443403959274288</v>
      </c>
      <c r="AE39" s="1" cm="1">
        <f t="array" ref="AE39">[1]!unf_pvt_Zgas_d($D39,AE$36,gg,zcor)</f>
        <v>0.72892385721206665</v>
      </c>
      <c r="AF39" s="1" cm="1">
        <f t="array" ref="AF39">[1]!unf_pvt_Zgas_d($D39,AF$36,gg,zcor)</f>
        <v>0.74389032125473031</v>
      </c>
      <c r="AG39" s="1" cm="1">
        <f t="array" ref="AG39">[1]!unf_pvt_Zgas_d($D39,AG$36,gg,zcor)</f>
        <v>0.75924698114395128</v>
      </c>
      <c r="AH39" s="1" cm="1">
        <f t="array" ref="AH39">[1]!unf_pvt_Zgas_d($D39,AH$36,gg,zcor)</f>
        <v>0.77492491006851183</v>
      </c>
      <c r="AI39" s="1" cm="1">
        <f t="array" ref="AI39">[1]!unf_pvt_Zgas_d($D39,AI$36,gg,zcor)</f>
        <v>0.79086452722549461</v>
      </c>
      <c r="AJ39" s="1" cm="1">
        <f t="array" ref="AJ39">[1]!unf_pvt_Zgas_d($D39,AJ$36,gg,zcor)</f>
        <v>0.80702143907546997</v>
      </c>
      <c r="AK39" s="1" cm="1">
        <f t="array" ref="AK39">[1]!unf_pvt_Zgas_d($D39,AK$36,gg,zcor)</f>
        <v>0.82335592508316058</v>
      </c>
    </row>
    <row r="40" spans="3:37" x14ac:dyDescent="0.3">
      <c r="C40">
        <v>20</v>
      </c>
      <c r="D40" s="2">
        <f t="shared" si="1"/>
        <v>293.14999999999998</v>
      </c>
      <c r="E40" t="str">
        <f t="shared" si="2"/>
        <v>t=20 C</v>
      </c>
      <c r="F40" s="1" cm="1">
        <f t="array" ref="F40">[1]!unf_pvt_Zgas_d($D40,F$36,gg,zcor)</f>
        <v>0.99701527357101449</v>
      </c>
      <c r="G40" s="1" cm="1">
        <f t="array" ref="G40">[1]!unf_pvt_Zgas_d($D40,G$36,gg,zcor)</f>
        <v>0.96996909379959106</v>
      </c>
      <c r="H40" s="1" cm="1">
        <f t="array" ref="H40">[1]!unf_pvt_Zgas_d($D40,H$36,gg,zcor)</f>
        <v>0.94261800050735478</v>
      </c>
      <c r="I40" s="1" cm="1">
        <f t="array" ref="I40">[1]!unf_pvt_Zgas_d($D40,I$36,gg,zcor)</f>
        <v>0.91503442525863665</v>
      </c>
      <c r="J40" s="1" cm="1">
        <f t="array" ref="J40">[1]!unf_pvt_Zgas_d($D40,J$36,gg,zcor)</f>
        <v>0.8873305201530457</v>
      </c>
      <c r="K40" s="1" cm="1">
        <f t="array" ref="K40">[1]!unf_pvt_Zgas_d($D40,K$36,gg,zcor)</f>
        <v>0.85967217683792119</v>
      </c>
      <c r="L40" s="1" cm="1">
        <f t="array" ref="L40">[1]!unf_pvt_Zgas_d($D40,L$36,gg,zcor)</f>
        <v>0.83230823278427102</v>
      </c>
      <c r="M40" s="1" cm="1">
        <f t="array" ref="M40">[1]!unf_pvt_Zgas_d($D40,M$36,gg,zcor)</f>
        <v>0.80558098554611224</v>
      </c>
      <c r="N40" s="1" cm="1">
        <f t="array" ref="N40">[1]!unf_pvt_Zgas_d($D40,N$36,gg,zcor)</f>
        <v>0.77994838953018197</v>
      </c>
      <c r="O40" s="1" cm="1">
        <f t="array" ref="O40">[1]!unf_pvt_Zgas_d($D40,O$36,gg,zcor)</f>
        <v>0.75597821474075322</v>
      </c>
      <c r="P40" s="1" cm="1">
        <f t="array" ref="P40">[1]!unf_pvt_Zgas_d($D40,P$36,gg,zcor)</f>
        <v>0.73430365324020386</v>
      </c>
      <c r="Q40" s="1" cm="1">
        <f t="array" ref="Q40">[1]!unf_pvt_Zgas_d($D40,Q$36,gg,zcor)</f>
        <v>0.71553920507431013</v>
      </c>
      <c r="R40" s="1" cm="1">
        <f t="array" ref="R40">[1]!unf_pvt_Zgas_d($D40,R$36,gg,zcor)</f>
        <v>0.70016735792160034</v>
      </c>
      <c r="S40" s="1" cm="1">
        <f t="array" ref="S40">[1]!unf_pvt_Zgas_d($D40,S$36,gg,zcor)</f>
        <v>0.68844629526138323</v>
      </c>
      <c r="T40" s="1" cm="1">
        <f t="array" ref="T40">[1]!unf_pvt_Zgas_d($D40,T$36,gg,zcor)</f>
        <v>0.68038536310195941</v>
      </c>
      <c r="U40" s="1" cm="1">
        <f t="array" ref="U40">[1]!unf_pvt_Zgas_d($D40,U$36,gg,zcor)</f>
        <v>0.67578829526901263</v>
      </c>
      <c r="V40" s="1" cm="1">
        <f t="array" ref="V40">[1]!unf_pvt_Zgas_d($D40,V$36,gg,zcor)</f>
        <v>0.6743314862251284</v>
      </c>
      <c r="W40" s="1" cm="1">
        <f t="array" ref="W40">[1]!unf_pvt_Zgas_d($D40,W$36,gg,zcor)</f>
        <v>0.6756375908851624</v>
      </c>
      <c r="X40" s="1" cm="1">
        <f t="array" ref="X40">[1]!unf_pvt_Zgas_d($D40,X$36,gg,zcor)</f>
        <v>0.67932809591293331</v>
      </c>
      <c r="Y40" s="1" cm="1">
        <f t="array" ref="Y40">[1]!unf_pvt_Zgas_d($D40,Y$36,gg,zcor)</f>
        <v>0.68505018949508667</v>
      </c>
      <c r="Z40" s="1" cm="1">
        <f t="array" ref="Z40">[1]!unf_pvt_Zgas_d($D40,Z$36,gg,zcor)</f>
        <v>0.6924884438514709</v>
      </c>
      <c r="AA40" s="1" cm="1">
        <f t="array" ref="AA40">[1]!unf_pvt_Zgas_d($D40,AA$36,gg,zcor)</f>
        <v>0.70137065649032571</v>
      </c>
      <c r="AB40" s="1" cm="1">
        <f t="array" ref="AB40">[1]!unf_pvt_Zgas_d($D40,AB$36,gg,zcor)</f>
        <v>0.71146434545516968</v>
      </c>
      <c r="AC40" s="1" cm="1">
        <f t="array" ref="AC40">[1]!unf_pvt_Zgas_d($D40,AC$36,gg,zcor)</f>
        <v>0.72257207632064824</v>
      </c>
      <c r="AD40" s="1" cm="1">
        <f t="array" ref="AD40">[1]!unf_pvt_Zgas_d($D40,AD$36,gg,zcor)</f>
        <v>0.73452795743942256</v>
      </c>
      <c r="AE40" s="1" cm="1">
        <f t="array" ref="AE40">[1]!unf_pvt_Zgas_d($D40,AE$36,gg,zcor)</f>
        <v>0.74719413518905631</v>
      </c>
      <c r="AF40" s="1" cm="1">
        <f t="array" ref="AF40">[1]!unf_pvt_Zgas_d($D40,AF$36,gg,zcor)</f>
        <v>0.76045378446578971</v>
      </c>
      <c r="AG40" s="1" cm="1">
        <f t="array" ref="AG40">[1]!unf_pvt_Zgas_d($D40,AG$36,gg,zcor)</f>
        <v>0.77421110868453979</v>
      </c>
      <c r="AH40" s="1" cm="1">
        <f t="array" ref="AH40">[1]!unf_pvt_Zgas_d($D40,AH$36,gg,zcor)</f>
        <v>0.78838783502578735</v>
      </c>
      <c r="AI40" s="1" cm="1">
        <f t="array" ref="AI40">[1]!unf_pvt_Zgas_d($D40,AI$36,gg,zcor)</f>
        <v>0.8029162049293519</v>
      </c>
      <c r="AJ40" s="1" cm="1">
        <f t="array" ref="AJ40">[1]!unf_pvt_Zgas_d($D40,AJ$36,gg,zcor)</f>
        <v>0.81774014234542869</v>
      </c>
      <c r="AK40" s="1" cm="1">
        <f t="array" ref="AK40">[1]!unf_pvt_Zgas_d($D40,AK$36,gg,zcor)</f>
        <v>0.83281291723251338</v>
      </c>
    </row>
    <row r="41" spans="3:37" x14ac:dyDescent="0.3">
      <c r="C41">
        <v>30</v>
      </c>
      <c r="D41" s="2">
        <f t="shared" si="1"/>
        <v>303.14999999999998</v>
      </c>
      <c r="E41" t="str">
        <f t="shared" si="2"/>
        <v>t=30 C</v>
      </c>
      <c r="F41" s="1" cm="1">
        <f t="array" ref="F41">[1]!unf_pvt_Zgas_d($D41,F$36,gg,zcor)</f>
        <v>0.99731668233871473</v>
      </c>
      <c r="G41" s="1" cm="1">
        <f t="array" ref="G41">[1]!unf_pvt_Zgas_d($D41,G$36,gg,zcor)</f>
        <v>0.97307313680648821</v>
      </c>
      <c r="H41" s="1" cm="1">
        <f t="array" ref="H41">[1]!unf_pvt_Zgas_d($D41,H$36,gg,zcor)</f>
        <v>0.94870926141738909</v>
      </c>
      <c r="I41" s="1" cm="1">
        <f t="array" ref="I41">[1]!unf_pvt_Zgas_d($D41,I$36,gg,zcor)</f>
        <v>0.92430332899093637</v>
      </c>
      <c r="J41" s="1" cm="1">
        <f t="array" ref="J41">[1]!unf_pvt_Zgas_d($D41,J$36,gg,zcor)</f>
        <v>0.89996749162673972</v>
      </c>
      <c r="K41" s="1" cm="1">
        <f t="array" ref="K41">[1]!unf_pvt_Zgas_d($D41,K$36,gg,zcor)</f>
        <v>0.87585245370864873</v>
      </c>
      <c r="L41" s="1" cm="1">
        <f t="array" ref="L41">[1]!unf_pvt_Zgas_d($D41,L$36,gg,zcor)</f>
        <v>0.85216265916824341</v>
      </c>
      <c r="M41" s="1" cm="1">
        <f t="array" ref="M41">[1]!unf_pvt_Zgas_d($D41,M$36,gg,zcor)</f>
        <v>0.82916213274002093</v>
      </c>
      <c r="N41" s="1" cm="1">
        <f t="array" ref="N41">[1]!unf_pvt_Zgas_d($D41,N$36,gg,zcor)</f>
        <v>0.80717798471450819</v>
      </c>
      <c r="O41" s="1" cm="1">
        <f t="array" ref="O41">[1]!unf_pvt_Zgas_d($D41,O$36,gg,zcor)</f>
        <v>0.78660041093826294</v>
      </c>
      <c r="P41" s="1" cm="1">
        <f t="array" ref="P41">[1]!unf_pvt_Zgas_d($D41,P$36,gg,zcor)</f>
        <v>0.76784764528274541</v>
      </c>
      <c r="Q41" s="1" cm="1">
        <f t="array" ref="Q41">[1]!unf_pvt_Zgas_d($D41,Q$36,gg,zcor)</f>
        <v>0.75133324861526485</v>
      </c>
      <c r="R41" s="1" cm="1">
        <f t="array" ref="R41">[1]!unf_pvt_Zgas_d($D41,R$36,gg,zcor)</f>
        <v>0.73740302324295048</v>
      </c>
      <c r="S41" s="1" cm="1">
        <f t="array" ref="S41">[1]!unf_pvt_Zgas_d($D41,S$36,gg,zcor)</f>
        <v>0.72628477811813341</v>
      </c>
      <c r="T41" s="1" cm="1">
        <f t="array" ref="T41">[1]!unf_pvt_Zgas_d($D41,T$36,gg,zcor)</f>
        <v>0.71806262731552106</v>
      </c>
      <c r="U41" s="1" cm="1">
        <f t="array" ref="U41">[1]!unf_pvt_Zgas_d($D41,U$36,gg,zcor)</f>
        <v>0.71268283128738386</v>
      </c>
      <c r="V41" s="1" cm="1">
        <f t="array" ref="V41">[1]!unf_pvt_Zgas_d($D41,V$36,gg,zcor)</f>
        <v>0.70998066663742065</v>
      </c>
      <c r="W41" s="1" cm="1">
        <f t="array" ref="W41">[1]!unf_pvt_Zgas_d($D41,W$36,gg,zcor)</f>
        <v>0.70972365140914917</v>
      </c>
      <c r="X41" s="1" cm="1">
        <f t="array" ref="X41">[1]!unf_pvt_Zgas_d($D41,X$36,gg,zcor)</f>
        <v>0.71165243387222299</v>
      </c>
      <c r="Y41" s="1" cm="1">
        <f t="array" ref="Y41">[1]!unf_pvt_Zgas_d($D41,Y$36,gg,zcor)</f>
        <v>0.7155041575431822</v>
      </c>
      <c r="Z41" s="1" cm="1">
        <f t="array" ref="Z41">[1]!unf_pvt_Zgas_d($D41,Z$36,gg,zcor)</f>
        <v>0.72103115320205702</v>
      </c>
      <c r="AA41" s="1" cm="1">
        <f t="array" ref="AA41">[1]!unf_pvt_Zgas_d($D41,AA$36,gg,zcor)</f>
        <v>0.72800561189651503</v>
      </c>
      <c r="AB41" s="1" cm="1">
        <f t="array" ref="AB41">[1]!unf_pvt_Zgas_d($D41,AB$36,gg,zcor)</f>
        <v>0.73622776269912737</v>
      </c>
      <c r="AC41" s="1" cm="1">
        <f t="array" ref="AC41">[1]!unf_pvt_Zgas_d($D41,AC$36,gg,zcor)</f>
        <v>0.74552003145217904</v>
      </c>
      <c r="AD41" s="1" cm="1">
        <f t="array" ref="AD41">[1]!unf_pvt_Zgas_d($D41,AD$36,gg,zcor)</f>
        <v>0.75573054552078234</v>
      </c>
      <c r="AE41" s="1" cm="1">
        <f t="array" ref="AE41">[1]!unf_pvt_Zgas_d($D41,AE$36,gg,zcor)</f>
        <v>0.76672729253768912</v>
      </c>
      <c r="AF41" s="1" cm="1">
        <f t="array" ref="AF41">[1]!unf_pvt_Zgas_d($D41,AF$36,gg,zcor)</f>
        <v>0.77839578390121456</v>
      </c>
      <c r="AG41" s="1" cm="1">
        <f t="array" ref="AG41">[1]!unf_pvt_Zgas_d($D41,AG$36,gg,zcor)</f>
        <v>0.79064022302627568</v>
      </c>
      <c r="AH41" s="1" cm="1">
        <f t="array" ref="AH41">[1]!unf_pvt_Zgas_d($D41,AH$36,gg,zcor)</f>
        <v>0.80337766408920297</v>
      </c>
      <c r="AI41" s="1" cm="1">
        <f t="array" ref="AI41">[1]!unf_pvt_Zgas_d($D41,AI$36,gg,zcor)</f>
        <v>0.81653801202774057</v>
      </c>
      <c r="AJ41" s="1" cm="1">
        <f t="array" ref="AJ41">[1]!unf_pvt_Zgas_d($D41,AJ$36,gg,zcor)</f>
        <v>0.83005934953689575</v>
      </c>
      <c r="AK41" s="1" cm="1">
        <f t="array" ref="AK41">[1]!unf_pvt_Zgas_d($D41,AK$36,gg,zcor)</f>
        <v>0.84389261007308969</v>
      </c>
    </row>
    <row r="42" spans="3:37" x14ac:dyDescent="0.3">
      <c r="C42">
        <v>40</v>
      </c>
      <c r="D42" s="2">
        <f t="shared" si="1"/>
        <v>313.14999999999998</v>
      </c>
      <c r="E42" t="str">
        <f t="shared" si="2"/>
        <v>t=40 C</v>
      </c>
      <c r="F42" s="1" cm="1">
        <f t="array" ref="F42">[1]!unf_pvt_Zgas_d($D42,F$36,gg,zcor)</f>
        <v>0.99757953882217421</v>
      </c>
      <c r="G42" s="1" cm="1">
        <f t="array" ref="G42">[1]!unf_pvt_Zgas_d($D42,G$36,gg,zcor)</f>
        <v>0.97577880620956425</v>
      </c>
      <c r="H42" s="1" cm="1">
        <f t="array" ref="H42">[1]!unf_pvt_Zgas_d($D42,H$36,gg,zcor)</f>
        <v>0.95399092435836796</v>
      </c>
      <c r="I42" s="1" cm="1">
        <f t="array" ref="I42">[1]!unf_pvt_Zgas_d($D42,I$36,gg,zcor)</f>
        <v>0.93229767084121717</v>
      </c>
      <c r="J42" s="1" cm="1">
        <f t="array" ref="J42">[1]!unf_pvt_Zgas_d($D42,J$36,gg,zcor)</f>
        <v>0.91080068349838261</v>
      </c>
      <c r="K42" s="1" cm="1">
        <f t="array" ref="K42">[1]!unf_pvt_Zgas_d($D42,K$36,gg,zcor)</f>
        <v>0.88963547945022592</v>
      </c>
      <c r="L42" s="1" cm="1">
        <f t="array" ref="L42">[1]!unf_pvt_Zgas_d($D42,L$36,gg,zcor)</f>
        <v>0.86896911859512338</v>
      </c>
      <c r="M42" s="1" cm="1">
        <f t="array" ref="M42">[1]!unf_pvt_Zgas_d($D42,M$36,gg,zcor)</f>
        <v>0.84900721311569227</v>
      </c>
      <c r="N42" s="1" cm="1">
        <f t="array" ref="N42">[1]!unf_pvt_Zgas_d($D42,N$36,gg,zcor)</f>
        <v>0.82999509572982788</v>
      </c>
      <c r="O42" s="1" cm="1">
        <f t="array" ref="O42">[1]!unf_pvt_Zgas_d($D42,O$36,gg,zcor)</f>
        <v>0.81220847368240356</v>
      </c>
      <c r="P42" s="1" cm="1">
        <f t="array" ref="P42">[1]!unf_pvt_Zgas_d($D42,P$36,gg,zcor)</f>
        <v>0.79593824148178083</v>
      </c>
      <c r="Q42" s="1" cm="1">
        <f t="array" ref="Q42">[1]!unf_pvt_Zgas_d($D42,Q$36,gg,zcor)</f>
        <v>0.78147178888320945</v>
      </c>
      <c r="R42" s="1" cm="1">
        <f t="array" ref="R42">[1]!unf_pvt_Zgas_d($D42,R$36,gg,zcor)</f>
        <v>0.76905444860458361</v>
      </c>
      <c r="S42" s="1" cm="1">
        <f t="array" ref="S42">[1]!unf_pvt_Zgas_d($D42,S$36,gg,zcor)</f>
        <v>0.75886729955673204</v>
      </c>
      <c r="T42" s="1" cm="1">
        <f t="array" ref="T42">[1]!unf_pvt_Zgas_d($D42,T$36,gg,zcor)</f>
        <v>0.75100497007369982</v>
      </c>
      <c r="U42" s="1" cm="1">
        <f t="array" ref="U42">[1]!unf_pvt_Zgas_d($D42,U$36,gg,zcor)</f>
        <v>0.74547213315963745</v>
      </c>
      <c r="V42" s="1" cm="1">
        <f t="array" ref="V42">[1]!unf_pvt_Zgas_d($D42,V$36,gg,zcor)</f>
        <v>0.74219168424606319</v>
      </c>
      <c r="W42" s="1" cm="1">
        <f t="array" ref="W42">[1]!unf_pvt_Zgas_d($D42,W$36,gg,zcor)</f>
        <v>0.74102810621261606</v>
      </c>
      <c r="X42" s="1" cm="1">
        <f t="array" ref="X42">[1]!unf_pvt_Zgas_d($D42,X$36,gg,zcor)</f>
        <v>0.74181083440780626</v>
      </c>
      <c r="Y42" s="1" cm="1">
        <f t="array" ref="Y42">[1]!unf_pvt_Zgas_d($D42,Y$36,gg,zcor)</f>
        <v>0.74435178041458139</v>
      </c>
      <c r="Z42" s="1" cm="1">
        <f t="array" ref="Z42">[1]!unf_pvt_Zgas_d($D42,Z$36,gg,zcor)</f>
        <v>0.74846168756484976</v>
      </c>
      <c r="AA42" s="1" cm="1">
        <f t="array" ref="AA42">[1]!unf_pvt_Zgas_d($D42,AA$36,gg,zcor)</f>
        <v>0.75396064519882189</v>
      </c>
      <c r="AB42" s="1" cm="1">
        <f t="array" ref="AB42">[1]!unf_pvt_Zgas_d($D42,AB$36,gg,zcor)</f>
        <v>0.76068159341812125</v>
      </c>
      <c r="AC42" s="1" cm="1">
        <f t="array" ref="AC42">[1]!unf_pvt_Zgas_d($D42,AC$36,gg,zcor)</f>
        <v>0.76847382783889784</v>
      </c>
      <c r="AD42" s="1" cm="1">
        <f t="array" ref="AD42">[1]!unf_pvt_Zgas_d($D42,AD$36,gg,zcor)</f>
        <v>0.77720183134078979</v>
      </c>
      <c r="AE42" s="1" cm="1">
        <f t="array" ref="AE42">[1]!unf_pvt_Zgas_d($D42,AE$36,gg,zcor)</f>
        <v>0.78674644231796265</v>
      </c>
      <c r="AF42" s="1" cm="1">
        <f t="array" ref="AF42">[1]!unf_pvt_Zgas_d($D42,AF$36,gg,zcor)</f>
        <v>0.79700368642806985</v>
      </c>
      <c r="AG42" s="1" cm="1">
        <f t="array" ref="AG42">[1]!unf_pvt_Zgas_d($D42,AG$36,gg,zcor)</f>
        <v>0.8078824400901794</v>
      </c>
      <c r="AH42" s="1" cm="1">
        <f t="array" ref="AH42">[1]!unf_pvt_Zgas_d($D42,AH$36,gg,zcor)</f>
        <v>0.81930092573165902</v>
      </c>
      <c r="AI42" s="1" cm="1">
        <f t="array" ref="AI42">[1]!unf_pvt_Zgas_d($D42,AI$36,gg,zcor)</f>
        <v>0.83119021654129011</v>
      </c>
      <c r="AJ42" s="1" cm="1">
        <f t="array" ref="AJ42">[1]!unf_pvt_Zgas_d($D42,AJ$36,gg,zcor)</f>
        <v>0.8434895634651185</v>
      </c>
      <c r="AK42" s="1" cm="1">
        <f t="array" ref="AK42">[1]!unf_pvt_Zgas_d($D42,AK$36,gg,zcor)</f>
        <v>0.8561475634574891</v>
      </c>
    </row>
    <row r="43" spans="3:37" x14ac:dyDescent="0.3">
      <c r="C43">
        <v>50</v>
      </c>
      <c r="D43" s="2">
        <f t="shared" si="1"/>
        <v>323.14999999999998</v>
      </c>
      <c r="E43" t="str">
        <f t="shared" si="2"/>
        <v>t=50 C</v>
      </c>
      <c r="F43" s="1" cm="1">
        <f t="array" ref="F43">[1]!unf_pvt_Zgas_d($D43,F$36,gg,zcor)</f>
        <v>0.99781085252761836</v>
      </c>
      <c r="G43" s="1" cm="1">
        <f t="array" ref="G43">[1]!unf_pvt_Zgas_d($D43,G$36,gg,zcor)</f>
        <v>0.9781503558158875</v>
      </c>
      <c r="H43" s="1" cm="1">
        <f t="array" ref="H43">[1]!unf_pvt_Zgas_d($D43,H$36,gg,zcor)</f>
        <v>0.95860084295272818</v>
      </c>
      <c r="I43" s="1" cm="1">
        <f t="array" ref="I43">[1]!unf_pvt_Zgas_d($D43,I$36,gg,zcor)</f>
        <v>0.93924058675766009</v>
      </c>
      <c r="J43" s="1" cm="1">
        <f t="array" ref="J43">[1]!unf_pvt_Zgas_d($D43,J$36,gg,zcor)</f>
        <v>0.92016421556472783</v>
      </c>
      <c r="K43" s="1" cm="1">
        <f t="array" ref="K43">[1]!unf_pvt_Zgas_d($D43,K$36,gg,zcor)</f>
        <v>0.90148738622665414</v>
      </c>
      <c r="L43" s="1" cm="1">
        <f t="array" ref="L43">[1]!unf_pvt_Zgas_d($D43,L$36,gg,zcor)</f>
        <v>0.88335028886795053</v>
      </c>
      <c r="M43" s="1" cm="1">
        <f t="array" ref="M43">[1]!unf_pvt_Zgas_d($D43,M$36,gg,zcor)</f>
        <v>0.86591297388076804</v>
      </c>
      <c r="N43" s="1" cm="1">
        <f t="array" ref="N43">[1]!unf_pvt_Zgas_d($D43,N$36,gg,zcor)</f>
        <v>0.8493646979331968</v>
      </c>
      <c r="O43" s="1" cm="1">
        <f t="array" ref="O43">[1]!unf_pvt_Zgas_d($D43,O$36,gg,zcor)</f>
        <v>0.83390523195266719</v>
      </c>
      <c r="P43" s="1" cm="1">
        <f t="array" ref="P43">[1]!unf_pvt_Zgas_d($D43,P$36,gg,zcor)</f>
        <v>0.81974719762802128</v>
      </c>
      <c r="Q43" s="1" cm="1">
        <f t="array" ref="Q43">[1]!unf_pvt_Zgas_d($D43,Q$36,gg,zcor)</f>
        <v>0.80709153413772583</v>
      </c>
      <c r="R43" s="1" cm="1">
        <f t="array" ref="R43">[1]!unf_pvt_Zgas_d($D43,R$36,gg,zcor)</f>
        <v>0.79611815214157078</v>
      </c>
      <c r="S43" s="1" cm="1">
        <f t="array" ref="S43">[1]!unf_pvt_Zgas_d($D43,S$36,gg,zcor)</f>
        <v>0.78696373701095568</v>
      </c>
      <c r="T43" s="1" cm="1">
        <f t="array" ref="T43">[1]!unf_pvt_Zgas_d($D43,T$36,gg,zcor)</f>
        <v>0.77971240282058707</v>
      </c>
      <c r="U43" s="1" cm="1">
        <f t="array" ref="U43">[1]!unf_pvt_Zgas_d($D43,U$36,gg,zcor)</f>
        <v>0.77438868284225459</v>
      </c>
      <c r="V43" s="1" cm="1">
        <f t="array" ref="V43">[1]!unf_pvt_Zgas_d($D43,V$36,gg,zcor)</f>
        <v>0.77095986604690547</v>
      </c>
      <c r="W43" s="1" cm="1">
        <f t="array" ref="W43">[1]!unf_pvt_Zgas_d($D43,W$36,gg,zcor)</f>
        <v>0.76935001611709586</v>
      </c>
      <c r="X43" s="1" cm="1">
        <f t="array" ref="X43">[1]!unf_pvt_Zgas_d($D43,X$36,gg,zcor)</f>
        <v>0.76944581270217904</v>
      </c>
      <c r="Y43" s="1" cm="1">
        <f t="array" ref="Y43">[1]!unf_pvt_Zgas_d($D43,Y$36,gg,zcor)</f>
        <v>0.77111641168594369</v>
      </c>
      <c r="Z43" s="1" cm="1">
        <f t="array" ref="Z43">[1]!unf_pvt_Zgas_d($D43,Z$36,gg,zcor)</f>
        <v>0.77422279119491577</v>
      </c>
      <c r="AA43" s="1" cm="1">
        <f t="array" ref="AA43">[1]!unf_pvt_Zgas_d($D43,AA$36,gg,zcor)</f>
        <v>0.7786235928535461</v>
      </c>
      <c r="AB43" s="1" cm="1">
        <f t="array" ref="AB43">[1]!unf_pvt_Zgas_d($D43,AB$36,gg,zcor)</f>
        <v>0.78418446779251094</v>
      </c>
      <c r="AC43" s="1" cm="1">
        <f t="array" ref="AC43">[1]!unf_pvt_Zgas_d($D43,AC$36,gg,zcor)</f>
        <v>0.79077924489974971</v>
      </c>
      <c r="AD43" s="1" cm="1">
        <f t="array" ref="AD43">[1]!unf_pvt_Zgas_d($D43,AD$36,gg,zcor)</f>
        <v>0.79829460382461548</v>
      </c>
      <c r="AE43" s="1" cm="1">
        <f t="array" ref="AE43">[1]!unf_pvt_Zgas_d($D43,AE$36,gg,zcor)</f>
        <v>0.80662306547164908</v>
      </c>
      <c r="AF43" s="1" cm="1">
        <f t="array" ref="AF43">[1]!unf_pvt_Zgas_d($D43,AF$36,gg,zcor)</f>
        <v>0.81567467451095577</v>
      </c>
      <c r="AG43" s="1" cm="1">
        <f t="array" ref="AG43">[1]!unf_pvt_Zgas_d($D43,AG$36,gg,zcor)</f>
        <v>0.82536298036575317</v>
      </c>
      <c r="AH43" s="1" cm="1">
        <f t="array" ref="AH43">[1]!unf_pvt_Zgas_d($D43,AH$36,gg,zcor)</f>
        <v>0.83561438322067261</v>
      </c>
      <c r="AI43" s="1" cm="1">
        <f t="array" ref="AI43">[1]!unf_pvt_Zgas_d($D43,AI$36,gg,zcor)</f>
        <v>0.8463646292686462</v>
      </c>
      <c r="AJ43" s="1" cm="1">
        <f t="array" ref="AJ43">[1]!unf_pvt_Zgas_d($D43,AJ$36,gg,zcor)</f>
        <v>0.85755413770675681</v>
      </c>
      <c r="AK43" s="1" cm="1">
        <f t="array" ref="AK43">[1]!unf_pvt_Zgas_d($D43,AK$36,gg,zcor)</f>
        <v>0.86913150548934937</v>
      </c>
    </row>
    <row r="44" spans="3:37" x14ac:dyDescent="0.3">
      <c r="C44">
        <v>60</v>
      </c>
      <c r="D44" s="2">
        <f t="shared" si="1"/>
        <v>333.15</v>
      </c>
      <c r="E44" t="str">
        <f t="shared" si="2"/>
        <v>t=60 C</v>
      </c>
      <c r="F44" s="1" cm="1">
        <f t="array" ref="F44">[1]!unf_pvt_Zgas_d($D44,F$36,gg,zcor)</f>
        <v>0.99801646471023564</v>
      </c>
      <c r="G44" s="1" cm="1">
        <f t="array" ref="G44">[1]!unf_pvt_Zgas_d($D44,G$36,gg,zcor)</f>
        <v>0.98023918867111215</v>
      </c>
      <c r="H44" s="1" cm="1">
        <f t="array" ref="H44">[1]!unf_pvt_Zgas_d($D44,H$36,gg,zcor)</f>
        <v>0.96264649629592913</v>
      </c>
      <c r="I44" s="1" cm="1">
        <f t="array" ref="I44">[1]!unf_pvt_Zgas_d($D44,I$36,gg,zcor)</f>
        <v>0.94531081914901738</v>
      </c>
      <c r="J44" s="1" cm="1">
        <f t="array" ref="J44">[1]!unf_pvt_Zgas_d($D44,J$36,gg,zcor)</f>
        <v>0.92831743955612178</v>
      </c>
      <c r="K44" s="1" cm="1">
        <f t="array" ref="K44">[1]!unf_pvt_Zgas_d($D44,K$36,gg,zcor)</f>
        <v>0.91176449060440068</v>
      </c>
      <c r="L44" s="1" cm="1">
        <f t="array" ref="L44">[1]!unf_pvt_Zgas_d($D44,L$36,gg,zcor)</f>
        <v>0.89576762914657593</v>
      </c>
      <c r="M44" s="1" cm="1">
        <f t="array" ref="M44">[1]!unf_pvt_Zgas_d($D44,M$36,gg,zcor)</f>
        <v>0.88045886754989611</v>
      </c>
      <c r="N44" s="1" cm="1">
        <f t="array" ref="N44">[1]!unf_pvt_Zgas_d($D44,N$36,gg,zcor)</f>
        <v>0.86598190069198622</v>
      </c>
      <c r="O44" s="1" cm="1">
        <f t="array" ref="O44">[1]!unf_pvt_Zgas_d($D44,O$36,gg,zcor)</f>
        <v>0.8524874329566956</v>
      </c>
      <c r="P44" s="1" cm="1">
        <f t="array" ref="P44">[1]!unf_pvt_Zgas_d($D44,P$36,gg,zcor)</f>
        <v>0.84013317823410039</v>
      </c>
      <c r="Q44" s="1" cm="1">
        <f t="array" ref="Q44">[1]!unf_pvt_Zgas_d($D44,Q$36,gg,zcor)</f>
        <v>0.82906516790390028</v>
      </c>
      <c r="R44" s="1" cm="1">
        <f t="array" ref="R44">[1]!unf_pvt_Zgas_d($D44,R$36,gg,zcor)</f>
        <v>0.81941541433334364</v>
      </c>
      <c r="S44" s="1" cm="1">
        <f t="array" ref="S44">[1]!unf_pvt_Zgas_d($D44,S$36,gg,zcor)</f>
        <v>0.81128672361373888</v>
      </c>
      <c r="T44" s="1" cm="1">
        <f t="array" ref="T44">[1]!unf_pvt_Zgas_d($D44,T$36,gg,zcor)</f>
        <v>0.80474802255630506</v>
      </c>
      <c r="U44" s="1" cm="1">
        <f t="array" ref="U44">[1]!unf_pvt_Zgas_d($D44,U$36,gg,zcor)</f>
        <v>0.79982501268386841</v>
      </c>
      <c r="V44" s="1" cm="1">
        <f t="array" ref="V44">[1]!unf_pvt_Zgas_d($D44,V$36,gg,zcor)</f>
        <v>0.79650951623916622</v>
      </c>
      <c r="W44" s="1" cm="1">
        <f t="array" ref="W44">[1]!unf_pvt_Zgas_d($D44,W$36,gg,zcor)</f>
        <v>0.79475597143173204</v>
      </c>
      <c r="X44" s="1" cm="1">
        <f t="array" ref="X44">[1]!unf_pvt_Zgas_d($D44,X$36,gg,zcor)</f>
        <v>0.79448961019515996</v>
      </c>
      <c r="Y44" s="1" cm="1">
        <f t="array" ref="Y44">[1]!unf_pvt_Zgas_d($D44,Y$36,gg,zcor)</f>
        <v>0.795621645450592</v>
      </c>
      <c r="Z44" s="1" cm="1">
        <f t="array" ref="Z44">[1]!unf_pvt_Zgas_d($D44,Z$36,gg,zcor)</f>
        <v>0.79804576635360713</v>
      </c>
      <c r="AA44" s="1" cm="1">
        <f t="array" ref="AA44">[1]!unf_pvt_Zgas_d($D44,AA$36,gg,zcor)</f>
        <v>0.80165683031082136</v>
      </c>
      <c r="AB44" s="1" cm="1">
        <f t="array" ref="AB44">[1]!unf_pvt_Zgas_d($D44,AB$36,gg,zcor)</f>
        <v>0.80634735822677617</v>
      </c>
      <c r="AC44" s="1" cm="1">
        <f t="array" ref="AC44">[1]!unf_pvt_Zgas_d($D44,AC$36,gg,zcor)</f>
        <v>0.81201454401016226</v>
      </c>
      <c r="AD44" s="1" cm="1">
        <f t="array" ref="AD44">[1]!unf_pvt_Zgas_d($D44,AD$36,gg,zcor)</f>
        <v>0.81856259107589735</v>
      </c>
      <c r="AE44" s="1" cm="1">
        <f t="array" ref="AE44">[1]!unf_pvt_Zgas_d($D44,AE$36,gg,zcor)</f>
        <v>0.82589920759201063</v>
      </c>
      <c r="AF44" s="1" cm="1">
        <f t="array" ref="AF44">[1]!unf_pvt_Zgas_d($D44,AF$36,gg,zcor)</f>
        <v>0.83394612073898311</v>
      </c>
      <c r="AG44" s="1" cm="1">
        <f t="array" ref="AG44">[1]!unf_pvt_Zgas_d($D44,AG$36,gg,zcor)</f>
        <v>0.8426262259483337</v>
      </c>
      <c r="AH44" s="1" cm="1">
        <f t="array" ref="AH44">[1]!unf_pvt_Zgas_d($D44,AH$36,gg,zcor)</f>
        <v>0.85187410116195683</v>
      </c>
      <c r="AI44" s="1" cm="1">
        <f t="array" ref="AI44">[1]!unf_pvt_Zgas_d($D44,AI$36,gg,zcor)</f>
        <v>0.8616278290748598</v>
      </c>
      <c r="AJ44" s="1" cm="1">
        <f t="array" ref="AJ44">[1]!unf_pvt_Zgas_d($D44,AJ$36,gg,zcor)</f>
        <v>0.87183600664138794</v>
      </c>
      <c r="AK44" s="1" cm="1">
        <f t="array" ref="AK44">[1]!unf_pvt_Zgas_d($D44,AK$36,gg,zcor)</f>
        <v>0.88244839906692518</v>
      </c>
    </row>
    <row r="45" spans="3:37" x14ac:dyDescent="0.3">
      <c r="C45">
        <v>70</v>
      </c>
      <c r="D45" s="2">
        <f t="shared" si="1"/>
        <v>343.15</v>
      </c>
      <c r="E45" t="str">
        <f t="shared" si="2"/>
        <v>t=70 C</v>
      </c>
      <c r="F45" s="1" cm="1">
        <f t="array" ref="F45">[1]!unf_pvt_Zgas_d($D45,F$36,gg,zcor)</f>
        <v>0.99819754362106328</v>
      </c>
      <c r="G45" s="1" cm="1">
        <f t="array" ref="G45">[1]!unf_pvt_Zgas_d($D45,G$36,gg,zcor)</f>
        <v>0.9820873618125916</v>
      </c>
      <c r="H45" s="1" cm="1">
        <f t="array" ref="H45">[1]!unf_pvt_Zgas_d($D45,H$36,gg,zcor)</f>
        <v>0.96621550321578975</v>
      </c>
      <c r="I45" s="1" cm="1">
        <f t="array" ref="I45">[1]!unf_pvt_Zgas_d($D45,I$36,gg,zcor)</f>
        <v>0.9506485581398012</v>
      </c>
      <c r="J45" s="1" cm="1">
        <f t="array" ref="J45">[1]!unf_pvt_Zgas_d($D45,J$36,gg,zcor)</f>
        <v>0.93546012639999376</v>
      </c>
      <c r="K45" s="1" cm="1">
        <f t="array" ref="K45">[1]!unf_pvt_Zgas_d($D45,K$36,gg,zcor)</f>
        <v>0.92073665857315068</v>
      </c>
      <c r="L45" s="1" cm="1">
        <f t="array" ref="L45">[1]!unf_pvt_Zgas_d($D45,L$36,gg,zcor)</f>
        <v>0.90657395124435447</v>
      </c>
      <c r="M45" s="1" cm="1">
        <f t="array" ref="M45">[1]!unf_pvt_Zgas_d($D45,M$36,gg,zcor)</f>
        <v>0.89307831525802617</v>
      </c>
      <c r="N45" s="1" cm="1">
        <f t="array" ref="N45">[1]!unf_pvt_Zgas_d($D45,N$36,gg,zcor)</f>
        <v>0.88036307096481337</v>
      </c>
      <c r="O45" s="1" cm="1">
        <f t="array" ref="O45">[1]!unf_pvt_Zgas_d($D45,O$36,gg,zcor)</f>
        <v>0.86854621171951307</v>
      </c>
      <c r="P45" s="1" cm="1">
        <f t="array" ref="P45">[1]!unf_pvt_Zgas_d($D45,P$36,gg,zcor)</f>
        <v>0.8577422261238099</v>
      </c>
      <c r="Q45" s="1" cm="1">
        <f t="array" ref="Q45">[1]!unf_pvt_Zgas_d($D45,Q$36,gg,zcor)</f>
        <v>0.84806209802627586</v>
      </c>
      <c r="R45" s="1" cm="1">
        <f t="array" ref="R45">[1]!unf_pvt_Zgas_d($D45,R$36,gg,zcor)</f>
        <v>0.8396039605140686</v>
      </c>
      <c r="S45" s="1" cm="1">
        <f t="array" ref="S45">[1]!unf_pvt_Zgas_d($D45,S$36,gg,zcor)</f>
        <v>0.83244491815567012</v>
      </c>
      <c r="T45" s="1" cm="1">
        <f t="array" ref="T45">[1]!unf_pvt_Zgas_d($D45,T$36,gg,zcor)</f>
        <v>0.82663754224777231</v>
      </c>
      <c r="U45" s="1" cm="1">
        <f t="array" ref="U45">[1]!unf_pvt_Zgas_d($D45,U$36,gg,zcor)</f>
        <v>0.8222087025642395</v>
      </c>
      <c r="V45" s="1" cm="1">
        <f t="array" ref="V45">[1]!unf_pvt_Zgas_d($D45,V$36,gg,zcor)</f>
        <v>0.81915489435195932</v>
      </c>
      <c r="W45" s="1" cm="1">
        <f t="array" ref="W45">[1]!unf_pvt_Zgas_d($D45,W$36,gg,zcor)</f>
        <v>0.81744924783706674</v>
      </c>
      <c r="X45" s="1" cm="1">
        <f t="array" ref="X45">[1]!unf_pvt_Zgas_d($D45,X$36,gg,zcor)</f>
        <v>0.8170438647270204</v>
      </c>
      <c r="Y45" s="1" cm="1">
        <f t="array" ref="Y45">[1]!unf_pvt_Zgas_d($D45,Y$36,gg,zcor)</f>
        <v>0.81787215471267705</v>
      </c>
      <c r="Z45" s="1" cm="1">
        <f t="array" ref="Z45">[1]!unf_pvt_Zgas_d($D45,Z$36,gg,zcor)</f>
        <v>0.81985934972763075</v>
      </c>
      <c r="AA45" s="1" cm="1">
        <f t="array" ref="AA45">[1]!unf_pvt_Zgas_d($D45,AA$36,gg,zcor)</f>
        <v>0.82292250394821176</v>
      </c>
      <c r="AB45" s="1" cm="1">
        <f t="array" ref="AB45">[1]!unf_pvt_Zgas_d($D45,AB$36,gg,zcor)</f>
        <v>0.82697633504867563</v>
      </c>
      <c r="AC45" s="1" cm="1">
        <f t="array" ref="AC45">[1]!unf_pvt_Zgas_d($D45,AC$36,gg,zcor)</f>
        <v>0.83193906545639051</v>
      </c>
      <c r="AD45" s="1" cm="1">
        <f t="array" ref="AD45">[1]!unf_pvt_Zgas_d($D45,AD$36,gg,zcor)</f>
        <v>0.83773008584976205</v>
      </c>
      <c r="AE45" s="1" cm="1">
        <f t="array" ref="AE45">[1]!unf_pvt_Zgas_d($D45,AE$36,gg,zcor)</f>
        <v>0.84427462816238408</v>
      </c>
      <c r="AF45" s="1" cm="1">
        <f t="array" ref="AF45">[1]!unf_pvt_Zgas_d($D45,AF$36,gg,zcor)</f>
        <v>0.85150026082992558</v>
      </c>
      <c r="AG45" s="1" cm="1">
        <f t="array" ref="AG45">[1]!unf_pvt_Zgas_d($D45,AG$36,gg,zcor)</f>
        <v>0.85934156179428101</v>
      </c>
      <c r="AH45" s="1" cm="1">
        <f t="array" ref="AH45">[1]!unf_pvt_Zgas_d($D45,AH$36,gg,zcor)</f>
        <v>0.86774128675460838</v>
      </c>
      <c r="AI45" s="1" cm="1">
        <f t="array" ref="AI45">[1]!unf_pvt_Zgas_d($D45,AI$36,gg,zcor)</f>
        <v>0.87664452791213998</v>
      </c>
      <c r="AJ45" s="1" cm="1">
        <f t="array" ref="AJ45">[1]!unf_pvt_Zgas_d($D45,AJ$36,gg,zcor)</f>
        <v>0.88600105047225952</v>
      </c>
      <c r="AK45" s="1" cm="1">
        <f t="array" ref="AK45">[1]!unf_pvt_Zgas_d($D45,AK$36,gg,zcor)</f>
        <v>0.89576646089553846</v>
      </c>
    </row>
    <row r="46" spans="3:37" x14ac:dyDescent="0.3">
      <c r="C46">
        <v>80</v>
      </c>
      <c r="D46" s="2">
        <f t="shared" si="1"/>
        <v>353.15</v>
      </c>
      <c r="E46" t="str">
        <f t="shared" si="2"/>
        <v>t=80 C</v>
      </c>
      <c r="F46" s="1" cm="1">
        <f t="array" ref="F46">[1]!unf_pvt_Zgas_d($D46,F$36,gg,zcor)</f>
        <v>0.99835993051528926</v>
      </c>
      <c r="G46" s="1" cm="1">
        <f t="array" ref="G46">[1]!unf_pvt_Zgas_d($D46,G$36,gg,zcor)</f>
        <v>0.98373109102249146</v>
      </c>
      <c r="H46" s="1" cm="1">
        <f t="array" ref="H46">[1]!unf_pvt_Zgas_d($D46,H$36,gg,zcor)</f>
        <v>0.96937912702560425</v>
      </c>
      <c r="I46" s="1" cm="1">
        <f t="array" ref="I46">[1]!unf_pvt_Zgas_d($D46,I$36,gg,zcor)</f>
        <v>0.95536361932754521</v>
      </c>
      <c r="J46" s="1" cm="1">
        <f t="array" ref="J46">[1]!unf_pvt_Zgas_d($D46,J$36,gg,zcor)</f>
        <v>0.94175232648849483</v>
      </c>
      <c r="K46" s="1" cm="1">
        <f t="array" ref="K46">[1]!unf_pvt_Zgas_d($D46,K$36,gg,zcor)</f>
        <v>0.92861768007278456</v>
      </c>
      <c r="L46" s="1" cm="1">
        <f t="array" ref="L46">[1]!unf_pvt_Zgas_d($D46,L$36,gg,zcor)</f>
        <v>0.91603912115097064</v>
      </c>
      <c r="M46" s="1" cm="1">
        <f t="array" ref="M46">[1]!unf_pvt_Zgas_d($D46,M$36,gg,zcor)</f>
        <v>0.90410543680191058</v>
      </c>
      <c r="N46" s="1" cm="1">
        <f t="array" ref="N46">[1]!unf_pvt_Zgas_d($D46,N$36,gg,zcor)</f>
        <v>0.89290424585342443</v>
      </c>
      <c r="O46" s="1" cm="1">
        <f t="array" ref="O46">[1]!unf_pvt_Zgas_d($D46,O$36,gg,zcor)</f>
        <v>0.88252900838851955</v>
      </c>
      <c r="P46" s="1" cm="1">
        <f t="array" ref="P46">[1]!unf_pvt_Zgas_d($D46,P$36,gg,zcor)</f>
        <v>0.87306734323501578</v>
      </c>
      <c r="Q46" s="1" cm="1">
        <f t="array" ref="Q46">[1]!unf_pvt_Zgas_d($D46,Q$36,gg,zcor)</f>
        <v>0.86460336446762076</v>
      </c>
      <c r="R46" s="1" cm="1">
        <f t="array" ref="R46">[1]!unf_pvt_Zgas_d($D46,R$36,gg,zcor)</f>
        <v>0.85720950365066528</v>
      </c>
      <c r="S46" s="1" cm="1">
        <f t="array" ref="S46">[1]!unf_pvt_Zgas_d($D46,S$36,gg,zcor)</f>
        <v>0.85094417333602901</v>
      </c>
      <c r="T46" s="1" cm="1">
        <f t="array" ref="T46">[1]!unf_pvt_Zgas_d($D46,T$36,gg,zcor)</f>
        <v>0.84584826231002808</v>
      </c>
      <c r="U46" s="1" cm="1">
        <f t="array" ref="U46">[1]!unf_pvt_Zgas_d($D46,U$36,gg,zcor)</f>
        <v>0.84194279909133907</v>
      </c>
      <c r="V46" s="1" cm="1">
        <f t="array" ref="V46">[1]!unf_pvt_Zgas_d($D46,V$36,gg,zcor)</f>
        <v>0.83922895193099967</v>
      </c>
      <c r="W46" s="1" cm="1">
        <f t="array" ref="W46">[1]!unf_pvt_Zgas_d($D46,W$36,gg,zcor)</f>
        <v>0.83768802881240845</v>
      </c>
      <c r="X46" s="1" cm="1">
        <f t="array" ref="X46">[1]!unf_pvt_Zgas_d($D46,X$36,gg,zcor)</f>
        <v>0.83728731870651241</v>
      </c>
      <c r="Y46" s="1" cm="1">
        <f t="array" ref="Y46">[1]!unf_pvt_Zgas_d($D46,Y$36,gg,zcor)</f>
        <v>0.8379789233207704</v>
      </c>
      <c r="Z46" s="1" cm="1">
        <f t="array" ref="Z46">[1]!unf_pvt_Zgas_d($D46,Z$36,gg,zcor)</f>
        <v>0.83970559835433956</v>
      </c>
      <c r="AA46" s="1" cm="1">
        <f t="array" ref="AA46">[1]!unf_pvt_Zgas_d($D46,AA$36,gg,zcor)</f>
        <v>0.84240192174911499</v>
      </c>
      <c r="AB46" s="1" cm="1">
        <f t="array" ref="AB46">[1]!unf_pvt_Zgas_d($D46,AB$36,gg,zcor)</f>
        <v>0.8460048079490663</v>
      </c>
      <c r="AC46" s="1" cm="1">
        <f t="array" ref="AC46">[1]!unf_pvt_Zgas_d($D46,AC$36,gg,zcor)</f>
        <v>0.85044416189193717</v>
      </c>
      <c r="AD46" s="1" cm="1">
        <f t="array" ref="AD46">[1]!unf_pvt_Zgas_d($D46,AD$36,gg,zcor)</f>
        <v>0.85565339326858547</v>
      </c>
      <c r="AE46" s="1" cm="1">
        <f t="array" ref="AE46">[1]!unf_pvt_Zgas_d($D46,AE$36,gg,zcor)</f>
        <v>0.86157175302505529</v>
      </c>
      <c r="AF46" s="1" cm="1">
        <f t="array" ref="AF46">[1]!unf_pvt_Zgas_d($D46,AF$36,gg,zcor)</f>
        <v>0.86813615560531643</v>
      </c>
      <c r="AG46" s="1" cm="1">
        <f t="array" ref="AG46">[1]!unf_pvt_Zgas_d($D46,AG$36,gg,zcor)</f>
        <v>0.87529052495956416</v>
      </c>
      <c r="AH46" s="1" cm="1">
        <f t="array" ref="AH46">[1]!unf_pvt_Zgas_d($D46,AH$36,gg,zcor)</f>
        <v>0.88298345804214495</v>
      </c>
      <c r="AI46" s="1" cm="1">
        <f t="array" ref="AI46">[1]!unf_pvt_Zgas_d($D46,AI$36,gg,zcor)</f>
        <v>0.89116705656051654</v>
      </c>
      <c r="AJ46" s="1" cm="1">
        <f t="array" ref="AJ46">[1]!unf_pvt_Zgas_d($D46,AJ$36,gg,zcor)</f>
        <v>0.89979575872421291</v>
      </c>
      <c r="AK46" s="1" cm="1">
        <f t="array" ref="AK46">[1]!unf_pvt_Zgas_d($D46,AK$36,gg,zcor)</f>
        <v>0.90882984399795541</v>
      </c>
    </row>
    <row r="47" spans="3:37" x14ac:dyDescent="0.3">
      <c r="C47">
        <v>90</v>
      </c>
      <c r="D47" s="2">
        <f t="shared" si="1"/>
        <v>363.15</v>
      </c>
      <c r="E47" t="str">
        <f t="shared" si="2"/>
        <v>t=90 C</v>
      </c>
      <c r="F47" s="1" cm="1">
        <f t="array" ref="F47">[1]!unf_pvt_Zgas_d($D47,F$36,gg,zcor)</f>
        <v>0.9985047936439515</v>
      </c>
      <c r="G47" s="1" cm="1">
        <f t="array" ref="G47">[1]!unf_pvt_Zgas_d($D47,G$36,gg,zcor)</f>
        <v>0.98519724607467651</v>
      </c>
      <c r="H47" s="1" cm="1">
        <f t="array" ref="H47">[1]!unf_pvt_Zgas_d($D47,H$36,gg,zcor)</f>
        <v>0.9721946120262146</v>
      </c>
      <c r="I47" s="1" cm="1">
        <f t="array" ref="I47">[1]!unf_pvt_Zgas_d($D47,I$36,gg,zcor)</f>
        <v>0.95955063104629512</v>
      </c>
      <c r="J47" s="1" cm="1">
        <f t="array" ref="J47">[1]!unf_pvt_Zgas_d($D47,J$36,gg,zcor)</f>
        <v>0.94732371568679818</v>
      </c>
      <c r="K47" s="1" cm="1">
        <f t="array" ref="K47">[1]!unf_pvt_Zgas_d($D47,K$36,gg,zcor)</f>
        <v>0.93557811975479144</v>
      </c>
      <c r="L47" s="1" cm="1">
        <f t="array" ref="L47">[1]!unf_pvt_Zgas_d($D47,L$36,gg,zcor)</f>
        <v>0.92437926530838022</v>
      </c>
      <c r="M47" s="1" cm="1">
        <f t="array" ref="M47">[1]!unf_pvt_Zgas_d($D47,M$36,gg,zcor)</f>
        <v>0.91379958391189575</v>
      </c>
      <c r="N47" s="1" cm="1">
        <f t="array" ref="N47">[1]!unf_pvt_Zgas_d($D47,N$36,gg,zcor)</f>
        <v>0.90391033887863181</v>
      </c>
      <c r="O47" s="1" cm="1">
        <f t="array" ref="O47">[1]!unf_pvt_Zgas_d($D47,O$36,gg,zcor)</f>
        <v>0.89478513002395643</v>
      </c>
      <c r="P47" s="1" cm="1">
        <f t="array" ref="P47">[1]!unf_pvt_Zgas_d($D47,P$36,gg,zcor)</f>
        <v>0.88649171590805054</v>
      </c>
      <c r="Q47" s="1" cm="1">
        <f t="array" ref="Q47">[1]!unf_pvt_Zgas_d($D47,Q$36,gg,zcor)</f>
        <v>0.87909435033798222</v>
      </c>
      <c r="R47" s="1" cm="1">
        <f t="array" ref="R47">[1]!unf_pvt_Zgas_d($D47,R$36,gg,zcor)</f>
        <v>0.87264794111251831</v>
      </c>
      <c r="S47" s="1" cm="1">
        <f t="array" ref="S47">[1]!unf_pvt_Zgas_d($D47,S$36,gg,zcor)</f>
        <v>0.86719688177108778</v>
      </c>
      <c r="T47" s="1" cm="1">
        <f t="array" ref="T47">[1]!unf_pvt_Zgas_d($D47,T$36,gg,zcor)</f>
        <v>0.86277154684066781</v>
      </c>
      <c r="U47" s="1" cm="1">
        <f t="array" ref="U47">[1]!unf_pvt_Zgas_d($D47,U$36,gg,zcor)</f>
        <v>0.85938829183578513</v>
      </c>
      <c r="V47" s="1" cm="1">
        <f t="array" ref="V47">[1]!unf_pvt_Zgas_d($D47,V$36,gg,zcor)</f>
        <v>0.85704828500747698</v>
      </c>
      <c r="W47" s="1" cm="1">
        <f t="array" ref="W47">[1]!unf_pvt_Zgas_d($D47,W$36,gg,zcor)</f>
        <v>0.85573867559432992</v>
      </c>
      <c r="X47" s="1" cm="1">
        <f t="array" ref="X47">[1]!unf_pvt_Zgas_d($D47,X$36,gg,zcor)</f>
        <v>0.85543493032455453</v>
      </c>
      <c r="Y47" s="1" cm="1">
        <f t="array" ref="Y47">[1]!unf_pvt_Zgas_d($D47,Y$36,gg,zcor)</f>
        <v>0.8561008334159852</v>
      </c>
      <c r="Z47" s="1" cm="1">
        <f t="array" ref="Z47">[1]!unf_pvt_Zgas_d($D47,Z$36,gg,zcor)</f>
        <v>0.85769199132919316</v>
      </c>
      <c r="AA47" s="1" cm="1">
        <f t="array" ref="AA47">[1]!unf_pvt_Zgas_d($D47,AA$36,gg,zcor)</f>
        <v>0.86015933752059937</v>
      </c>
      <c r="AB47" s="1" cm="1">
        <f t="array" ref="AB47">[1]!unf_pvt_Zgas_d($D47,AB$36,gg,zcor)</f>
        <v>0.86344913244247423</v>
      </c>
      <c r="AC47" s="1" cm="1">
        <f t="array" ref="AC47">[1]!unf_pvt_Zgas_d($D47,AC$36,gg,zcor)</f>
        <v>0.86750646829605116</v>
      </c>
      <c r="AD47" s="1" cm="1">
        <f t="array" ref="AD47">[1]!unf_pvt_Zgas_d($D47,AD$36,gg,zcor)</f>
        <v>0.87227643728256221</v>
      </c>
      <c r="AE47" s="1" cm="1">
        <f t="array" ref="AE47">[1]!unf_pvt_Zgas_d($D47,AE$36,gg,zcor)</f>
        <v>0.87770646810531638</v>
      </c>
      <c r="AF47" s="1" cm="1">
        <f t="array" ref="AF47">[1]!unf_pvt_Zgas_d($D47,AF$36,gg,zcor)</f>
        <v>0.88374398946762089</v>
      </c>
      <c r="AG47" s="1" cm="1">
        <f t="array" ref="AG47">[1]!unf_pvt_Zgas_d($D47,AG$36,gg,zcor)</f>
        <v>0.89034110307693481</v>
      </c>
      <c r="AH47" s="1" cm="1">
        <f t="array" ref="AH47">[1]!unf_pvt_Zgas_d($D47,AH$36,gg,zcor)</f>
        <v>0.89745107889175446</v>
      </c>
      <c r="AI47" s="1" cm="1">
        <f t="array" ref="AI47">[1]!unf_pvt_Zgas_d($D47,AI$36,gg,zcor)</f>
        <v>0.90503302812576303</v>
      </c>
      <c r="AJ47" s="1" cm="1">
        <f t="array" ref="AJ47">[1]!unf_pvt_Zgas_d($D47,AJ$36,gg,zcor)</f>
        <v>0.9130448937416078</v>
      </c>
      <c r="AK47" s="1" cm="1">
        <f t="array" ref="AK47">[1]!unf_pvt_Zgas_d($D47,AK$36,gg,zcor)</f>
        <v>0.92145279645919809</v>
      </c>
    </row>
    <row r="48" spans="3:37" x14ac:dyDescent="0.3">
      <c r="C48">
        <v>100</v>
      </c>
      <c r="D48" s="2">
        <f t="shared" si="1"/>
        <v>373.15</v>
      </c>
      <c r="E48" t="str">
        <f t="shared" si="2"/>
        <v>t=100 C</v>
      </c>
      <c r="F48" s="1" cm="1">
        <f t="array" ref="F48">[1]!unf_pvt_Zgas_d($D48,F$36,gg,zcor)</f>
        <v>0.99863446950912471</v>
      </c>
      <c r="G48" s="1" cm="1">
        <f t="array" ref="G48">[1]!unf_pvt_Zgas_d($D48,G$36,gg,zcor)</f>
        <v>0.98651036024093641</v>
      </c>
      <c r="H48" s="1" cm="1">
        <f t="array" ref="H48">[1]!unf_pvt_Zgas_d($D48,H$36,gg,zcor)</f>
        <v>0.9747098565101624</v>
      </c>
      <c r="I48" s="1" cm="1">
        <f t="array" ref="I48">[1]!unf_pvt_Zgas_d($D48,I$36,gg,zcor)</f>
        <v>0.96328319311141986</v>
      </c>
      <c r="J48" s="1" cm="1">
        <f t="array" ref="J48">[1]!unf_pvt_Zgas_d($D48,J$36,gg,zcor)</f>
        <v>0.95228060483932508</v>
      </c>
      <c r="K48" s="1" cm="1">
        <f t="array" ref="K48">[1]!unf_pvt_Zgas_d($D48,K$36,gg,zcor)</f>
        <v>0.94175466299056998</v>
      </c>
      <c r="L48" s="1" cm="1">
        <f t="array" ref="L48">[1]!unf_pvt_Zgas_d($D48,L$36,gg,zcor)</f>
        <v>0.93176494836807255</v>
      </c>
      <c r="M48" s="1" cm="1">
        <f t="array" ref="M48">[1]!unf_pvt_Zgas_d($D48,M$36,gg,zcor)</f>
        <v>0.92236870527267456</v>
      </c>
      <c r="N48" s="1" cm="1">
        <f t="array" ref="N48">[1]!unf_pvt_Zgas_d($D48,N$36,gg,zcor)</f>
        <v>0.91362551450729379</v>
      </c>
      <c r="O48" s="1" cm="1">
        <f t="array" ref="O48">[1]!unf_pvt_Zgas_d($D48,O$36,gg,zcor)</f>
        <v>0.90559028387069707</v>
      </c>
      <c r="P48" s="1" cm="1">
        <f t="array" ref="P48">[1]!unf_pvt_Zgas_d($D48,P$36,gg,zcor)</f>
        <v>0.89832025766372703</v>
      </c>
      <c r="Q48" s="1" cm="1">
        <f t="array" ref="Q48">[1]!unf_pvt_Zgas_d($D48,Q$36,gg,zcor)</f>
        <v>0.89186216592788714</v>
      </c>
      <c r="R48" s="1" cm="1">
        <f t="array" ref="R48">[1]!unf_pvt_Zgas_d($D48,R$36,gg,zcor)</f>
        <v>0.88625923395156869</v>
      </c>
      <c r="S48" s="1" cm="1">
        <f t="array" ref="S48">[1]!unf_pvt_Zgas_d($D48,S$36,gg,zcor)</f>
        <v>0.88154417276382468</v>
      </c>
      <c r="T48" s="1" cm="1">
        <f t="array" ref="T48">[1]!unf_pvt_Zgas_d($D48,T$36,gg,zcor)</f>
        <v>0.87774034738540663</v>
      </c>
      <c r="U48" s="1" cm="1">
        <f t="array" ref="U48">[1]!unf_pvt_Zgas_d($D48,U$36,gg,zcor)</f>
        <v>0.87485827207565303</v>
      </c>
      <c r="V48" s="1" cm="1">
        <f t="array" ref="V48">[1]!unf_pvt_Zgas_d($D48,V$36,gg,zcor)</f>
        <v>0.87290028333663949</v>
      </c>
      <c r="W48" s="1" cm="1">
        <f t="array" ref="W48">[1]!unf_pvt_Zgas_d($D48,W$36,gg,zcor)</f>
        <v>0.87185469865798959</v>
      </c>
      <c r="X48" s="1" cm="1">
        <f t="array" ref="X48">[1]!unf_pvt_Zgas_d($D48,X$36,gg,zcor)</f>
        <v>0.87170399427413958</v>
      </c>
      <c r="Y48" s="1" cm="1">
        <f t="array" ref="Y48">[1]!unf_pvt_Zgas_d($D48,Y$36,gg,zcor)</f>
        <v>0.87241779565811162</v>
      </c>
      <c r="Z48" s="1" cm="1">
        <f t="array" ref="Z48">[1]!unf_pvt_Zgas_d($D48,Z$36,gg,zcor)</f>
        <v>0.87396105527877799</v>
      </c>
      <c r="AA48" s="1" cm="1">
        <f t="array" ref="AA48">[1]!unf_pvt_Zgas_d($D48,AA$36,gg,zcor)</f>
        <v>0.87629638910293584</v>
      </c>
      <c r="AB48" s="1" cm="1">
        <f t="array" ref="AB48">[1]!unf_pvt_Zgas_d($D48,AB$36,gg,zcor)</f>
        <v>0.8793782353401185</v>
      </c>
      <c r="AC48" s="1" cm="1">
        <f t="array" ref="AC48">[1]!unf_pvt_Zgas_d($D48,AC$36,gg,zcor)</f>
        <v>0.88316220045089744</v>
      </c>
      <c r="AD48" s="1" cm="1">
        <f t="array" ref="AD48">[1]!unf_pvt_Zgas_d($D48,AD$36,gg,zcor)</f>
        <v>0.88760389089584346</v>
      </c>
      <c r="AE48" s="1" cm="1">
        <f t="array" ref="AE48">[1]!unf_pvt_Zgas_d($D48,AE$36,gg,zcor)</f>
        <v>0.89265657663345355</v>
      </c>
      <c r="AF48" s="1" cm="1">
        <f t="array" ref="AF48">[1]!unf_pvt_Zgas_d($D48,AF$36,gg,zcor)</f>
        <v>0.89827820062637342</v>
      </c>
      <c r="AG48" s="1" cm="1">
        <f t="array" ref="AG48">[1]!unf_pvt_Zgas_d($D48,AG$36,gg,zcor)</f>
        <v>0.90442553758621225</v>
      </c>
      <c r="AH48" s="1" cm="1">
        <f t="array" ref="AH48">[1]!unf_pvt_Zgas_d($D48,AH$36,gg,zcor)</f>
        <v>0.9110576987266541</v>
      </c>
      <c r="AI48" s="1" cm="1">
        <f t="array" ref="AI48">[1]!unf_pvt_Zgas_d($D48,AI$36,gg,zcor)</f>
        <v>0.91813963651657104</v>
      </c>
      <c r="AJ48" s="1" cm="1">
        <f t="array" ref="AJ48">[1]!unf_pvt_Zgas_d($D48,AJ$36,gg,zcor)</f>
        <v>0.9256351351737977</v>
      </c>
      <c r="AK48" s="1" cm="1">
        <f t="array" ref="AK48">[1]!unf_pvt_Zgas_d($D48,AK$36,gg,zcor)</f>
        <v>0.93351031541824336</v>
      </c>
    </row>
    <row r="49" spans="3:37" x14ac:dyDescent="0.3">
      <c r="C49">
        <v>110</v>
      </c>
      <c r="D49" s="2">
        <f t="shared" si="1"/>
        <v>383.15</v>
      </c>
      <c r="E49" t="str">
        <f t="shared" si="2"/>
        <v>t=110 C</v>
      </c>
      <c r="F49" s="1" cm="1">
        <f t="array" ref="F49">[1]!unf_pvt_Zgas_d($D49,F$36,gg,zcor)</f>
        <v>0.99875129461288448</v>
      </c>
      <c r="G49" s="1" cm="1">
        <f t="array" ref="G49">[1]!unf_pvt_Zgas_d($D49,G$36,gg,zcor)</f>
        <v>0.98769029378890982</v>
      </c>
      <c r="H49" s="1" cm="1">
        <f t="array" ref="H49">[1]!unf_pvt_Zgas_d($D49,H$36,gg,zcor)</f>
        <v>0.97696691751480103</v>
      </c>
      <c r="I49" s="1" cm="1">
        <f t="array" ref="I49">[1]!unf_pvt_Zgas_d($D49,I$36,gg,zcor)</f>
        <v>0.96662322282791147</v>
      </c>
      <c r="J49" s="1" cm="1">
        <f t="array" ref="J49">[1]!unf_pvt_Zgas_d($D49,J$36,gg,zcor)</f>
        <v>0.95670593976974483</v>
      </c>
      <c r="K49" s="1" cm="1">
        <f t="array" ref="K49">[1]!unf_pvt_Zgas_d($D49,K$36,gg,zcor)</f>
        <v>0.94726179838180546</v>
      </c>
      <c r="L49" s="1" cm="1">
        <f t="array" ref="L49">[1]!unf_pvt_Zgas_d($D49,L$36,gg,zcor)</f>
        <v>0.93833636045455937</v>
      </c>
      <c r="M49" s="1" cm="1">
        <f t="array" ref="M49">[1]!unf_pvt_Zgas_d($D49,M$36,gg,zcor)</f>
        <v>0.92998102903366098</v>
      </c>
      <c r="N49" s="1" cm="1">
        <f t="array" ref="N49">[1]!unf_pvt_Zgas_d($D49,N$36,gg,zcor)</f>
        <v>0.92224253416061397</v>
      </c>
      <c r="O49" s="1" cm="1">
        <f t="array" ref="O49">[1]!unf_pvt_Zgas_d($D49,O$36,gg,zcor)</f>
        <v>0.91516643762588523</v>
      </c>
      <c r="P49" s="1" cm="1">
        <f t="array" ref="P49">[1]!unf_pvt_Zgas_d($D49,P$36,gg,zcor)</f>
        <v>0.90879479646682748</v>
      </c>
      <c r="Q49" s="1" cm="1">
        <f t="array" ref="Q49">[1]!unf_pvt_Zgas_d($D49,Q$36,gg,zcor)</f>
        <v>0.90316733121871962</v>
      </c>
      <c r="R49" s="1" cm="1">
        <f t="array" ref="R49">[1]!unf_pvt_Zgas_d($D49,R$36,gg,zcor)</f>
        <v>0.8983155846595765</v>
      </c>
      <c r="S49" s="1" cm="1">
        <f t="array" ref="S49">[1]!unf_pvt_Zgas_d($D49,S$36,gg,zcor)</f>
        <v>0.89426409006118801</v>
      </c>
      <c r="T49" s="1" cm="1">
        <f t="array" ref="T49">[1]!unf_pvt_Zgas_d($D49,T$36,gg,zcor)</f>
        <v>0.89102920293807997</v>
      </c>
      <c r="U49" s="1" cm="1">
        <f t="array" ref="U49">[1]!unf_pvt_Zgas_d($D49,U$36,gg,zcor)</f>
        <v>0.88862026929855364</v>
      </c>
      <c r="V49" s="1" cm="1">
        <f t="array" ref="V49">[1]!unf_pvt_Zgas_d($D49,V$36,gg,zcor)</f>
        <v>0.88703612089157091</v>
      </c>
      <c r="W49" s="1" cm="1">
        <f t="array" ref="W49">[1]!unf_pvt_Zgas_d($D49,W$36,gg,zcor)</f>
        <v>0.88626741170883183</v>
      </c>
      <c r="X49" s="1" cm="1">
        <f t="array" ref="X49">[1]!unf_pvt_Zgas_d($D49,X$36,gg,zcor)</f>
        <v>0.88629895448684715</v>
      </c>
      <c r="Y49" s="1" cm="1">
        <f t="array" ref="Y49">[1]!unf_pvt_Zgas_d($D49,Y$36,gg,zcor)</f>
        <v>0.88710738420486446</v>
      </c>
      <c r="Z49" s="1" cm="1">
        <f t="array" ref="Z49">[1]!unf_pvt_Zgas_d($D49,Z$36,gg,zcor)</f>
        <v>0.88866349458694471</v>
      </c>
      <c r="AA49" s="1" cm="1">
        <f t="array" ref="AA49">[1]!unf_pvt_Zgas_d($D49,AA$36,gg,zcor)</f>
        <v>0.89093574285507193</v>
      </c>
      <c r="AB49" s="1" cm="1">
        <f t="array" ref="AB49">[1]!unf_pvt_Zgas_d($D49,AB$36,gg,zcor)</f>
        <v>0.89388791322708161</v>
      </c>
      <c r="AC49" s="1" cm="1">
        <f t="array" ref="AC49">[1]!unf_pvt_Zgas_d($D49,AC$36,gg,zcor)</f>
        <v>0.89748262166976955</v>
      </c>
      <c r="AD49" s="1" cm="1">
        <f t="array" ref="AD49">[1]!unf_pvt_Zgas_d($D49,AD$36,gg,zcor)</f>
        <v>0.90168131589889544</v>
      </c>
      <c r="AE49" s="1" cm="1">
        <f t="array" ref="AE49">[1]!unf_pvt_Zgas_d($D49,AE$36,gg,zcor)</f>
        <v>0.90644661188125641</v>
      </c>
      <c r="AF49" s="1" cm="1">
        <f t="array" ref="AF49">[1]!unf_pvt_Zgas_d($D49,AF$36,gg,zcor)</f>
        <v>0.91173995733261104</v>
      </c>
      <c r="AG49" s="1" cm="1">
        <f t="array" ref="AG49">[1]!unf_pvt_Zgas_d($D49,AG$36,gg,zcor)</f>
        <v>0.91752630472183228</v>
      </c>
      <c r="AH49" s="1" cm="1">
        <f t="array" ref="AH49">[1]!unf_pvt_Zgas_d($D49,AH$36,gg,zcor)</f>
        <v>0.92376943826675428</v>
      </c>
      <c r="AI49" s="1" cm="1">
        <f t="array" ref="AI49">[1]!unf_pvt_Zgas_d($D49,AI$36,gg,zcor)</f>
        <v>0.93043781518936153</v>
      </c>
      <c r="AJ49" s="1" cm="1">
        <f t="array" ref="AJ49">[1]!unf_pvt_Zgas_d($D49,AJ$36,gg,zcor)</f>
        <v>0.9374987244606019</v>
      </c>
      <c r="AK49" s="1" cm="1">
        <f t="array" ref="AK49">[1]!unf_pvt_Zgas_d($D49,AK$36,gg,zcor)</f>
        <v>0.94492412805557269</v>
      </c>
    </row>
    <row r="50" spans="3:37" x14ac:dyDescent="0.3">
      <c r="C50">
        <v>120</v>
      </c>
      <c r="D50" s="2">
        <f t="shared" si="1"/>
        <v>393.15</v>
      </c>
      <c r="E50" t="str">
        <f t="shared" si="2"/>
        <v>t=120 C</v>
      </c>
      <c r="F50" s="1" cm="1">
        <f t="array" ref="F50">[1]!unf_pvt_Zgas_d($D50,F$36,gg,zcor)</f>
        <v>0.99885760545730573</v>
      </c>
      <c r="G50" s="1" cm="1">
        <f t="array" ref="G50">[1]!unf_pvt_Zgas_d($D50,G$36,gg,zcor)</f>
        <v>0.98875340223312369</v>
      </c>
      <c r="H50" s="1" cm="1">
        <f t="array" ref="H50">[1]!unf_pvt_Zgas_d($D50,H$36,gg,zcor)</f>
        <v>0.97899616956710811</v>
      </c>
      <c r="I50" s="1" cm="1">
        <f t="array" ref="I50">[1]!unf_pvt_Zgas_d($D50,I$36,gg,zcor)</f>
        <v>0.96962329149246207</v>
      </c>
      <c r="J50" s="1" cm="1">
        <f t="array" ref="J50">[1]!unf_pvt_Zgas_d($D50,J$36,gg,zcor)</f>
        <v>0.96067448854446424</v>
      </c>
      <c r="K50" s="1" cm="1">
        <f t="array" ref="K50">[1]!unf_pvt_Zgas_d($D50,K$36,gg,zcor)</f>
        <v>0.95218831300735474</v>
      </c>
      <c r="L50" s="1" cm="1">
        <f t="array" ref="L50">[1]!unf_pvt_Zgas_d($D50,L$36,gg,zcor)</f>
        <v>0.94420799016952506</v>
      </c>
      <c r="M50" s="1" cm="1">
        <f t="array" ref="M50">[1]!unf_pvt_Zgas_d($D50,M$36,gg,zcor)</f>
        <v>0.9367720723152162</v>
      </c>
      <c r="N50" s="1" cm="1">
        <f t="array" ref="N50">[1]!unf_pvt_Zgas_d($D50,N$36,gg,zcor)</f>
        <v>0.92992027997970572</v>
      </c>
      <c r="O50" s="1" cm="1">
        <f t="array" ref="O50">[1]!unf_pvt_Zgas_d($D50,O$36,gg,zcor)</f>
        <v>0.9236899971961976</v>
      </c>
      <c r="P50" s="1" cm="1">
        <f t="array" ref="P50">[1]!unf_pvt_Zgas_d($D50,P$36,gg,zcor)</f>
        <v>0.91811393499374394</v>
      </c>
      <c r="Q50" s="1" cm="1">
        <f t="array" ref="Q50">[1]!unf_pvt_Zgas_d($D50,Q$36,gg,zcor)</f>
        <v>0.91322363615036029</v>
      </c>
      <c r="R50" s="1" cm="1">
        <f t="array" ref="R50">[1]!unf_pvt_Zgas_d($D50,R$36,gg,zcor)</f>
        <v>0.90904129743576068</v>
      </c>
      <c r="S50" s="1" cm="1">
        <f t="array" ref="S50">[1]!unf_pvt_Zgas_d($D50,S$36,gg,zcor)</f>
        <v>0.90558677911758445</v>
      </c>
      <c r="T50" s="1" cm="1">
        <f t="array" ref="T50">[1]!unf_pvt_Zgas_d($D50,T$36,gg,zcor)</f>
        <v>0.90287176370620736</v>
      </c>
      <c r="U50" s="1" cm="1">
        <f t="array" ref="U50">[1]!unf_pvt_Zgas_d($D50,U$36,gg,zcor)</f>
        <v>0.90090209245681785</v>
      </c>
      <c r="V50" s="1" cm="1">
        <f t="array" ref="V50">[1]!unf_pvt_Zgas_d($D50,V$36,gg,zcor)</f>
        <v>0.89967542886734031</v>
      </c>
      <c r="W50" s="1" cm="1">
        <f t="array" ref="W50">[1]!unf_pvt_Zgas_d($D50,W$36,gg,zcor)</f>
        <v>0.89918359518051161</v>
      </c>
      <c r="X50" s="1" cm="1">
        <f t="array" ref="X50">[1]!unf_pvt_Zgas_d($D50,X$36,gg,zcor)</f>
        <v>0.89941140413284315</v>
      </c>
      <c r="Y50" s="1" cm="1">
        <f t="array" ref="Y50">[1]!unf_pvt_Zgas_d($D50,Y$36,gg,zcor)</f>
        <v>0.90034250020980844</v>
      </c>
      <c r="Z50" s="1" cm="1">
        <f t="array" ref="Z50">[1]!unf_pvt_Zgas_d($D50,Z$36,gg,zcor)</f>
        <v>0.90195001363754268</v>
      </c>
      <c r="AA50" s="1" cm="1">
        <f t="array" ref="AA50">[1]!unf_pvt_Zgas_d($D50,AA$36,gg,zcor)</f>
        <v>0.90420824289321922</v>
      </c>
      <c r="AB50" s="1" cm="1">
        <f t="array" ref="AB50">[1]!unf_pvt_Zgas_d($D50,AB$36,gg,zcor)</f>
        <v>0.90708564519882207</v>
      </c>
      <c r="AC50" s="1" cm="1">
        <f t="array" ref="AC50">[1]!unf_pvt_Zgas_d($D50,AC$36,gg,zcor)</f>
        <v>0.91055301427841195</v>
      </c>
      <c r="AD50" s="1" cm="1">
        <f t="array" ref="AD50">[1]!unf_pvt_Zgas_d($D50,AD$36,gg,zcor)</f>
        <v>0.91457530260086073</v>
      </c>
      <c r="AE50" s="1" cm="1">
        <f t="array" ref="AE50">[1]!unf_pvt_Zgas_d($D50,AE$36,gg,zcor)</f>
        <v>0.91912213563919076</v>
      </c>
      <c r="AF50" s="1" cm="1">
        <f t="array" ref="AF50">[1]!unf_pvt_Zgas_d($D50,AF$36,gg,zcor)</f>
        <v>0.92415963411331181</v>
      </c>
      <c r="AG50" s="1" cm="1">
        <f t="array" ref="AG50">[1]!unf_pvt_Zgas_d($D50,AG$36,gg,zcor)</f>
        <v>0.92965625524520856</v>
      </c>
      <c r="AH50" s="1" cm="1">
        <f t="array" ref="AH50">[1]!unf_pvt_Zgas_d($D50,AH$36,gg,zcor)</f>
        <v>0.93558279275894174</v>
      </c>
      <c r="AI50" s="1" cm="1">
        <f t="array" ref="AI50">[1]!unf_pvt_Zgas_d($D50,AI$36,gg,zcor)</f>
        <v>0.94190887212753305</v>
      </c>
      <c r="AJ50" s="1" cm="1">
        <f t="array" ref="AJ50">[1]!unf_pvt_Zgas_d($D50,AJ$36,gg,zcor)</f>
        <v>0.94860762357711792</v>
      </c>
      <c r="AK50" s="1" cm="1">
        <f t="array" ref="AK50">[1]!unf_pvt_Zgas_d($D50,AK$36,gg,zcor)</f>
        <v>0.95565217733383179</v>
      </c>
    </row>
    <row r="51" spans="3:37" x14ac:dyDescent="0.3">
      <c r="C51">
        <v>130</v>
      </c>
      <c r="D51" s="2">
        <f t="shared" si="1"/>
        <v>403.15</v>
      </c>
      <c r="E51" t="str">
        <f t="shared" si="2"/>
        <v>t=130 C</v>
      </c>
      <c r="F51" s="1" cm="1">
        <f t="array" ref="F51">[1]!unf_pvt_Zgas_d($D51,F$36,gg,zcor)</f>
        <v>0.99895340204238892</v>
      </c>
      <c r="G51" s="1" cm="1">
        <f t="array" ref="G51">[1]!unf_pvt_Zgas_d($D51,G$36,gg,zcor)</f>
        <v>0.98971604108810429</v>
      </c>
      <c r="H51" s="1" cm="1">
        <f t="array" ref="H51">[1]!unf_pvt_Zgas_d($D51,H$36,gg,zcor)</f>
        <v>0.98082915544509897</v>
      </c>
      <c r="I51" s="1" cm="1">
        <f t="array" ref="I51">[1]!unf_pvt_Zgas_d($D51,I$36,gg,zcor)</f>
        <v>0.97232662439346318</v>
      </c>
      <c r="J51" s="1" cm="1">
        <f t="array" ref="J51">[1]!unf_pvt_Zgas_d($D51,J$36,gg,zcor)</f>
        <v>0.96424349546432508</v>
      </c>
      <c r="K51" s="1" cm="1">
        <f t="array" ref="K51">[1]!unf_pvt_Zgas_d($D51,K$36,gg,zcor)</f>
        <v>0.9566136479377747</v>
      </c>
      <c r="L51" s="1" cm="1">
        <f t="array" ref="L51">[1]!unf_pvt_Zgas_d($D51,L$36,gg,zcor)</f>
        <v>0.94947329759597787</v>
      </c>
      <c r="M51" s="1" cm="1">
        <f t="array" ref="M51">[1]!unf_pvt_Zgas_d($D51,M$36,gg,zcor)</f>
        <v>0.94285398721694968</v>
      </c>
      <c r="N51" s="1" cm="1">
        <f t="array" ref="N51">[1]!unf_pvt_Zgas_d($D51,N$36,gg,zcor)</f>
        <v>0.9367884278297427</v>
      </c>
      <c r="O51" s="1" cm="1">
        <f t="array" ref="O51">[1]!unf_pvt_Zgas_d($D51,O$36,gg,zcor)</f>
        <v>0.93130816221237178</v>
      </c>
      <c r="P51" s="1" cm="1">
        <f t="array" ref="P51">[1]!unf_pvt_Zgas_d($D51,P$36,gg,zcor)</f>
        <v>0.92643889188766471</v>
      </c>
      <c r="Q51" s="1" cm="1">
        <f t="array" ref="Q51">[1]!unf_pvt_Zgas_d($D51,Q$36,gg,zcor)</f>
        <v>0.92220281362533574</v>
      </c>
      <c r="R51" s="1" cm="1">
        <f t="array" ref="R51">[1]!unf_pvt_Zgas_d($D51,R$36,gg,zcor)</f>
        <v>0.91861978769302377</v>
      </c>
      <c r="S51" s="1" cm="1">
        <f t="array" ref="S51">[1]!unf_pvt_Zgas_d($D51,S$36,gg,zcor)</f>
        <v>0.91570266485214247</v>
      </c>
      <c r="T51" s="1" cm="1">
        <f t="array" ref="T51">[1]!unf_pvt_Zgas_d($D51,T$36,gg,zcor)</f>
        <v>0.91346079111099265</v>
      </c>
      <c r="U51" s="1" cm="1">
        <f t="array" ref="U51">[1]!unf_pvt_Zgas_d($D51,U$36,gg,zcor)</f>
        <v>0.91189533472061179</v>
      </c>
      <c r="V51" s="1" cm="1">
        <f t="array" ref="V51">[1]!unf_pvt_Zgas_d($D51,V$36,gg,zcor)</f>
        <v>0.9110051274299622</v>
      </c>
      <c r="W51" s="1" cm="1">
        <f t="array" ref="W51">[1]!unf_pvt_Zgas_d($D51,W$36,gg,zcor)</f>
        <v>0.9107808232307435</v>
      </c>
      <c r="X51" s="1" cm="1">
        <f t="array" ref="X51">[1]!unf_pvt_Zgas_d($D51,X$36,gg,zcor)</f>
        <v>0.91121190786361694</v>
      </c>
      <c r="Y51" s="1" cm="1">
        <f t="array" ref="Y51">[1]!unf_pvt_Zgas_d($D51,Y$36,gg,zcor)</f>
        <v>0.91227852106094365</v>
      </c>
      <c r="Z51" s="1" cm="1">
        <f t="array" ref="Z51">[1]!unf_pvt_Zgas_d($D51,Z$36,gg,zcor)</f>
        <v>0.91396197080612174</v>
      </c>
      <c r="AA51" s="1" cm="1">
        <f t="array" ref="AA51">[1]!unf_pvt_Zgas_d($D51,AA$36,gg,zcor)</f>
        <v>0.9162388920783997</v>
      </c>
      <c r="AB51" s="1" cm="1">
        <f t="array" ref="AB51">[1]!unf_pvt_Zgas_d($D51,AB$36,gg,zcor)</f>
        <v>0.91908358335495</v>
      </c>
      <c r="AC51" s="1" cm="1">
        <f t="array" ref="AC51">[1]!unf_pvt_Zgas_d($D51,AC$36,gg,zcor)</f>
        <v>0.92246800661087036</v>
      </c>
      <c r="AD51" s="1" cm="1">
        <f t="array" ref="AD51">[1]!unf_pvt_Zgas_d($D51,AD$36,gg,zcor)</f>
        <v>0.92636529207229623</v>
      </c>
      <c r="AE51" s="1" cm="1">
        <f t="array" ref="AE51">[1]!unf_pvt_Zgas_d($D51,AE$36,gg,zcor)</f>
        <v>0.93074740171432491</v>
      </c>
      <c r="AF51" s="1" cm="1">
        <f t="array" ref="AF51">[1]!unf_pvt_Zgas_d($D51,AF$36,gg,zcor)</f>
        <v>0.9355839610099792</v>
      </c>
      <c r="AG51" s="1" cm="1">
        <f t="array" ref="AG51">[1]!unf_pvt_Zgas_d($D51,AG$36,gg,zcor)</f>
        <v>0.94085043668746948</v>
      </c>
      <c r="AH51" s="1" cm="1">
        <f t="array" ref="AH51">[1]!unf_pvt_Zgas_d($D51,AH$36,gg,zcor)</f>
        <v>0.94651879072189349</v>
      </c>
      <c r="AI51" s="1" cm="1">
        <f t="array" ref="AI51">[1]!unf_pvt_Zgas_d($D51,AI$36,gg,zcor)</f>
        <v>0.95256332159042367</v>
      </c>
      <c r="AJ51" s="1" cm="1">
        <f t="array" ref="AJ51">[1]!unf_pvt_Zgas_d($D51,AJ$36,gg,zcor)</f>
        <v>0.95895832777023315</v>
      </c>
      <c r="AK51" s="1" cm="1">
        <f t="array" ref="AK51">[1]!unf_pvt_Zgas_d($D51,AK$36,gg,zcor)</f>
        <v>0.96568278074264535</v>
      </c>
    </row>
    <row r="52" spans="3:37" x14ac:dyDescent="0.3">
      <c r="C52">
        <v>140</v>
      </c>
      <c r="D52" s="2">
        <f t="shared" si="1"/>
        <v>413.15</v>
      </c>
      <c r="E52" t="str">
        <f t="shared" si="2"/>
        <v>t=140 C</v>
      </c>
      <c r="F52" s="1" cm="1">
        <f t="array" ref="F52">[1]!unf_pvt_Zgas_d($D52,F$36,gg,zcor)</f>
        <v>0.99903985261917105</v>
      </c>
      <c r="G52" s="1" cm="1">
        <f t="array" ref="G52">[1]!unf_pvt_Zgas_d($D52,G$36,gg,zcor)</f>
        <v>0.99058755636215201</v>
      </c>
      <c r="H52" s="1" cm="1">
        <f t="array" ref="H52">[1]!unf_pvt_Zgas_d($D52,H$36,gg,zcor)</f>
        <v>0.98248690366744995</v>
      </c>
      <c r="I52" s="1" cm="1">
        <f t="array" ref="I52">[1]!unf_pvt_Zgas_d($D52,I$36,gg,zcor)</f>
        <v>0.97476943731307975</v>
      </c>
      <c r="J52" s="1" cm="1">
        <f t="array" ref="J52">[1]!unf_pvt_Zgas_d($D52,J$36,gg,zcor)</f>
        <v>0.96746436357498178</v>
      </c>
      <c r="K52" s="1" cm="1">
        <f t="array" ref="K52">[1]!unf_pvt_Zgas_d($D52,K$36,gg,zcor)</f>
        <v>0.96060088872909555</v>
      </c>
      <c r="L52" s="1" cm="1">
        <f t="array" ref="L52">[1]!unf_pvt_Zgas_d($D52,L$36,gg,zcor)</f>
        <v>0.95421055555343659</v>
      </c>
      <c r="M52" s="1" cm="1">
        <f t="array" ref="M52">[1]!unf_pvt_Zgas_d($D52,M$36,gg,zcor)</f>
        <v>0.94832023382186881</v>
      </c>
      <c r="N52" s="1" cm="1">
        <f t="array" ref="N52">[1]!unf_pvt_Zgas_d($D52,N$36,gg,zcor)</f>
        <v>0.94295562505722064</v>
      </c>
      <c r="O52" s="1" cm="1">
        <f t="array" ref="O52">[1]!unf_pvt_Zgas_d($D52,O$36,gg,zcor)</f>
        <v>0.93814243078231807</v>
      </c>
      <c r="P52" s="1" cm="1">
        <f t="array" ref="P52">[1]!unf_pvt_Zgas_d($D52,P$36,gg,zcor)</f>
        <v>0.93390167951583858</v>
      </c>
      <c r="Q52" s="1" cm="1">
        <f t="array" ref="Q52">[1]!unf_pvt_Zgas_d($D52,Q$36,gg,zcor)</f>
        <v>0.9302508950233459</v>
      </c>
      <c r="R52" s="1" cm="1">
        <f t="array" ref="R52">[1]!unf_pvt_Zgas_d($D52,R$36,gg,zcor)</f>
        <v>0.92720409631729139</v>
      </c>
      <c r="S52" s="1" cm="1">
        <f t="array" ref="S52">[1]!unf_pvt_Zgas_d($D52,S$36,gg,zcor)</f>
        <v>0.92477179765701312</v>
      </c>
      <c r="T52" s="1" cm="1">
        <f t="array" ref="T52">[1]!unf_pvt_Zgas_d($D52,T$36,gg,zcor)</f>
        <v>0.92295750379562391</v>
      </c>
      <c r="U52" s="1" cm="1">
        <f t="array" ref="U52">[1]!unf_pvt_Zgas_d($D52,U$36,gg,zcor)</f>
        <v>0.92176471948623662</v>
      </c>
      <c r="V52" s="1" cm="1">
        <f t="array" ref="V52">[1]!unf_pvt_Zgas_d($D52,V$36,gg,zcor)</f>
        <v>0.92118760347366324</v>
      </c>
      <c r="W52" s="1" cm="1">
        <f t="array" ref="W52">[1]!unf_pvt_Zgas_d($D52,W$36,gg,zcor)</f>
        <v>0.92121914625167856</v>
      </c>
      <c r="X52" s="1" cm="1">
        <f t="array" ref="X52">[1]!unf_pvt_Zgas_d($D52,X$36,gg,zcor)</f>
        <v>0.92184766530990592</v>
      </c>
      <c r="Y52" s="1" cm="1">
        <f t="array" ref="Y52">[1]!unf_pvt_Zgas_d($D52,Y$36,gg,zcor)</f>
        <v>0.92305914163589486</v>
      </c>
      <c r="Z52" s="1" cm="1">
        <f t="array" ref="Z52">[1]!unf_pvt_Zgas_d($D52,Z$36,gg,zcor)</f>
        <v>0.92483371496200562</v>
      </c>
      <c r="AA52" s="1" cm="1">
        <f t="array" ref="AA52">[1]!unf_pvt_Zgas_d($D52,AA$36,gg,zcor)</f>
        <v>0.92715035676956181</v>
      </c>
      <c r="AB52" s="1" cm="1">
        <f t="array" ref="AB52">[1]!unf_pvt_Zgas_d($D52,AB$36,gg,zcor)</f>
        <v>0.92998920679092412</v>
      </c>
      <c r="AC52" s="1" cm="1">
        <f t="array" ref="AC52">[1]!unf_pvt_Zgas_d($D52,AC$36,gg,zcor)</f>
        <v>0.93332573175430311</v>
      </c>
      <c r="AD52" s="1" cm="1">
        <f t="array" ref="AD52">[1]!unf_pvt_Zgas_d($D52,AD$36,gg,zcor)</f>
        <v>0.93713539838790916</v>
      </c>
      <c r="AE52" s="1" cm="1">
        <f t="array" ref="AE52">[1]!unf_pvt_Zgas_d($D52,AE$36,gg,zcor)</f>
        <v>0.94139367341995239</v>
      </c>
      <c r="AF52" s="1" cm="1">
        <f t="array" ref="AF52">[1]!unf_pvt_Zgas_d($D52,AF$36,gg,zcor)</f>
        <v>0.94607485532760616</v>
      </c>
      <c r="AG52" s="1" cm="1">
        <f t="array" ref="AG52">[1]!unf_pvt_Zgas_d($D52,AG$36,gg,zcor)</f>
        <v>0.95115674734115618</v>
      </c>
      <c r="AH52" s="1" cm="1">
        <f t="array" ref="AH52">[1]!unf_pvt_Zgas_d($D52,AH$36,gg,zcor)</f>
        <v>0.95661481618881239</v>
      </c>
      <c r="AI52" s="1" cm="1">
        <f t="array" ref="AI52">[1]!unf_pvt_Zgas_d($D52,AI$36,gg,zcor)</f>
        <v>0.96242569684982304</v>
      </c>
      <c r="AJ52" s="1" cm="1">
        <f t="array" ref="AJ52">[1]!unf_pvt_Zgas_d($D52,AJ$36,gg,zcor)</f>
        <v>0.96856719255447388</v>
      </c>
      <c r="AK52" s="1" cm="1">
        <f t="array" ref="AK52">[1]!unf_pvt_Zgas_d($D52,AK$36,gg,zcor)</f>
        <v>0.97501944303512555</v>
      </c>
    </row>
    <row r="53" spans="3:37" x14ac:dyDescent="0.3">
      <c r="C53">
        <v>150</v>
      </c>
      <c r="D53" s="2">
        <f t="shared" si="1"/>
        <v>423.15</v>
      </c>
      <c r="E53" t="str">
        <f t="shared" si="2"/>
        <v>t=150 C</v>
      </c>
      <c r="F53" s="1" cm="1">
        <f t="array" ref="F53">[1]!unf_pvt_Zgas_d($D53,F$36,gg,zcor)</f>
        <v>0.99911929368972774</v>
      </c>
      <c r="G53" s="1" cm="1">
        <f t="array" ref="G53">[1]!unf_pvt_Zgas_d($D53,G$36,gg,zcor)</f>
        <v>0.99137963056564327</v>
      </c>
      <c r="H53" s="1" cm="1">
        <f t="array" ref="H53">[1]!unf_pvt_Zgas_d($D53,H$36,gg,zcor)</f>
        <v>0.98399277925491324</v>
      </c>
      <c r="I53" s="1" cm="1">
        <f t="array" ref="I53">[1]!unf_pvt_Zgas_d($D53,I$36,gg,zcor)</f>
        <v>0.97698327302932753</v>
      </c>
      <c r="J53" s="1" cm="1">
        <f t="array" ref="J53">[1]!unf_pvt_Zgas_d($D53,J$36,gg,zcor)</f>
        <v>0.97037914991378793</v>
      </c>
      <c r="K53" s="1" cm="1">
        <f t="array" ref="K53">[1]!unf_pvt_Zgas_d($D53,K$36,gg,zcor)</f>
        <v>0.96420494318008432</v>
      </c>
      <c r="L53" s="1" cm="1">
        <f t="array" ref="L53">[1]!unf_pvt_Zgas_d($D53,L$36,gg,zcor)</f>
        <v>0.95848752260208148</v>
      </c>
      <c r="M53" s="1" cm="1">
        <f t="array" ref="M53">[1]!unf_pvt_Zgas_d($D53,M$36,gg,zcor)</f>
        <v>0.95324908494949345</v>
      </c>
      <c r="N53" s="1" cm="1">
        <f t="array" ref="N53">[1]!unf_pvt_Zgas_d($D53,N$36,gg,zcor)</f>
        <v>0.94851182699203496</v>
      </c>
      <c r="O53" s="1" cm="1">
        <f t="array" ref="O53">[1]!unf_pvt_Zgas_d($D53,O$36,gg,zcor)</f>
        <v>0.94429560899734488</v>
      </c>
      <c r="P53" s="1" cm="1">
        <f t="array" ref="P53">[1]!unf_pvt_Zgas_d($D53,P$36,gg,zcor)</f>
        <v>0.94061561822891249</v>
      </c>
      <c r="Q53" s="1" cm="1">
        <f t="array" ref="Q53">[1]!unf_pvt_Zgas_d($D53,Q$36,gg,zcor)</f>
        <v>0.93748937845230107</v>
      </c>
      <c r="R53" s="1" cm="1">
        <f t="array" ref="R53">[1]!unf_pvt_Zgas_d($D53,R$36,gg,zcor)</f>
        <v>0.93492389917373675</v>
      </c>
      <c r="S53" s="1" cm="1">
        <f t="array" ref="S53">[1]!unf_pvt_Zgas_d($D53,S$36,gg,zcor)</f>
        <v>0.932927358150482</v>
      </c>
      <c r="T53" s="1" cm="1">
        <f t="array" ref="T53">[1]!unf_pvt_Zgas_d($D53,T$36,gg,zcor)</f>
        <v>0.93150209188461308</v>
      </c>
      <c r="U53" s="1" cm="1">
        <f t="array" ref="U53">[1]!unf_pvt_Zgas_d($D53,U$36,gg,zcor)</f>
        <v>0.93064926862716657</v>
      </c>
      <c r="V53" s="1" cm="1">
        <f t="array" ref="V53">[1]!unf_pvt_Zgas_d($D53,V$36,gg,zcor)</f>
        <v>0.93036187887191768</v>
      </c>
      <c r="W53" s="1" cm="1">
        <f t="array" ref="W53">[1]!unf_pvt_Zgas_d($D53,W$36,gg,zcor)</f>
        <v>0.93063408136367798</v>
      </c>
      <c r="X53" s="1" cm="1">
        <f t="array" ref="X53">[1]!unf_pvt_Zgas_d($D53,X$36,gg,zcor)</f>
        <v>0.93145419359207149</v>
      </c>
      <c r="Y53" s="1" cm="1">
        <f t="array" ref="Y53">[1]!unf_pvt_Zgas_d($D53,Y$36,gg,zcor)</f>
        <v>0.93280936479568477</v>
      </c>
      <c r="Z53" s="1" cm="1">
        <f t="array" ref="Z53">[1]!unf_pvt_Zgas_d($D53,Z$36,gg,zcor)</f>
        <v>0.93468090295791639</v>
      </c>
      <c r="AA53" s="1" cm="1">
        <f t="array" ref="AA53">[1]!unf_pvt_Zgas_d($D53,AA$36,gg,zcor)</f>
        <v>0.9370536208152771</v>
      </c>
      <c r="AB53" s="1" cm="1">
        <f t="array" ref="AB53">[1]!unf_pvt_Zgas_d($D53,AB$36,gg,zcor)</f>
        <v>0.93990648984909075</v>
      </c>
      <c r="AC53" s="1" cm="1">
        <f t="array" ref="AC53">[1]!unf_pvt_Zgas_d($D53,AC$36,gg,zcor)</f>
        <v>0.94321848154068011</v>
      </c>
      <c r="AD53" s="1" cm="1">
        <f t="array" ref="AD53">[1]!unf_pvt_Zgas_d($D53,AD$36,gg,zcor)</f>
        <v>0.94696856737136836</v>
      </c>
      <c r="AE53" s="1" cm="1">
        <f t="array" ref="AE53">[1]!unf_pvt_Zgas_d($D53,AE$36,gg,zcor)</f>
        <v>0.95113455057144192</v>
      </c>
      <c r="AF53" s="1" cm="1">
        <f t="array" ref="AF53">[1]!unf_pvt_Zgas_d($D53,AF$36,gg,zcor)</f>
        <v>0.95569540262222308</v>
      </c>
      <c r="AG53" s="1" cm="1">
        <f t="array" ref="AG53">[1]!unf_pvt_Zgas_d($D53,AG$36,gg,zcor)</f>
        <v>0.9606289267539978</v>
      </c>
      <c r="AH53" s="1" cm="1">
        <f t="array" ref="AH53">[1]!unf_pvt_Zgas_d($D53,AH$36,gg,zcor)</f>
        <v>0.96591526269912742</v>
      </c>
      <c r="AI53" s="1" cm="1">
        <f t="array" ref="AI53">[1]!unf_pvt_Zgas_d($D53,AI$36,gg,zcor)</f>
        <v>0.97153221368789677</v>
      </c>
      <c r="AJ53" s="1" cm="1">
        <f t="array" ref="AJ53">[1]!unf_pvt_Zgas_d($D53,AJ$36,gg,zcor)</f>
        <v>0.97746108770370488</v>
      </c>
      <c r="AK53" s="1" cm="1">
        <f t="array" ref="AK53">[1]!unf_pvt_Zgas_d($D53,AK$36,gg,zcor)</f>
        <v>0.98368319272994986</v>
      </c>
    </row>
    <row r="54" spans="3:37" x14ac:dyDescent="0.3">
      <c r="C54">
        <v>160</v>
      </c>
      <c r="D54" s="2">
        <f t="shared" si="1"/>
        <v>433.15</v>
      </c>
      <c r="E54" t="str">
        <f t="shared" si="2"/>
        <v>t=160 C</v>
      </c>
      <c r="F54" s="1" cm="1">
        <f t="array" ref="F54">[1]!unf_pvt_Zgas_d($D54,F$36,gg,zcor)</f>
        <v>0.99919172525405875</v>
      </c>
      <c r="G54" s="1" cm="1">
        <f t="array" ref="G54">[1]!unf_pvt_Zgas_d($D54,G$36,gg,zcor)</f>
        <v>0.99210160970687866</v>
      </c>
      <c r="H54" s="1" cm="1">
        <f t="array" ref="H54">[1]!unf_pvt_Zgas_d($D54,H$36,gg,zcor)</f>
        <v>0.98536196947097765</v>
      </c>
      <c r="I54" s="1" cm="1">
        <f t="array" ref="I54">[1]!unf_pvt_Zgas_d($D54,I$36,gg,zcor)</f>
        <v>0.97899500131607065</v>
      </c>
      <c r="J54" s="1" cm="1">
        <f t="array" ref="J54">[1]!unf_pvt_Zgas_d($D54,J$36,gg,zcor)</f>
        <v>0.97302407026290916</v>
      </c>
      <c r="K54" s="1" cm="1">
        <f t="array" ref="K54">[1]!unf_pvt_Zgas_d($D54,K$36,gg,zcor)</f>
        <v>0.96747254133224492</v>
      </c>
      <c r="L54" s="1" cm="1">
        <f t="array" ref="L54">[1]!unf_pvt_Zgas_d($D54,L$36,gg,zcor)</f>
        <v>0.96235910654068024</v>
      </c>
      <c r="M54" s="1" cm="1">
        <f t="array" ref="M54">[1]!unf_pvt_Zgas_d($D54,M$36,gg,zcor)</f>
        <v>0.9577071309089662</v>
      </c>
      <c r="N54" s="1" cm="1">
        <f t="array" ref="N54">[1]!unf_pvt_Zgas_d($D54,N$36,gg,zcor)</f>
        <v>0.95353180170059226</v>
      </c>
      <c r="O54" s="1" cm="1">
        <f t="array" ref="O54">[1]!unf_pvt_Zgas_d($D54,O$36,gg,zcor)</f>
        <v>0.94984947443008427</v>
      </c>
      <c r="P54" s="1" cm="1">
        <f t="array" ref="P54">[1]!unf_pvt_Zgas_d($D54,P$36,gg,zcor)</f>
        <v>0.94667533636093149</v>
      </c>
      <c r="Q54" s="1" cm="1">
        <f t="array" ref="Q54">[1]!unf_pvt_Zgas_d($D54,Q$36,gg,zcor)</f>
        <v>0.94401756525039682</v>
      </c>
      <c r="R54" s="1" cm="1">
        <f t="array" ref="R54">[1]!unf_pvt_Zgas_d($D54,R$36,gg,zcor)</f>
        <v>0.94188550710678109</v>
      </c>
      <c r="S54" s="1" cm="1">
        <f t="array" ref="S54">[1]!unf_pvt_Zgas_d($D54,S$36,gg,zcor)</f>
        <v>0.94028266668319693</v>
      </c>
      <c r="T54" s="1" cm="1">
        <f t="array" ref="T54">[1]!unf_pvt_Zgas_d($D54,T$36,gg,zcor)</f>
        <v>0.93921021223068246</v>
      </c>
      <c r="U54" s="1" cm="1">
        <f t="array" ref="U54">[1]!unf_pvt_Zgas_d($D54,U$36,gg,zcor)</f>
        <v>0.93866697549819955</v>
      </c>
      <c r="V54" s="1" cm="1">
        <f t="array" ref="V54">[1]!unf_pvt_Zgas_d($D54,V$36,gg,zcor)</f>
        <v>0.93864711523056044</v>
      </c>
      <c r="W54" s="1" cm="1">
        <f t="array" ref="W54">[1]!unf_pvt_Zgas_d($D54,W$36,gg,zcor)</f>
        <v>0.93914362192153944</v>
      </c>
      <c r="X54" s="1" cm="1">
        <f t="array" ref="X54">[1]!unf_pvt_Zgas_d($D54,X$36,gg,zcor)</f>
        <v>0.94014598131179827</v>
      </c>
      <c r="Y54" s="1" cm="1">
        <f t="array" ref="Y54">[1]!unf_pvt_Zgas_d($D54,Y$36,gg,zcor)</f>
        <v>0.94164134263992305</v>
      </c>
      <c r="Z54" s="1" cm="1">
        <f t="array" ref="Z54">[1]!unf_pvt_Zgas_d($D54,Z$36,gg,zcor)</f>
        <v>0.94361451864242563</v>
      </c>
      <c r="AA54" s="1" cm="1">
        <f t="array" ref="AA54">[1]!unf_pvt_Zgas_d($D54,AA$36,gg,zcor)</f>
        <v>0.94604915380477905</v>
      </c>
      <c r="AB54" s="1" cm="1">
        <f t="array" ref="AB54">[1]!unf_pvt_Zgas_d($D54,AB$36,gg,zcor)</f>
        <v>0.9489288926124575</v>
      </c>
      <c r="AC54" s="1" cm="1">
        <f t="array" ref="AC54">[1]!unf_pvt_Zgas_d($D54,AC$36,gg,zcor)</f>
        <v>0.95223270654678349</v>
      </c>
      <c r="AD54" s="1" cm="1">
        <f t="array" ref="AD54">[1]!unf_pvt_Zgas_d($D54,AD$36,gg,zcor)</f>
        <v>0.9559442400932312</v>
      </c>
      <c r="AE54" s="1" cm="1">
        <f t="array" ref="AE54">[1]!unf_pvt_Zgas_d($D54,AE$36,gg,zcor)</f>
        <v>0.96004363298416151</v>
      </c>
      <c r="AF54" s="1" cm="1">
        <f t="array" ref="AF54">[1]!unf_pvt_Zgas_d($D54,AF$36,gg,zcor)</f>
        <v>0.96450985670089739</v>
      </c>
      <c r="AG54" s="1" cm="1">
        <f t="array" ref="AG54">[1]!unf_pvt_Zgas_d($D54,AG$36,gg,zcor)</f>
        <v>0.9693242192268372</v>
      </c>
      <c r="AH54" s="1" cm="1">
        <f t="array" ref="AH54">[1]!unf_pvt_Zgas_d($D54,AH$36,gg,zcor)</f>
        <v>0.97446919679641719</v>
      </c>
      <c r="AI54" s="1" cm="1">
        <f t="array" ref="AI54">[1]!unf_pvt_Zgas_d($D54,AI$36,gg,zcor)</f>
        <v>0.97992492914199847</v>
      </c>
      <c r="AJ54" s="1" cm="1">
        <f t="array" ref="AJ54">[1]!unf_pvt_Zgas_d($D54,AJ$36,gg,zcor)</f>
        <v>0.9856738924980164</v>
      </c>
      <c r="AK54" s="1" cm="1">
        <f t="array" ref="AK54">[1]!unf_pvt_Zgas_d($D54,AK$36,gg,zcor)</f>
        <v>0.99169973134994494</v>
      </c>
    </row>
    <row r="55" spans="3:37" x14ac:dyDescent="0.3">
      <c r="C55">
        <v>170</v>
      </c>
      <c r="D55" s="2">
        <f t="shared" si="1"/>
        <v>443.15</v>
      </c>
      <c r="E55" t="str">
        <f t="shared" si="2"/>
        <v>t=170 C</v>
      </c>
      <c r="F55" s="1" cm="1">
        <f t="array" ref="F55">[1]!unf_pvt_Zgas_d($D55,F$36,gg,zcor)</f>
        <v>0.99925831556320199</v>
      </c>
      <c r="G55" s="1" cm="1">
        <f t="array" ref="G55">[1]!unf_pvt_Zgas_d($D55,G$36,gg,zcor)</f>
        <v>0.99276167154312134</v>
      </c>
      <c r="H55" s="1" cm="1">
        <f t="array" ref="H55">[1]!unf_pvt_Zgas_d($D55,H$36,gg,zcor)</f>
        <v>0.98661082983016968</v>
      </c>
      <c r="I55" s="1" cm="1">
        <f t="array" ref="I55">[1]!unf_pvt_Zgas_d($D55,I$36,gg,zcor)</f>
        <v>0.98082798719406128</v>
      </c>
      <c r="J55" s="1" cm="1">
        <f t="array" ref="J55">[1]!unf_pvt_Zgas_d($D55,J$36,gg,zcor)</f>
        <v>0.97543066740036011</v>
      </c>
      <c r="K55" s="1" cm="1">
        <f t="array" ref="K55">[1]!unf_pvt_Zgas_d($D55,K$36,gg,zcor)</f>
        <v>0.97044106721878065</v>
      </c>
      <c r="L55" s="1" cm="1">
        <f t="array" ref="L55">[1]!unf_pvt_Zgas_d($D55,L$36,gg,zcor)</f>
        <v>0.9658743739128115</v>
      </c>
      <c r="M55" s="1" cm="1">
        <f t="array" ref="M55">[1]!unf_pvt_Zgas_d($D55,M$36,gg,zcor)</f>
        <v>0.96174927949905409</v>
      </c>
      <c r="N55" s="1" cm="1">
        <f t="array" ref="N55">[1]!unf_pvt_Zgas_d($D55,N$36,gg,zcor)</f>
        <v>0.95808097124099745</v>
      </c>
      <c r="O55" s="1" cm="1">
        <f t="array" ref="O55">[1]!unf_pvt_Zgas_d($D55,O$36,gg,zcor)</f>
        <v>0.95487996339797987</v>
      </c>
      <c r="P55" s="1" cm="1">
        <f t="array" ref="P55">[1]!unf_pvt_Zgas_d($D55,P$36,gg,zcor)</f>
        <v>0.95215793848037733</v>
      </c>
      <c r="Q55" s="1" cm="1">
        <f t="array" ref="Q55">[1]!unf_pvt_Zgas_d($D55,Q$36,gg,zcor)</f>
        <v>0.94992424249649066</v>
      </c>
      <c r="R55" s="1" cm="1">
        <f t="array" ref="R55">[1]!unf_pvt_Zgas_d($D55,R$36,gg,zcor)</f>
        <v>0.94818121194839478</v>
      </c>
      <c r="S55" s="1" cm="1">
        <f t="array" ref="S55">[1]!unf_pvt_Zgas_d($D55,S$36,gg,zcor)</f>
        <v>0.94693468809127812</v>
      </c>
      <c r="T55" s="1" cm="1">
        <f t="array" ref="T55">[1]!unf_pvt_Zgas_d($D55,T$36,gg,zcor)</f>
        <v>0.94618233442306532</v>
      </c>
      <c r="U55" s="1" cm="1">
        <f t="array" ref="U55">[1]!unf_pvt_Zgas_d($D55,U$36,gg,zcor)</f>
        <v>0.94592181444168077</v>
      </c>
      <c r="V55" s="1" cm="1">
        <f t="array" ref="V55">[1]!unf_pvt_Zgas_d($D55,V$36,gg,zcor)</f>
        <v>0.94614728689193717</v>
      </c>
      <c r="W55" s="1" cm="1">
        <f t="array" ref="W55">[1]!unf_pvt_Zgas_d($D55,W$36,gg,zcor)</f>
        <v>0.9468517422676086</v>
      </c>
      <c r="X55" s="1" cm="1">
        <f t="array" ref="X55">[1]!unf_pvt_Zgas_d($D55,X$36,gg,zcor)</f>
        <v>0.94802466630935678</v>
      </c>
      <c r="Y55" s="1" cm="1">
        <f t="array" ref="Y55">[1]!unf_pvt_Zgas_d($D55,Y$36,gg,zcor)</f>
        <v>0.9496555447578432</v>
      </c>
      <c r="Z55" s="1" cm="1">
        <f t="array" ref="Z55">[1]!unf_pvt_Zgas_d($D55,Z$36,gg,zcor)</f>
        <v>0.95172802209854157</v>
      </c>
      <c r="AA55" s="1" cm="1">
        <f t="array" ref="AA55">[1]!unf_pvt_Zgas_d($D55,AA$36,gg,zcor)</f>
        <v>0.95422924757003802</v>
      </c>
      <c r="AB55" s="1" cm="1">
        <f t="array" ref="AB55">[1]!unf_pvt_Zgas_d($D55,AB$36,gg,zcor)</f>
        <v>0.95714286565780649</v>
      </c>
      <c r="AC55" s="1" cm="1">
        <f t="array" ref="AC55">[1]!unf_pvt_Zgas_d($D55,AC$36,gg,zcor)</f>
        <v>0.96045252084732069</v>
      </c>
      <c r="AD55" s="1" cm="1">
        <f t="array" ref="AD55">[1]!unf_pvt_Zgas_d($D55,AD$36,gg,zcor)</f>
        <v>0.96414068937301645</v>
      </c>
      <c r="AE55" s="1" cm="1">
        <f t="array" ref="AE55">[1]!unf_pvt_Zgas_d($D55,AE$36,gg,zcor)</f>
        <v>0.96818984746932979</v>
      </c>
      <c r="AF55" s="1" cm="1">
        <f t="array" ref="AF55">[1]!unf_pvt_Zgas_d($D55,AF$36,gg,zcor)</f>
        <v>0.97258247137069698</v>
      </c>
      <c r="AG55" s="1" cm="1">
        <f t="array" ref="AG55">[1]!unf_pvt_Zgas_d($D55,AG$36,gg,zcor)</f>
        <v>0.97730103731155404</v>
      </c>
      <c r="AH55" s="1" cm="1">
        <f t="array" ref="AH55">[1]!unf_pvt_Zgas_d($D55,AH$36,gg,zcor)</f>
        <v>0.98232918977737449</v>
      </c>
      <c r="AI55" s="1" cm="1">
        <f t="array" ref="AI55">[1]!unf_pvt_Zgas_d($D55,AI$36,gg,zcor)</f>
        <v>0.98764940500259391</v>
      </c>
      <c r="AJ55" s="1" cm="1">
        <f t="array" ref="AJ55">[1]!unf_pvt_Zgas_d($D55,AJ$36,gg,zcor)</f>
        <v>0.99324649572372437</v>
      </c>
      <c r="AK55" s="1" cm="1">
        <f t="array" ref="AK55">[1]!unf_pvt_Zgas_d($D55,AK$36,gg,zcor)</f>
        <v>0.99910527467727661</v>
      </c>
    </row>
    <row r="56" spans="3:37" x14ac:dyDescent="0.3">
      <c r="C56">
        <v>180</v>
      </c>
      <c r="D56" s="2">
        <f t="shared" si="1"/>
        <v>453.15</v>
      </c>
      <c r="E56" t="str">
        <f t="shared" si="2"/>
        <v>t=180 C</v>
      </c>
      <c r="F56" s="1" cm="1">
        <f t="array" ref="F56">[1]!unf_pvt_Zgas_d($D56,F$36,gg,zcor)</f>
        <v>0.99931789636611956</v>
      </c>
      <c r="G56" s="1" cm="1">
        <f t="array" ref="G56">[1]!unf_pvt_Zgas_d($D56,G$36,gg,zcor)</f>
        <v>0.99336448907852182</v>
      </c>
      <c r="H56" s="1" cm="1">
        <f t="array" ref="H56">[1]!unf_pvt_Zgas_d($D56,H$36,gg,zcor)</f>
        <v>0.98775221109390254</v>
      </c>
      <c r="I56" s="1" cm="1">
        <f t="array" ref="I56">[1]!unf_pvt_Zgas_d($D56,I$36,gg,zcor)</f>
        <v>0.98250092267990108</v>
      </c>
      <c r="J56" s="1" cm="1">
        <f t="array" ref="J56">[1]!unf_pvt_Zgas_d($D56,J$36,gg,zcor)</f>
        <v>0.97762581110000624</v>
      </c>
      <c r="K56" s="1" cm="1">
        <f t="array" ref="K56">[1]!unf_pvt_Zgas_d($D56,K$36,gg,zcor)</f>
        <v>0.97314440011978154</v>
      </c>
      <c r="L56" s="1" cm="1">
        <f t="array" ref="L56">[1]!unf_pvt_Zgas_d($D56,L$36,gg,zcor)</f>
        <v>0.96907304525375371</v>
      </c>
      <c r="M56" s="1" cm="1">
        <f t="array" ref="M56">[1]!unf_pvt_Zgas_d($D56,M$36,gg,zcor)</f>
        <v>0.96542576551437387</v>
      </c>
      <c r="N56" s="1" cm="1">
        <f t="array" ref="N56">[1]!unf_pvt_Zgas_d($D56,N$36,gg,zcor)</f>
        <v>0.96221307516098031</v>
      </c>
      <c r="O56" s="1" cm="1">
        <f t="array" ref="O56">[1]!unf_pvt_Zgas_d($D56,O$36,gg,zcor)</f>
        <v>0.95944665670394902</v>
      </c>
      <c r="P56" s="1" cm="1">
        <f t="array" ref="P56">[1]!unf_pvt_Zgas_d($D56,P$36,gg,zcor)</f>
        <v>0.95713351964950566</v>
      </c>
      <c r="Q56" s="1" cm="1">
        <f t="array" ref="Q56">[1]!unf_pvt_Zgas_d($D56,Q$36,gg,zcor)</f>
        <v>0.95528067350387569</v>
      </c>
      <c r="R56" s="1" cm="1">
        <f t="array" ref="R56">[1]!unf_pvt_Zgas_d($D56,R$36,gg,zcor)</f>
        <v>0.9538904547691347</v>
      </c>
      <c r="S56" s="1" cm="1">
        <f t="array" ref="S56">[1]!unf_pvt_Zgas_d($D56,S$36,gg,zcor)</f>
        <v>0.95296519994735718</v>
      </c>
      <c r="T56" s="1" cm="1">
        <f t="array" ref="T56">[1]!unf_pvt_Zgas_d($D56,T$36,gg,zcor)</f>
        <v>0.95250257253646864</v>
      </c>
      <c r="U56" s="1" cm="1">
        <f t="array" ref="U56">[1]!unf_pvt_Zgas_d($D56,U$36,gg,zcor)</f>
        <v>0.9524990677833558</v>
      </c>
      <c r="V56" s="1" cm="1">
        <f t="array" ref="V56">[1]!unf_pvt_Zgas_d($D56,V$36,gg,zcor)</f>
        <v>0.95295001268386859</v>
      </c>
      <c r="W56" s="1" cm="1">
        <f t="array" ref="W56">[1]!unf_pvt_Zgas_d($D56,W$36,gg,zcor)</f>
        <v>0.95384722948074363</v>
      </c>
      <c r="X56" s="1" cm="1">
        <f t="array" ref="X56">[1]!unf_pvt_Zgas_d($D56,X$36,gg,zcor)</f>
        <v>0.95517903566360474</v>
      </c>
      <c r="Y56" s="1" cm="1">
        <f t="array" ref="Y56">[1]!unf_pvt_Zgas_d($D56,Y$36,gg,zcor)</f>
        <v>0.95693725347518921</v>
      </c>
      <c r="Z56" s="1" cm="1">
        <f t="array" ref="Z56">[1]!unf_pvt_Zgas_d($D56,Z$36,gg,zcor)</f>
        <v>0.9591078639030457</v>
      </c>
      <c r="AA56" s="1" cm="1">
        <f t="array" ref="AA56">[1]!unf_pvt_Zgas_d($D56,AA$36,gg,zcor)</f>
        <v>0.96167684793472308</v>
      </c>
      <c r="AB56" s="1" cm="1">
        <f t="array" ref="AB56">[1]!unf_pvt_Zgas_d($D56,AB$36,gg,zcor)</f>
        <v>0.96463018655776978</v>
      </c>
      <c r="AC56" s="1" cm="1">
        <f t="array" ref="AC56">[1]!unf_pvt_Zgas_d($D56,AC$36,gg,zcor)</f>
        <v>0.96795152425765996</v>
      </c>
      <c r="AD56" s="1" cm="1">
        <f t="array" ref="AD56">[1]!unf_pvt_Zgas_d($D56,AD$36,gg,zcor)</f>
        <v>0.97162684202194227</v>
      </c>
      <c r="AE56" s="1" cm="1">
        <f t="array" ref="AE56">[1]!unf_pvt_Zgas_d($D56,AE$36,gg,zcor)</f>
        <v>0.97563978433609</v>
      </c>
      <c r="AF56" s="1" cm="1">
        <f t="array" ref="AF56">[1]!unf_pvt_Zgas_d($D56,AF$36,gg,zcor)</f>
        <v>0.97997516393661499</v>
      </c>
      <c r="AG56" s="1" cm="1">
        <f t="array" ref="AG56">[1]!unf_pvt_Zgas_d($D56,AG$36,gg,zcor)</f>
        <v>0.98461545705795284</v>
      </c>
      <c r="AH56" s="1" cm="1">
        <f t="array" ref="AH56">[1]!unf_pvt_Zgas_d($D56,AH$36,gg,zcor)</f>
        <v>0.98954664468765263</v>
      </c>
      <c r="AI56" s="1" cm="1">
        <f t="array" ref="AI56">[1]!unf_pvt_Zgas_d($D56,AI$36,gg,zcor)</f>
        <v>0.99475237131118788</v>
      </c>
      <c r="AJ56" s="1" cm="1">
        <f t="array" ref="AJ56">[1]!unf_pvt_Zgas_d($D56,AJ$36,gg,zcor)</f>
        <v>1.0002197861671449</v>
      </c>
      <c r="AK56" s="1" cm="1">
        <f t="array" ref="AK56">[1]!unf_pvt_Zgas_d($D56,AK$36,gg,zcor)</f>
        <v>1.0059325337409974</v>
      </c>
    </row>
    <row r="57" spans="3:37" x14ac:dyDescent="0.3">
      <c r="C57">
        <v>190</v>
      </c>
      <c r="D57" s="2">
        <f t="shared" si="1"/>
        <v>463.15</v>
      </c>
      <c r="E57" t="str">
        <f t="shared" si="2"/>
        <v>t=190 C</v>
      </c>
      <c r="F57" s="1" cm="1">
        <f t="array" ref="F57">[1]!unf_pvt_Zgas_d($D57,F$36,gg,zcor)</f>
        <v>0.99937397241592429</v>
      </c>
      <c r="G57" s="1" cm="1">
        <f t="array" ref="G57">[1]!unf_pvt_Zgas_d($D57,G$36,gg,zcor)</f>
        <v>0.99391824007034302</v>
      </c>
      <c r="H57" s="1" cm="1">
        <f t="array" ref="H57">[1]!unf_pvt_Zgas_d($D57,H$36,gg,zcor)</f>
        <v>0.98879896402358991</v>
      </c>
      <c r="I57" s="1" cm="1">
        <f t="array" ref="I57">[1]!unf_pvt_Zgas_d($D57,I$36,gg,zcor)</f>
        <v>0.98403133153915401</v>
      </c>
      <c r="J57" s="1" cm="1">
        <f t="array" ref="J57">[1]!unf_pvt_Zgas_d($D57,J$36,gg,zcor)</f>
        <v>0.97963169813156137</v>
      </c>
      <c r="K57" s="1" cm="1">
        <f t="array" ref="K57">[1]!unf_pvt_Zgas_d($D57,K$36,gg,zcor)</f>
        <v>0.97561291456222543</v>
      </c>
      <c r="L57" s="1" cm="1">
        <f t="array" ref="L57">[1]!unf_pvt_Zgas_d($D57,L$36,gg,zcor)</f>
        <v>0.9719913363456727</v>
      </c>
      <c r="M57" s="1" cm="1">
        <f t="array" ref="M57">[1]!unf_pvt_Zgas_d($D57,M$36,gg,zcor)</f>
        <v>0.9687751412391663</v>
      </c>
      <c r="N57" s="1" cm="1">
        <f t="array" ref="N57">[1]!unf_pvt_Zgas_d($D57,N$36,gg,zcor)</f>
        <v>0.96597601175308245</v>
      </c>
      <c r="O57" s="1" cm="1">
        <f t="array" ref="O57">[1]!unf_pvt_Zgas_d($D57,O$36,gg,zcor)</f>
        <v>0.96360095739364615</v>
      </c>
      <c r="P57" s="1" cm="1">
        <f t="array" ref="P57">[1]!unf_pvt_Zgas_d($D57,P$36,gg,zcor)</f>
        <v>0.96165815591812143</v>
      </c>
      <c r="Q57" s="1" cm="1">
        <f t="array" ref="Q57">[1]!unf_pvt_Zgas_d($D57,Q$36,gg,zcor)</f>
        <v>0.96014994382858276</v>
      </c>
      <c r="R57" s="1" cm="1">
        <f t="array" ref="R57">[1]!unf_pvt_Zgas_d($D57,R$36,gg,zcor)</f>
        <v>0.95907865762710576</v>
      </c>
      <c r="S57" s="1" cm="1">
        <f t="array" ref="S57">[1]!unf_pvt_Zgas_d($D57,S$36,gg,zcor)</f>
        <v>0.95844429731369041</v>
      </c>
      <c r="T57" s="1" cm="1">
        <f t="array" ref="T57">[1]!unf_pvt_Zgas_d($D57,T$36,gg,zcor)</f>
        <v>0.95824569463729858</v>
      </c>
      <c r="U57" s="1" cm="1">
        <f t="array" ref="U57">[1]!unf_pvt_Zgas_d($D57,U$36,gg,zcor)</f>
        <v>0.95847700834274296</v>
      </c>
      <c r="V57" s="1" cm="1">
        <f t="array" ref="V57">[1]!unf_pvt_Zgas_d($D57,V$36,gg,zcor)</f>
        <v>0.9591335654258728</v>
      </c>
      <c r="W57" s="1" cm="1">
        <f t="array" ref="W57">[1]!unf_pvt_Zgas_d($D57,W$36,gg,zcor)</f>
        <v>0.9602060198783875</v>
      </c>
      <c r="X57" s="1" cm="1">
        <f t="array" ref="X57">[1]!unf_pvt_Zgas_d($D57,X$36,gg,zcor)</f>
        <v>0.96168736219406137</v>
      </c>
      <c r="Y57" s="1" cm="1">
        <f t="array" ref="Y57">[1]!unf_pvt_Zgas_d($D57,Y$36,gg,zcor)</f>
        <v>0.96356474161148076</v>
      </c>
      <c r="Z57" s="1" cm="1">
        <f t="array" ref="Z57">[1]!unf_pvt_Zgas_d($D57,Z$36,gg,zcor)</f>
        <v>0.96582764387130737</v>
      </c>
      <c r="AA57" s="1" cm="1">
        <f t="array" ref="AA57">[1]!unf_pvt_Zgas_d($D57,AA$36,gg,zcor)</f>
        <v>0.96846321821212777</v>
      </c>
      <c r="AB57" s="1" cm="1">
        <f t="array" ref="AB57">[1]!unf_pvt_Zgas_d($D57,AB$36,gg,zcor)</f>
        <v>0.97145861387252808</v>
      </c>
      <c r="AC57" s="1" cm="1">
        <f t="array" ref="AC57">[1]!unf_pvt_Zgas_d($D57,AC$36,gg,zcor)</f>
        <v>0.974797475337982</v>
      </c>
      <c r="AD57" s="1" cm="1">
        <f t="array" ref="AD57">[1]!unf_pvt_Zgas_d($D57,AD$36,gg,zcor)</f>
        <v>0.97846812009811401</v>
      </c>
      <c r="AE57" s="1" cm="1">
        <f t="array" ref="AE57">[1]!unf_pvt_Zgas_d($D57,AE$36,gg,zcor)</f>
        <v>0.98245536088943486</v>
      </c>
      <c r="AF57" s="1" cm="1">
        <f t="array" ref="AF57">[1]!unf_pvt_Zgas_d($D57,AF$36,gg,zcor)</f>
        <v>0.98674401044845572</v>
      </c>
      <c r="AG57" s="1" cm="1">
        <f t="array" ref="AG57">[1]!unf_pvt_Zgas_d($D57,AG$36,gg,zcor)</f>
        <v>0.99132004976272592</v>
      </c>
      <c r="AH57" s="1" cm="1">
        <f t="array" ref="AH57">[1]!unf_pvt_Zgas_d($D57,AH$36,gg,zcor)</f>
        <v>0.99616945981979366</v>
      </c>
      <c r="AI57" s="1" cm="1">
        <f t="array" ref="AI57">[1]!unf_pvt_Zgas_d($D57,AI$36,gg,zcor)</f>
        <v>1.001278221607208</v>
      </c>
      <c r="AJ57" s="1" cm="1">
        <f t="array" ref="AJ57">[1]!unf_pvt_Zgas_d($D57,AJ$36,gg,zcor)</f>
        <v>1.006633484363556</v>
      </c>
      <c r="AK57" s="1" cm="1">
        <f t="array" ref="AK57">[1]!unf_pvt_Zgas_d($D57,AK$36,gg,zcor)</f>
        <v>1.0122212290763855</v>
      </c>
    </row>
    <row r="58" spans="3:37" x14ac:dyDescent="0.3">
      <c r="C58">
        <v>200</v>
      </c>
      <c r="D58" s="2">
        <f t="shared" si="1"/>
        <v>473.15</v>
      </c>
      <c r="E58" t="str">
        <f t="shared" si="2"/>
        <v>t=200 C</v>
      </c>
      <c r="F58" s="1" cm="1">
        <f t="array" ref="F58">[1]!unf_pvt_Zgas_d($D58,F$36,gg,zcor)</f>
        <v>0.9994253754615785</v>
      </c>
      <c r="G58" s="1" cm="1">
        <f t="array" ref="G58">[1]!unf_pvt_Zgas_d($D58,G$36,gg,zcor)</f>
        <v>0.994426429271698</v>
      </c>
      <c r="H58" s="1" cm="1">
        <f t="array" ref="H58">[1]!unf_pvt_Zgas_d($D58,H$36,gg,zcor)</f>
        <v>0.98975809812545767</v>
      </c>
      <c r="I58" s="1" cm="1">
        <f t="array" ref="I58">[1]!unf_pvt_Zgas_d($D58,I$36,gg,zcor)</f>
        <v>0.98543440103530866</v>
      </c>
      <c r="J58" s="1" cm="1">
        <f t="array" ref="J58">[1]!unf_pvt_Zgas_d($D58,J$36,gg,zcor)</f>
        <v>0.98146818876266484</v>
      </c>
      <c r="K58" s="1" cm="1">
        <f t="array" ref="K58">[1]!unf_pvt_Zgas_d($D58,K$36,gg,zcor)</f>
        <v>0.97787231206893921</v>
      </c>
      <c r="L58" s="1" cm="1">
        <f t="array" ref="L58">[1]!unf_pvt_Zgas_d($D58,L$36,gg,zcor)</f>
        <v>0.9746572852134705</v>
      </c>
      <c r="M58" s="1" cm="1">
        <f t="array" ref="M58">[1]!unf_pvt_Zgas_d($D58,M$36,gg,zcor)</f>
        <v>0.97183479070663448</v>
      </c>
      <c r="N58" s="1" cm="1">
        <f t="array" ref="N58">[1]!unf_pvt_Zgas_d($D58,N$36,gg,zcor)</f>
        <v>0.96941066980361956</v>
      </c>
      <c r="O58" s="1" cm="1">
        <f t="array" ref="O58">[1]!unf_pvt_Zgas_d($D58,O$36,gg,zcor)</f>
        <v>0.96739193201065077</v>
      </c>
      <c r="P58" s="1" cm="1">
        <f t="array" ref="P58">[1]!unf_pvt_Zgas_d($D58,P$36,gg,zcor)</f>
        <v>0.96578325033187884</v>
      </c>
      <c r="Q58" s="1" cm="1">
        <f t="array" ref="Q58">[1]!unf_pvt_Zgas_d($D58,Q$36,gg,zcor)</f>
        <v>0.96458696126937871</v>
      </c>
      <c r="R58" s="1" cm="1">
        <f t="array" ref="R58">[1]!unf_pvt_Zgas_d($D58,R$36,gg,zcor)</f>
        <v>0.96380423307418828</v>
      </c>
      <c r="S58" s="1" cm="1">
        <f t="array" ref="S58">[1]!unf_pvt_Zgas_d($D58,S$36,gg,zcor)</f>
        <v>0.96343506574630755</v>
      </c>
      <c r="T58" s="1" cm="1">
        <f t="array" ref="T58">[1]!unf_pvt_Zgas_d($D58,T$36,gg,zcor)</f>
        <v>0.96347478628158578</v>
      </c>
      <c r="U58" s="1" cm="1">
        <f t="array" ref="U58">[1]!unf_pvt_Zgas_d($D58,U$36,gg,zcor)</f>
        <v>0.96391988992691058</v>
      </c>
      <c r="V58" s="1" cm="1">
        <f t="array" ref="V58">[1]!unf_pvt_Zgas_d($D58,V$36,gg,zcor)</f>
        <v>0.96476336717605582</v>
      </c>
      <c r="W58" s="1" cm="1">
        <f t="array" ref="W58">[1]!unf_pvt_Zgas_d($D58,W$36,gg,zcor)</f>
        <v>0.96599937677383441</v>
      </c>
      <c r="X58" s="1" cm="1">
        <f t="array" ref="X58">[1]!unf_pvt_Zgas_d($D58,X$36,gg,zcor)</f>
        <v>0.96761623620986947</v>
      </c>
      <c r="Y58" s="1" cm="1">
        <f t="array" ref="Y58">[1]!unf_pvt_Zgas_d($D58,Y$36,gg,zcor)</f>
        <v>0.9696057677268981</v>
      </c>
      <c r="Z58" s="1" cm="1">
        <f t="array" ref="Z58">[1]!unf_pvt_Zgas_d($D58,Z$36,gg,zcor)</f>
        <v>0.97195628881454477</v>
      </c>
      <c r="AA58" s="1" cm="1">
        <f t="array" ref="AA58">[1]!unf_pvt_Zgas_d($D58,AA$36,gg,zcor)</f>
        <v>0.97465611696243282</v>
      </c>
      <c r="AB58" s="1" cm="1">
        <f t="array" ref="AB58">[1]!unf_pvt_Zgas_d($D58,AB$36,gg,zcor)</f>
        <v>0.97769240140914904</v>
      </c>
      <c r="AC58" s="1" cm="1">
        <f t="array" ref="AC58">[1]!unf_pvt_Zgas_d($D58,AC$36,gg,zcor)</f>
        <v>0.98105345964431767</v>
      </c>
      <c r="AD58" s="1" cm="1">
        <f t="array" ref="AD58">[1]!unf_pvt_Zgas_d($D58,AD$36,gg,zcor)</f>
        <v>0.98472410440444946</v>
      </c>
      <c r="AE58" s="1" cm="1">
        <f t="array" ref="AE58">[1]!unf_pvt_Zgas_d($D58,AE$36,gg,zcor)</f>
        <v>0.98869148492813119</v>
      </c>
      <c r="AF58" s="1" cm="1">
        <f t="array" ref="AF58">[1]!unf_pvt_Zgas_d($D58,AF$36,gg,zcor)</f>
        <v>0.99294391870498666</v>
      </c>
      <c r="AG58" s="1" cm="1">
        <f t="array" ref="AG58">[1]!unf_pvt_Zgas_d($D58,AG$36,gg,zcor)</f>
        <v>0.99746621847152706</v>
      </c>
      <c r="AH58" s="1" cm="1">
        <f t="array" ref="AH58">[1]!unf_pvt_Zgas_d($D58,AH$36,gg,zcor)</f>
        <v>1.0022467017173766</v>
      </c>
      <c r="AI58" s="1" cm="1">
        <f t="array" ref="AI58">[1]!unf_pvt_Zgas_d($D58,AI$36,gg,zcor)</f>
        <v>1.0072713494300842</v>
      </c>
      <c r="AJ58" s="1" cm="1">
        <f t="array" ref="AJ58">[1]!unf_pvt_Zgas_d($D58,AJ$36,gg,zcor)</f>
        <v>1.0125296473503111</v>
      </c>
      <c r="AK58" s="1" cm="1">
        <f t="array" ref="AK58">[1]!unf_pvt_Zgas_d($D58,AK$36,gg,zcor)</f>
        <v>1.0180075764656069</v>
      </c>
    </row>
    <row r="59" spans="3:37" x14ac:dyDescent="0.3"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</row>
    <row r="60" spans="3:37" x14ac:dyDescent="0.3"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</row>
    <row r="61" spans="3:37" x14ac:dyDescent="0.3"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</row>
    <row r="62" spans="3:37" x14ac:dyDescent="0.3">
      <c r="E62" t="str">
        <f t="shared" ref="E62:E82" si="3">E38</f>
        <v>t=0 C</v>
      </c>
      <c r="F62" s="1" cm="1">
        <f t="array" ref="F62">[1]!unf_pvt_dZdt($D38,F$36,gg,zcor)*100</f>
        <v>4.6730041503018072E-3</v>
      </c>
      <c r="G62" s="1" cm="1">
        <f t="array" ref="G62">[1]!unf_pvt_dZdt($D38,G$36,gg,zcor)*100</f>
        <v>4.4393539428755346E-2</v>
      </c>
      <c r="H62" s="1" cm="1">
        <f t="array" ref="H62">[1]!unf_pvt_dZdt($D38,H$36,gg,zcor)*100</f>
        <v>8.8787078857510693E-2</v>
      </c>
      <c r="I62" s="1" cm="1">
        <f t="array" ref="I62">[1]!unf_pvt_dZdt($D38,I$36,gg,zcor)*100</f>
        <v>0.13902187347403228</v>
      </c>
      <c r="J62" s="1" cm="1">
        <f t="array" ref="J62">[1]!unf_pvt_dZdt($D38,J$36,gg,zcor)*100</f>
        <v>0.19392967224129976</v>
      </c>
      <c r="K62" s="1" cm="1">
        <f t="array" ref="K62">[1]!unf_pvt_dZdt($D38,K$36,gg,zcor)*100</f>
        <v>0.25467872619611143</v>
      </c>
      <c r="L62" s="1" cm="1">
        <f t="array" ref="L62">[1]!unf_pvt_dZdt($D38,L$36,gg,zcor)*100</f>
        <v>0.32126903533935547</v>
      </c>
      <c r="M62" s="1" cm="1">
        <f t="array" ref="M62">[1]!unf_pvt_dZdt($D38,M$36,gg,zcor)*100</f>
        <v>0.39019584655752837</v>
      </c>
      <c r="N62" s="1" cm="1">
        <f t="array" ref="N62">[1]!unf_pvt_dZdt($D38,N$36,gg,zcor)*100</f>
        <v>0.45795440673845889</v>
      </c>
      <c r="O62" s="1" cm="1">
        <f t="array" ref="O62">[1]!unf_pvt_dZdt($D38,O$36,gg,zcor)*100</f>
        <v>0.51753520965580613</v>
      </c>
      <c r="P62" s="1" cm="1">
        <f t="array" ref="P62">[1]!unf_pvt_dZdt($D38,P$36,gg,zcor)*100</f>
        <v>0.55375099182120024</v>
      </c>
      <c r="Q62" s="1" cm="1">
        <f t="array" ref="Q62">[1]!unf_pvt_dZdt($D38,Q$36,gg,zcor)*100</f>
        <v>0.56543350219739885</v>
      </c>
      <c r="R62" s="1" cm="1">
        <f t="array" ref="R62">[1]!unf_pvt_dZdt($D38,R$36,gg,zcor)*100</f>
        <v>0.55491924285888672</v>
      </c>
      <c r="S62" s="1" cm="1">
        <f t="array" ref="S62">[1]!unf_pvt_dZdt($D38,S$36,gg,zcor)*100</f>
        <v>0.52571296691894531</v>
      </c>
      <c r="T62" s="1" cm="1">
        <f t="array" ref="T62">[1]!unf_pvt_dZdt($D38,T$36,gg,zcor)*100</f>
        <v>0.48716068267840029</v>
      </c>
      <c r="U62" s="1" cm="1">
        <f t="array" ref="U62">[1]!unf_pvt_dZdt($D38,U$36,gg,zcor)*100</f>
        <v>0.4451036453245738</v>
      </c>
      <c r="V62" s="1" cm="1">
        <f t="array" ref="V62">[1]!unf_pvt_dZdt($D38,V$36,gg,zcor)*100</f>
        <v>0.40304660797119141</v>
      </c>
      <c r="W62" s="1" cm="1">
        <f t="array" ref="W62">[1]!unf_pvt_dZdt($D38,W$36,gg,zcor)*100</f>
        <v>0.36332607269318196</v>
      </c>
      <c r="X62" s="1" cm="1">
        <f t="array" ref="X62">[1]!unf_pvt_dZdt($D38,X$36,gg,zcor)*100</f>
        <v>0.32711029052734375</v>
      </c>
      <c r="Y62" s="1" cm="1">
        <f t="array" ref="Y62">[1]!unf_pvt_dZdt($D38,Y$36,gg,zcor)*100</f>
        <v>0.29323101043687849</v>
      </c>
      <c r="Z62" s="1" cm="1">
        <f t="array" ref="Z62">[1]!unf_pvt_dZdt($D38,Z$36,gg,zcor)*100</f>
        <v>0.26168823242200823</v>
      </c>
      <c r="AA62" s="1" cm="1">
        <f t="array" ref="AA62">[1]!unf_pvt_dZdt($D38,AA$36,gg,zcor)*100</f>
        <v>0.23365020751930921</v>
      </c>
      <c r="AB62" s="1" cm="1">
        <f t="array" ref="AB62">[1]!unf_pvt_dZdt($D38,AB$36,gg,zcor)*100</f>
        <v>0.21028518676757813</v>
      </c>
      <c r="AC62" s="1" cm="1">
        <f t="array" ref="AC62">[1]!unf_pvt_dZdt($D38,AC$36,gg,zcor)*100</f>
        <v>0.186920166015625</v>
      </c>
      <c r="AD62" s="1" cm="1">
        <f t="array" ref="AD62">[1]!unf_pvt_dZdt($D38,AD$36,gg,zcor)*100</f>
        <v>0.16822814941397368</v>
      </c>
      <c r="AE62" s="1" cm="1">
        <f t="array" ref="AE62">[1]!unf_pvt_dZdt($D38,AE$36,gg,zcor)*100</f>
        <v>0.14953613281254441</v>
      </c>
      <c r="AF62" s="1" cm="1">
        <f t="array" ref="AF62">[1]!unf_pvt_dZdt($D38,AF$36,gg,zcor)*100</f>
        <v>0.13201236724857957</v>
      </c>
      <c r="AG62" s="1" cm="1">
        <f t="array" ref="AG62">[1]!unf_pvt_dZdt($D38,AG$36,gg,zcor)*100</f>
        <v>0.11682510375976563</v>
      </c>
      <c r="AH62" s="1" cm="1">
        <f t="array" ref="AH62">[1]!unf_pvt_dZdt($D38,AH$36,gg,zcor)*100</f>
        <v>0.10163784027095168</v>
      </c>
      <c r="AI62" s="1" cm="1">
        <f t="array" ref="AI62">[1]!unf_pvt_dZdt($D38,AI$36,gg,zcor)*100</f>
        <v>8.7618827819824219E-2</v>
      </c>
      <c r="AJ62" s="1" cm="1">
        <f t="array" ref="AJ62">[1]!unf_pvt_dZdt($D38,AJ$36,gg,zcor)*100</f>
        <v>7.4768066406383227E-2</v>
      </c>
      <c r="AK62" s="1" cm="1">
        <f t="array" ref="AK62">[1]!unf_pvt_dZdt($D38,AK$36,gg,zcor)*100</f>
        <v>6.3085556030406664E-2</v>
      </c>
    </row>
    <row r="63" spans="3:37" x14ac:dyDescent="0.3">
      <c r="E63" t="str">
        <f t="shared" si="3"/>
        <v>t=10 C</v>
      </c>
      <c r="F63" s="1" cm="1">
        <f t="array" ref="F63">[1]!unf_pvt_dZdt($D39,F$36,gg,zcor)*100</f>
        <v>3.5047531128373777E-3</v>
      </c>
      <c r="G63" s="1" cm="1">
        <f t="array" ref="G63">[1]!unf_pvt_dZdt($D39,G$36,gg,zcor)*100</f>
        <v>3.8552284240767065E-2</v>
      </c>
      <c r="H63" s="1" cm="1">
        <f t="array" ref="H63">[1]!unf_pvt_dZdt($D39,H$36,gg,zcor)*100</f>
        <v>7.5936317443847656E-2</v>
      </c>
      <c r="I63" s="1" cm="1">
        <f t="array" ref="I63">[1]!unf_pvt_dZdt($D39,I$36,gg,zcor)*100</f>
        <v>0.11682510375976563</v>
      </c>
      <c r="J63" s="1" cm="1">
        <f t="array" ref="J63">[1]!unf_pvt_dZdt($D39,J$36,gg,zcor)*100</f>
        <v>0.1623868942259854</v>
      </c>
      <c r="K63" s="1" cm="1">
        <f t="array" ref="K63">[1]!unf_pvt_dZdt($D39,K$36,gg,zcor)*100</f>
        <v>0.21028518676757813</v>
      </c>
      <c r="L63" s="1" cm="1">
        <f t="array" ref="L63">[1]!unf_pvt_dZdt($D39,L$36,gg,zcor)*100</f>
        <v>0.26168823242200823</v>
      </c>
      <c r="M63" s="1" cm="1">
        <f t="array" ref="M63">[1]!unf_pvt_dZdt($D39,M$36,gg,zcor)*100</f>
        <v>0.31309127807643833</v>
      </c>
      <c r="N63" s="1" cm="1">
        <f t="array" ref="N63">[1]!unf_pvt_dZdt($D39,N$36,gg,zcor)*100</f>
        <v>0.36449432373042434</v>
      </c>
      <c r="O63" s="1" cm="1">
        <f t="array" ref="O63">[1]!unf_pvt_dZdt($D39,O$36,gg,zcor)*100</f>
        <v>0.41122436523455264</v>
      </c>
      <c r="P63" s="1" cm="1">
        <f t="array" ref="P63">[1]!unf_pvt_dZdt($D39,P$36,gg,zcor)*100</f>
        <v>0.44860839843741118</v>
      </c>
      <c r="Q63" s="1" cm="1">
        <f t="array" ref="Q63">[1]!unf_pvt_dZdt($D39,Q$36,gg,zcor)*100</f>
        <v>0.4696369171142134</v>
      </c>
      <c r="R63" s="1" cm="1">
        <f t="array" ref="R63">[1]!unf_pvt_dZdt($D39,R$36,gg,zcor)*100</f>
        <v>0.47547817230197964</v>
      </c>
      <c r="S63" s="1" cm="1">
        <f t="array" ref="S63">[1]!unf_pvt_dZdt($D39,S$36,gg,zcor)*100</f>
        <v>0.4673004150390625</v>
      </c>
      <c r="T63" s="1" cm="1">
        <f t="array" ref="T63">[1]!unf_pvt_dZdt($D39,T$36,gg,zcor)*100</f>
        <v>0.44977664947487561</v>
      </c>
      <c r="U63" s="1" cm="1">
        <f t="array" ref="U63">[1]!unf_pvt_dZdt($D39,U$36,gg,zcor)*100</f>
        <v>0.42524337768545806</v>
      </c>
      <c r="V63" s="1" cm="1">
        <f t="array" ref="V63">[1]!unf_pvt_dZdt($D39,V$36,gg,zcor)*100</f>
        <v>0.39837360382066755</v>
      </c>
      <c r="W63" s="1" cm="1">
        <f t="array" ref="W63">[1]!unf_pvt_dZdt($D39,W$36,gg,zcor)*100</f>
        <v>0.36799907684326172</v>
      </c>
      <c r="X63" s="1" cm="1">
        <f t="array" ref="X63">[1]!unf_pvt_dZdt($D39,X$36,gg,zcor)*100</f>
        <v>0.33879280090309827</v>
      </c>
      <c r="Y63" s="1" cm="1">
        <f t="array" ref="Y63">[1]!unf_pvt_dZdt($D39,Y$36,gg,zcor)*100</f>
        <v>0.30958652496360095</v>
      </c>
      <c r="Z63" s="1" cm="1">
        <f t="array" ref="Z63">[1]!unf_pvt_dZdt($D39,Z$36,gg,zcor)*100</f>
        <v>0.28388500213627488</v>
      </c>
      <c r="AA63" s="1" cm="1">
        <f t="array" ref="AA63">[1]!unf_pvt_dZdt($D39,AA$36,gg,zcor)*100</f>
        <v>0.25701522827148438</v>
      </c>
      <c r="AB63" s="1" cm="1">
        <f t="array" ref="AB63">[1]!unf_pvt_dZdt($D39,AB$36,gg,zcor)*100</f>
        <v>0.23481845855721772</v>
      </c>
      <c r="AC63" s="1" cm="1">
        <f t="array" ref="AC63">[1]!unf_pvt_dZdt($D39,AC$36,gg,zcor)*100</f>
        <v>0.21145343780504255</v>
      </c>
      <c r="AD63" s="1" cm="1">
        <f t="array" ref="AD63">[1]!unf_pvt_dZdt($D39,AD$36,gg,zcor)*100</f>
        <v>0.19276142120361328</v>
      </c>
      <c r="AE63" s="1" cm="1">
        <f t="array" ref="AE63">[1]!unf_pvt_dZdt($D39,AE$36,gg,zcor)*100</f>
        <v>0.17406940460196196</v>
      </c>
      <c r="AF63" s="1" cm="1">
        <f t="array" ref="AF63">[1]!unf_pvt_dZdt($D39,AF$36,gg,zcor)*100</f>
        <v>0.15654563903799712</v>
      </c>
      <c r="AG63" s="1" cm="1">
        <f t="array" ref="AG63">[1]!unf_pvt_dZdt($D39,AG$36,gg,zcor)*100</f>
        <v>0.14019012451171875</v>
      </c>
      <c r="AH63" s="1" cm="1">
        <f t="array" ref="AH63">[1]!unf_pvt_dZdt($D39,AH$36,gg,zcor)*100</f>
        <v>0.12500286102312685</v>
      </c>
      <c r="AI63" s="1" cm="1">
        <f t="array" ref="AI63">[1]!unf_pvt_dZdt($D39,AI$36,gg,zcor)*100</f>
        <v>0.11098384857177734</v>
      </c>
      <c r="AJ63" s="1" cm="1">
        <f t="array" ref="AJ63">[1]!unf_pvt_dZdt($D39,AJ$36,gg,zcor)*100</f>
        <v>9.6964836120649878E-2</v>
      </c>
      <c r="AK63" s="1" cm="1">
        <f t="array" ref="AK63">[1]!unf_pvt_dZdt($D39,AK$36,gg,zcor)*100</f>
        <v>8.4114074706986841E-2</v>
      </c>
    </row>
    <row r="64" spans="3:37" x14ac:dyDescent="0.3">
      <c r="E64" t="str">
        <f t="shared" si="3"/>
        <v>t=20 C</v>
      </c>
      <c r="F64" s="1" cm="1">
        <f t="array" ref="F64">[1]!unf_pvt_dZdt($D40,F$36,gg,zcor)*100</f>
        <v>3.5047531128373777E-3</v>
      </c>
      <c r="G64" s="1" cm="1">
        <f t="array" ref="G64">[1]!unf_pvt_dZdt($D40,G$36,gg,zcor)*100</f>
        <v>3.3879280090243213E-2</v>
      </c>
      <c r="H64" s="1" cm="1">
        <f t="array" ref="H64">[1]!unf_pvt_dZdt($D40,H$36,gg,zcor)*100</f>
        <v>6.5422058105557568E-2</v>
      </c>
      <c r="I64" s="1" cm="1">
        <f t="array" ref="I64">[1]!unf_pvt_dZdt($D40,I$36,gg,zcor)*100</f>
        <v>0.10046958923326521</v>
      </c>
      <c r="J64" s="1" cm="1">
        <f t="array" ref="J64">[1]!unf_pvt_dZdt($D40,J$36,gg,zcor)*100</f>
        <v>0.13668537139888137</v>
      </c>
      <c r="K64" s="1" cm="1">
        <f t="array" ref="K64">[1]!unf_pvt_dZdt($D40,K$36,gg,zcor)*100</f>
        <v>0.17640590667733491</v>
      </c>
      <c r="L64" s="1" cm="1">
        <f t="array" ref="L64">[1]!unf_pvt_dZdt($D40,L$36,gg,zcor)*100</f>
        <v>0.21612644195578845</v>
      </c>
      <c r="M64" s="1" cm="1">
        <f t="array" ref="M64">[1]!unf_pvt_dZdt($D40,M$36,gg,zcor)*100</f>
        <v>0.25701522827126233</v>
      </c>
      <c r="N64" s="1" cm="1">
        <f t="array" ref="N64">[1]!unf_pvt_dZdt($D40,N$36,gg,zcor)*100</f>
        <v>0.29790401458740234</v>
      </c>
      <c r="O64" s="1" cm="1">
        <f t="array" ref="O64">[1]!unf_pvt_dZdt($D40,O$36,gg,zcor)*100</f>
        <v>0.33528804779048293</v>
      </c>
      <c r="P64" s="1" cm="1">
        <f t="array" ref="P64">[1]!unf_pvt_dZdt($D40,P$36,gg,zcor)*100</f>
        <v>0.36683082580557524</v>
      </c>
      <c r="Q64" s="1" cm="1">
        <f t="array" ref="Q64">[1]!unf_pvt_dZdt($D40,Q$36,gg,zcor)*100</f>
        <v>0.39019584655775041</v>
      </c>
      <c r="R64" s="1" cm="1">
        <f t="array" ref="R64">[1]!unf_pvt_dZdt($D40,R$36,gg,zcor)*100</f>
        <v>0.40421485900865584</v>
      </c>
      <c r="S64" s="1" cm="1">
        <f t="array" ref="S64">[1]!unf_pvt_dZdt($D40,S$36,gg,zcor)*100</f>
        <v>0.40655136108380674</v>
      </c>
      <c r="T64" s="1" cm="1">
        <f t="array" ref="T64">[1]!unf_pvt_dZdt($D40,T$36,gg,zcor)*100</f>
        <v>0.40071010589581846</v>
      </c>
      <c r="U64" s="1" cm="1">
        <f t="array" ref="U64">[1]!unf_pvt_dZdt($D40,U$36,gg,zcor)*100</f>
        <v>0.38902759552006394</v>
      </c>
      <c r="V64" s="1" cm="1">
        <f t="array" ref="V64">[1]!unf_pvt_dZdt($D40,V$36,gg,zcor)*100</f>
        <v>0.37267208099334148</v>
      </c>
      <c r="W64" s="1" cm="1">
        <f t="array" ref="W64">[1]!unf_pvt_dZdt($D40,W$36,gg,zcor)*100</f>
        <v>0.35281181335466982</v>
      </c>
      <c r="X64" s="1" cm="1">
        <f t="array" ref="X64">[1]!unf_pvt_dZdt($D40,X$36,gg,zcor)*100</f>
        <v>0.3317832946778676</v>
      </c>
      <c r="Y64" s="1" cm="1">
        <f t="array" ref="Y64">[1]!unf_pvt_dZdt($D40,Y$36,gg,zcor)*100</f>
        <v>0.30958652496337891</v>
      </c>
      <c r="Z64" s="1" cm="1">
        <f t="array" ref="Z64">[1]!unf_pvt_dZdt($D40,Z$36,gg,zcor)*100</f>
        <v>0.28855800628657668</v>
      </c>
      <c r="AA64" s="1" cm="1">
        <f t="array" ref="AA64">[1]!unf_pvt_dZdt($D40,AA$36,gg,zcor)*100</f>
        <v>0.26752948760999651</v>
      </c>
      <c r="AB64" s="1" cm="1">
        <f t="array" ref="AB64">[1]!unf_pvt_dZdt($D40,AB$36,gg,zcor)*100</f>
        <v>0.24650096893297224</v>
      </c>
      <c r="AC64" s="1" cm="1">
        <f t="array" ref="AC64">[1]!unf_pvt_dZdt($D40,AC$36,gg,zcor)*100</f>
        <v>0.22664070129407854</v>
      </c>
      <c r="AD64" s="1" cm="1">
        <f t="array" ref="AD64">[1]!unf_pvt_dZdt($D40,AD$36,gg,zcor)*100</f>
        <v>0.20794868469242722</v>
      </c>
      <c r="AE64" s="1" cm="1">
        <f t="array" ref="AE64">[1]!unf_pvt_dZdt($D40,AE$36,gg,zcor)*100</f>
        <v>0.19042491912846238</v>
      </c>
      <c r="AF64" s="1" cm="1">
        <f t="array" ref="AF64">[1]!unf_pvt_dZdt($D40,AF$36,gg,zcor)*100</f>
        <v>0.17406940460196196</v>
      </c>
      <c r="AG64" s="1" cm="1">
        <f t="array" ref="AG64">[1]!unf_pvt_dZdt($D40,AG$36,gg,zcor)*100</f>
        <v>0.15888214111314802</v>
      </c>
      <c r="AH64" s="1" cm="1">
        <f t="array" ref="AH64">[1]!unf_pvt_dZdt($D40,AH$36,gg,zcor)*100</f>
        <v>0.14369487762455613</v>
      </c>
      <c r="AI64" s="1" cm="1">
        <f t="array" ref="AI64">[1]!unf_pvt_dZdt($D40,AI$36,gg,zcor)*100</f>
        <v>0.12967586517320662</v>
      </c>
      <c r="AJ64" s="1" cm="1">
        <f t="array" ref="AJ64">[1]!unf_pvt_dZdt($D40,AJ$36,gg,zcor)*100</f>
        <v>0.11565685272207915</v>
      </c>
      <c r="AK64" s="1" cm="1">
        <f t="array" ref="AK64">[1]!unf_pvt_dZdt($D40,AK$36,gg,zcor)*100</f>
        <v>0.10280609130863816</v>
      </c>
    </row>
    <row r="65" spans="5:37" x14ac:dyDescent="0.3">
      <c r="E65" t="str">
        <f t="shared" si="3"/>
        <v>t=30 C</v>
      </c>
      <c r="F65" s="1" cm="1">
        <f t="array" ref="F65">[1]!unf_pvt_dZdt($D41,F$36,gg,zcor)*100</f>
        <v>2.3365020751509036E-3</v>
      </c>
      <c r="G65" s="1" cm="1">
        <f t="array" ref="G65">[1]!unf_pvt_dZdt($D41,G$36,gg,zcor)*100</f>
        <v>2.9206275939941406E-2</v>
      </c>
      <c r="H65" s="1" cm="1">
        <f t="array" ref="H65">[1]!unf_pvt_dZdt($D41,H$36,gg,zcor)*100</f>
        <v>5.6076049804731909E-2</v>
      </c>
      <c r="I65" s="1" cm="1">
        <f t="array" ref="I65">[1]!unf_pvt_dZdt($D41,I$36,gg,zcor)*100</f>
        <v>8.6450576782137745E-2</v>
      </c>
      <c r="J65" s="1" cm="1">
        <f t="array" ref="J65">[1]!unf_pvt_dZdt($D41,J$36,gg,zcor)*100</f>
        <v>0.11682510375976563</v>
      </c>
      <c r="K65" s="1" cm="1">
        <f t="array" ref="K65">[1]!unf_pvt_dZdt($D41,K$36,gg,zcor)*100</f>
        <v>0.14953613281254441</v>
      </c>
      <c r="L65" s="1" cm="1">
        <f t="array" ref="L65">[1]!unf_pvt_dZdt($D41,L$36,gg,zcor)*100</f>
        <v>0.18224716186532319</v>
      </c>
      <c r="M65" s="1" cm="1">
        <f t="array" ref="M65">[1]!unf_pvt_dZdt($D41,M$36,gg,zcor)*100</f>
        <v>0.21495819091787993</v>
      </c>
      <c r="N65" s="1" cm="1">
        <f t="array" ref="N65">[1]!unf_pvt_dZdt($D41,N$36,gg,zcor)*100</f>
        <v>0.24883747100812315</v>
      </c>
      <c r="O65" s="1" cm="1">
        <f t="array" ref="O65">[1]!unf_pvt_dZdt($D41,O$36,gg,zcor)*100</f>
        <v>0.2780437469482866</v>
      </c>
      <c r="P65" s="1" cm="1">
        <f t="array" ref="P65">[1]!unf_pvt_dZdt($D41,P$36,gg,zcor)*100</f>
        <v>0.30608177185054153</v>
      </c>
      <c r="Q65" s="1" cm="1">
        <f t="array" ref="Q65">[1]!unf_pvt_dZdt($D41,Q$36,gg,zcor)*100</f>
        <v>0.32711029052734375</v>
      </c>
      <c r="R65" s="1" cm="1">
        <f t="array" ref="R65">[1]!unf_pvt_dZdt($D41,R$36,gg,zcor)*100</f>
        <v>0.34229755401615769</v>
      </c>
      <c r="S65" s="1" cm="1">
        <f t="array" ref="S65">[1]!unf_pvt_dZdt($D41,S$36,gg,zcor)*100</f>
        <v>0.35047531127951892</v>
      </c>
      <c r="T65" s="1" cm="1">
        <f t="array" ref="T65">[1]!unf_pvt_dZdt($D41,T$36,gg,zcor)*100</f>
        <v>0.35281181335466982</v>
      </c>
      <c r="U65" s="1" cm="1">
        <f t="array" ref="U65">[1]!unf_pvt_dZdt($D41,U$36,gg,zcor)*100</f>
        <v>0.34813880920436802</v>
      </c>
      <c r="V65" s="1" cm="1">
        <f t="array" ref="V65">[1]!unf_pvt_dZdt($D41,V$36,gg,zcor)*100</f>
        <v>0.33879280090332031</v>
      </c>
      <c r="W65" s="1" cm="1">
        <f t="array" ref="W65">[1]!unf_pvt_dZdt($D41,W$36,gg,zcor)*100</f>
        <v>0.32711029052734375</v>
      </c>
      <c r="X65" s="1" cm="1">
        <f t="array" ref="X65">[1]!unf_pvt_dZdt($D41,X$36,gg,zcor)*100</f>
        <v>0.31309127807621628</v>
      </c>
      <c r="Y65" s="1" cm="1">
        <f t="array" ref="Y65">[1]!unf_pvt_dZdt($D41,Y$36,gg,zcor)*100</f>
        <v>0.29790401458762439</v>
      </c>
      <c r="Z65" s="1" cm="1">
        <f t="array" ref="Z65">[1]!unf_pvt_dZdt($D41,Z$36,gg,zcor)*100</f>
        <v>0.2803802490234375</v>
      </c>
      <c r="AA65" s="1" cm="1">
        <f t="array" ref="AA65">[1]!unf_pvt_dZdt($D41,AA$36,gg,zcor)*100</f>
        <v>0.26402473449693709</v>
      </c>
      <c r="AB65" s="1" cm="1">
        <f t="array" ref="AB65">[1]!unf_pvt_dZdt($D41,AB$36,gg,zcor)*100</f>
        <v>0.24766921997065872</v>
      </c>
      <c r="AC65" s="1" cm="1">
        <f t="array" ref="AC65">[1]!unf_pvt_dZdt($D41,AC$36,gg,zcor)*100</f>
        <v>0.23131370544438035</v>
      </c>
      <c r="AD65" s="1" cm="1">
        <f t="array" ref="AD65">[1]!unf_pvt_dZdt($D41,AD$36,gg,zcor)*100</f>
        <v>0.21495819091810198</v>
      </c>
      <c r="AE65" s="1" cm="1">
        <f t="array" ref="AE65">[1]!unf_pvt_dZdt($D41,AE$36,gg,zcor)*100</f>
        <v>0.19860267639182361</v>
      </c>
      <c r="AF65" s="1" cm="1">
        <f t="array" ref="AF65">[1]!unf_pvt_dZdt($D41,AF$36,gg,zcor)*100</f>
        <v>0.18341541290300967</v>
      </c>
      <c r="AG65" s="1" cm="1">
        <f t="array" ref="AG65">[1]!unf_pvt_dZdt($D41,AG$36,gg,zcor)*100</f>
        <v>0.16939640045166016</v>
      </c>
      <c r="AH65" s="1" cm="1">
        <f t="array" ref="AH65">[1]!unf_pvt_dZdt($D41,AH$36,gg,zcor)*100</f>
        <v>0.15537738800053269</v>
      </c>
      <c r="AI65" s="1" cm="1">
        <f t="array" ref="AI65">[1]!unf_pvt_dZdt($D41,AI$36,gg,zcor)*100</f>
        <v>0.14135837554918318</v>
      </c>
      <c r="AJ65" s="1" cm="1">
        <f t="array" ref="AJ65">[1]!unf_pvt_dZdt($D41,AJ$36,gg,zcor)*100</f>
        <v>0.12967586517342866</v>
      </c>
      <c r="AK65" s="1" cm="1">
        <f t="array" ref="AK65">[1]!unf_pvt_dZdt($D41,AK$36,gg,zcor)*100</f>
        <v>0.1179933547974521</v>
      </c>
    </row>
    <row r="66" spans="5:37" x14ac:dyDescent="0.3">
      <c r="E66" t="str">
        <f t="shared" si="3"/>
        <v>t=40 C</v>
      </c>
      <c r="F66" s="1" cm="1">
        <f t="array" ref="F66">[1]!unf_pvt_dZdt($D42,F$36,gg,zcor)*100</f>
        <v>2.3365020751509036E-3</v>
      </c>
      <c r="G66" s="1" cm="1">
        <f t="array" ref="G66">[1]!unf_pvt_dZdt($D42,G$36,gg,zcor)*100</f>
        <v>2.5701522827104029E-2</v>
      </c>
      <c r="H66" s="1" cm="1">
        <f t="array" ref="H66">[1]!unf_pvt_dZdt($D42,H$36,gg,zcor)*100</f>
        <v>5.0234794616743628E-2</v>
      </c>
      <c r="I66" s="1" cm="1">
        <f t="array" ref="I66">[1]!unf_pvt_dZdt($D42,I$36,gg,zcor)*100</f>
        <v>7.3599815368474708E-2</v>
      </c>
      <c r="J66" s="1" cm="1">
        <f t="array" ref="J66">[1]!unf_pvt_dZdt($D42,J$36,gg,zcor)*100</f>
        <v>0.10046958923348726</v>
      </c>
      <c r="K66" s="1" cm="1">
        <f t="array" ref="K66">[1]!unf_pvt_dZdt($D42,K$36,gg,zcor)*100</f>
        <v>0.12733936309805571</v>
      </c>
      <c r="L66" s="1" cm="1">
        <f t="array" ref="L66">[1]!unf_pvt_dZdt($D42,L$36,gg,zcor)*100</f>
        <v>0.15420913696284622</v>
      </c>
      <c r="M66" s="1" cm="1">
        <f t="array" ref="M66">[1]!unf_pvt_dZdt($D42,M$36,gg,zcor)*100</f>
        <v>0.18224716186510115</v>
      </c>
      <c r="N66" s="1" cm="1">
        <f t="array" ref="N66">[1]!unf_pvt_dZdt($D42,N$36,gg,zcor)*100</f>
        <v>0.20911693572989165</v>
      </c>
      <c r="O66" s="1" cm="1">
        <f t="array" ref="O66">[1]!unf_pvt_dZdt($D42,O$36,gg,zcor)*100</f>
        <v>0.23481845855721772</v>
      </c>
      <c r="P66" s="1" cm="1">
        <f t="array" ref="P66">[1]!unf_pvt_dZdt($D42,P$36,gg,zcor)*100</f>
        <v>0.25818347930917085</v>
      </c>
      <c r="Q66" s="1" cm="1">
        <f t="array" ref="Q66">[1]!unf_pvt_dZdt($D42,Q$36,gg,zcor)*100</f>
        <v>0.27687549591037808</v>
      </c>
      <c r="R66" s="1" cm="1">
        <f t="array" ref="R66">[1]!unf_pvt_dZdt($D42,R$36,gg,zcor)*100</f>
        <v>0.29206275939941406</v>
      </c>
      <c r="S66" s="1" cm="1">
        <f t="array" ref="S66">[1]!unf_pvt_dZdt($D42,S$36,gg,zcor)*100</f>
        <v>0.30257701873770415</v>
      </c>
      <c r="T66" s="1" cm="1">
        <f t="array" ref="T66">[1]!unf_pvt_dZdt($D42,T$36,gg,zcor)*100</f>
        <v>0.307250022888228</v>
      </c>
      <c r="U66" s="1" cm="1">
        <f t="array" ref="U66">[1]!unf_pvt_dZdt($D42,U$36,gg,zcor)*100</f>
        <v>0.307250022888228</v>
      </c>
      <c r="V66" s="1" cm="1">
        <f t="array" ref="V66">[1]!unf_pvt_dZdt($D42,V$36,gg,zcor)*100</f>
        <v>0.30374526977539063</v>
      </c>
      <c r="W66" s="1" cm="1">
        <f t="array" ref="W66">[1]!unf_pvt_dZdt($D42,W$36,gg,zcor)*100</f>
        <v>0.29790401458740234</v>
      </c>
      <c r="X66" s="1" cm="1">
        <f t="array" ref="X66">[1]!unf_pvt_dZdt($D42,X$36,gg,zcor)*100</f>
        <v>0.28972625732426316</v>
      </c>
      <c r="Y66" s="1" cm="1">
        <f t="array" ref="Y66">[1]!unf_pvt_dZdt($D42,Y$36,gg,zcor)*100</f>
        <v>0.27921199798575103</v>
      </c>
      <c r="Z66" s="1" cm="1">
        <f t="array" ref="Z66">[1]!unf_pvt_dZdt($D42,Z$36,gg,zcor)*100</f>
        <v>0.26752948760999651</v>
      </c>
      <c r="AA66" s="1" cm="1">
        <f t="array" ref="AA66">[1]!unf_pvt_dZdt($D42,AA$36,gg,zcor)*100</f>
        <v>0.25467872619633347</v>
      </c>
      <c r="AB66" s="1" cm="1">
        <f t="array" ref="AB66">[1]!unf_pvt_dZdt($D42,AB$36,gg,zcor)*100</f>
        <v>0.24065971374520601</v>
      </c>
      <c r="AC66" s="1" cm="1">
        <f t="array" ref="AC66">[1]!unf_pvt_dZdt($D42,AC$36,gg,zcor)*100</f>
        <v>0.22664070129385649</v>
      </c>
      <c r="AD66" s="1" cm="1">
        <f t="array" ref="AD66">[1]!unf_pvt_dZdt($D42,AD$36,gg,zcor)*100</f>
        <v>0.2137899398804155</v>
      </c>
      <c r="AE66" s="1" cm="1">
        <f t="array" ref="AE66">[1]!unf_pvt_dZdt($D42,AE$36,gg,zcor)*100</f>
        <v>0.20093917846675247</v>
      </c>
      <c r="AF66" s="1" cm="1">
        <f t="array" ref="AF66">[1]!unf_pvt_dZdt($D42,AF$36,gg,zcor)*100</f>
        <v>0.18808841705353352</v>
      </c>
      <c r="AG66" s="1" cm="1">
        <f t="array" ref="AG66">[1]!unf_pvt_dZdt($D42,AG$36,gg,zcor)*100</f>
        <v>0.17406940460218401</v>
      </c>
      <c r="AH66" s="1" cm="1">
        <f t="array" ref="AH66">[1]!unf_pvt_dZdt($D42,AH$36,gg,zcor)*100</f>
        <v>0.16121864318852097</v>
      </c>
      <c r="AI66" s="1" cm="1">
        <f t="array" ref="AI66">[1]!unf_pvt_dZdt($D42,AI$36,gg,zcor)*100</f>
        <v>0.14953613281254441</v>
      </c>
      <c r="AJ66" s="1" cm="1">
        <f t="array" ref="AJ66">[1]!unf_pvt_dZdt($D42,AJ$36,gg,zcor)*100</f>
        <v>0.13785362243678989</v>
      </c>
      <c r="AK66" s="1" cm="1">
        <f t="array" ref="AK66">[1]!unf_pvt_dZdt($D42,AK$36,gg,zcor)*100</f>
        <v>0.12617111206059128</v>
      </c>
    </row>
    <row r="67" spans="5:37" x14ac:dyDescent="0.3">
      <c r="E67" t="str">
        <f t="shared" si="3"/>
        <v>t=50 C</v>
      </c>
      <c r="F67" s="1" cm="1">
        <f t="array" ref="F67">[1]!unf_pvt_dZdt($D43,F$36,gg,zcor)*100</f>
        <v>2.3365020753729482E-3</v>
      </c>
      <c r="G67" s="1" cm="1">
        <f t="array" ref="G67">[1]!unf_pvt_dZdt($D43,G$36,gg,zcor)*100</f>
        <v>2.2196769714266651E-2</v>
      </c>
      <c r="H67" s="1" cm="1">
        <f t="array" ref="H67">[1]!unf_pvt_dZdt($D43,H$36,gg,zcor)*100</f>
        <v>4.3225288391290917E-2</v>
      </c>
      <c r="I67" s="1" cm="1">
        <f t="array" ref="I67">[1]!unf_pvt_dZdt($D43,I$36,gg,zcor)*100</f>
        <v>6.5422058105557568E-2</v>
      </c>
      <c r="J67" s="1" cm="1">
        <f t="array" ref="J67">[1]!unf_pvt_dZdt($D43,J$36,gg,zcor)*100</f>
        <v>8.7618827819824219E-2</v>
      </c>
      <c r="K67" s="1" cm="1">
        <f t="array" ref="K67">[1]!unf_pvt_dZdt($D43,K$36,gg,zcor)*100</f>
        <v>0.11098384857177734</v>
      </c>
      <c r="L67" s="1" cm="1">
        <f t="array" ref="L67">[1]!unf_pvt_dZdt($D43,L$36,gg,zcor)*100</f>
        <v>0.13318061828626604</v>
      </c>
      <c r="M67" s="1" cm="1">
        <f t="array" ref="M67">[1]!unf_pvt_dZdt($D43,M$36,gg,zcor)*100</f>
        <v>0.15654563903777508</v>
      </c>
      <c r="N67" s="1" cm="1">
        <f t="array" ref="N67">[1]!unf_pvt_dZdt($D43,N$36,gg,zcor)*100</f>
        <v>0.17874240875270786</v>
      </c>
      <c r="O67" s="1" cm="1">
        <f t="array" ref="O67">[1]!unf_pvt_dZdt($D43,O$36,gg,zcor)*100</f>
        <v>0.20093917846675247</v>
      </c>
      <c r="P67" s="1" cm="1">
        <f t="array" ref="P67">[1]!unf_pvt_dZdt($D43,P$36,gg,zcor)*100</f>
        <v>0.21963119506840378</v>
      </c>
      <c r="Q67" s="1" cm="1">
        <f t="array" ref="Q67">[1]!unf_pvt_dZdt($D43,Q$36,gg,zcor)*100</f>
        <v>0.23715496063236863</v>
      </c>
      <c r="R67" s="1" cm="1">
        <f t="array" ref="R67">[1]!unf_pvt_dZdt($D43,R$36,gg,zcor)*100</f>
        <v>0.25117397308371814</v>
      </c>
      <c r="S67" s="1" cm="1">
        <f t="array" ref="S67">[1]!unf_pvt_dZdt($D43,S$36,gg,zcor)*100</f>
        <v>0.26168823242200823</v>
      </c>
      <c r="T67" s="1" cm="1">
        <f t="array" ref="T67">[1]!unf_pvt_dZdt($D43,T$36,gg,zcor)*100</f>
        <v>0.26869773864746094</v>
      </c>
      <c r="U67" s="1" cm="1">
        <f t="array" ref="U67">[1]!unf_pvt_dZdt($D43,U$36,gg,zcor)*100</f>
        <v>0.27103424072261184</v>
      </c>
      <c r="V67" s="1" cm="1">
        <f t="array" ref="V67">[1]!unf_pvt_dZdt($D43,V$36,gg,zcor)*100</f>
        <v>0.27103424072283389</v>
      </c>
      <c r="W67" s="1" cm="1">
        <f t="array" ref="W67">[1]!unf_pvt_dZdt($D43,W$36,gg,zcor)*100</f>
        <v>0.26752948760999651</v>
      </c>
      <c r="X67" s="1" cm="1">
        <f t="array" ref="X67">[1]!unf_pvt_dZdt($D43,X$36,gg,zcor)*100</f>
        <v>0.26285648345925061</v>
      </c>
      <c r="Y67" s="1" cm="1">
        <f t="array" ref="Y67">[1]!unf_pvt_dZdt($D43,Y$36,gg,zcor)*100</f>
        <v>0.25584697723357586</v>
      </c>
      <c r="Z67" s="1" cm="1">
        <f t="array" ref="Z67">[1]!unf_pvt_dZdt($D43,Z$36,gg,zcor)*100</f>
        <v>0.24766921997065872</v>
      </c>
      <c r="AA67" s="1" cm="1">
        <f t="array" ref="AA67">[1]!unf_pvt_dZdt($D43,AA$36,gg,zcor)*100</f>
        <v>0.2383232116700551</v>
      </c>
      <c r="AB67" s="1" cm="1">
        <f t="array" ref="AB67">[1]!unf_pvt_dZdt($D43,AB$36,gg,zcor)*100</f>
        <v>0.22780895233154297</v>
      </c>
      <c r="AC67" s="1" cm="1">
        <f t="array" ref="AC67">[1]!unf_pvt_dZdt($D43,AC$36,gg,zcor)*100</f>
        <v>0.21846294403093935</v>
      </c>
      <c r="AD67" s="1" cm="1">
        <f t="array" ref="AD67">[1]!unf_pvt_dZdt($D43,AD$36,gg,zcor)*100</f>
        <v>0.20678043365474075</v>
      </c>
      <c r="AE67" s="1" cm="1">
        <f t="array" ref="AE67">[1]!unf_pvt_dZdt($D43,AE$36,gg,zcor)*100</f>
        <v>0.19626617431645066</v>
      </c>
      <c r="AF67" s="1" cm="1">
        <f t="array" ref="AF67">[1]!unf_pvt_dZdt($D43,AF$36,gg,zcor)*100</f>
        <v>0.18458366394025205</v>
      </c>
      <c r="AG67" s="1" cm="1">
        <f t="array" ref="AG67">[1]!unf_pvt_dZdt($D43,AG$36,gg,zcor)*100</f>
        <v>0.17406940460196196</v>
      </c>
      <c r="AH67" s="1" cm="1">
        <f t="array" ref="AH67">[1]!unf_pvt_dZdt($D43,AH$36,gg,zcor)*100</f>
        <v>0.16355514526367188</v>
      </c>
      <c r="AI67" s="1" cm="1">
        <f t="array" ref="AI67">[1]!unf_pvt_dZdt($D43,AI$36,gg,zcor)*100</f>
        <v>0.15304088592538179</v>
      </c>
      <c r="AJ67" s="1" cm="1">
        <f t="array" ref="AJ67">[1]!unf_pvt_dZdt($D43,AJ$36,gg,zcor)*100</f>
        <v>0.14252662658686965</v>
      </c>
      <c r="AK67" s="1" cm="1">
        <f t="array" ref="AK67">[1]!unf_pvt_dZdt($D43,AK$36,gg,zcor)*100</f>
        <v>0.13201236724857957</v>
      </c>
    </row>
    <row r="68" spans="5:37" x14ac:dyDescent="0.3">
      <c r="E68" t="str">
        <f t="shared" si="3"/>
        <v>t=60 C</v>
      </c>
      <c r="F68" s="1" cm="1">
        <f t="array" ref="F68">[1]!unf_pvt_dZdt($D44,F$36,gg,zcor)*100</f>
        <v>1.1682510374644295E-3</v>
      </c>
      <c r="G68" s="1" cm="1">
        <f t="array" ref="G68">[1]!unf_pvt_dZdt($D44,G$36,gg,zcor)*100</f>
        <v>1.9860267639115747E-2</v>
      </c>
      <c r="H68" s="1" cm="1">
        <f t="array" ref="H68">[1]!unf_pvt_dZdt($D44,H$36,gg,zcor)*100</f>
        <v>3.8552284240545021E-2</v>
      </c>
      <c r="I68" s="1" cm="1">
        <f t="array" ref="I68">[1]!unf_pvt_dZdt($D44,I$36,gg,zcor)*100</f>
        <v>5.7244300842196338E-2</v>
      </c>
      <c r="J68" s="1" cm="1">
        <f t="array" ref="J68">[1]!unf_pvt_dZdt($D44,J$36,gg,zcor)*100</f>
        <v>7.5936317444069701E-2</v>
      </c>
      <c r="K68" s="1" cm="1">
        <f t="array" ref="K68">[1]!unf_pvt_dZdt($D44,K$36,gg,zcor)*100</f>
        <v>9.5796585082963404E-2</v>
      </c>
      <c r="L68" s="1" cm="1">
        <f t="array" ref="L68">[1]!unf_pvt_dZdt($D44,L$36,gg,zcor)*100</f>
        <v>0.1156568527223012</v>
      </c>
      <c r="M68" s="1" cm="1">
        <f t="array" ref="M68">[1]!unf_pvt_dZdt($D44,M$36,gg,zcor)*100</f>
        <v>0.13551712036141694</v>
      </c>
      <c r="N68" s="1" cm="1">
        <f t="array" ref="N68">[1]!unf_pvt_dZdt($D44,N$36,gg,zcor)*100</f>
        <v>0.15420913696284622</v>
      </c>
      <c r="O68" s="1" cm="1">
        <f t="array" ref="O68">[1]!unf_pvt_dZdt($D44,O$36,gg,zcor)*100</f>
        <v>0.17290115356449753</v>
      </c>
      <c r="P68" s="1" cm="1">
        <f t="array" ref="P68">[1]!unf_pvt_dZdt($D44,P$36,gg,zcor)*100</f>
        <v>0.18925666809099795</v>
      </c>
      <c r="Q68" s="1" cm="1">
        <f t="array" ref="Q68">[1]!unf_pvt_dZdt($D44,Q$36,gg,zcor)*100</f>
        <v>0.20444393157958984</v>
      </c>
      <c r="R68" s="1" cm="1">
        <f t="array" ref="R68">[1]!unf_pvt_dZdt($D44,R$36,gg,zcor)*100</f>
        <v>0.21612644195578845</v>
      </c>
      <c r="S68" s="1" cm="1">
        <f t="array" ref="S68">[1]!unf_pvt_dZdt($D44,S$36,gg,zcor)*100</f>
        <v>0.22664070129407854</v>
      </c>
      <c r="T68" s="1" cm="1">
        <f t="array" ref="T68">[1]!unf_pvt_dZdt($D44,T$36,gg,zcor)*100</f>
        <v>0.23365020751953125</v>
      </c>
      <c r="U68" s="1" cm="1">
        <f t="array" ref="U68">[1]!unf_pvt_dZdt($D44,U$36,gg,zcor)*100</f>
        <v>0.23832321166983306</v>
      </c>
      <c r="V68" s="1" cm="1">
        <f t="array" ref="V68">[1]!unf_pvt_dZdt($D44,V$36,gg,zcor)*100</f>
        <v>0.24065971374498396</v>
      </c>
      <c r="W68" s="1" cm="1">
        <f t="array" ref="W68">[1]!unf_pvt_dZdt($D44,W$36,gg,zcor)*100</f>
        <v>0.23949146270774158</v>
      </c>
      <c r="X68" s="1" cm="1">
        <f t="array" ref="X68">[1]!unf_pvt_dZdt($D44,X$36,gg,zcor)*100</f>
        <v>0.23832321166983306</v>
      </c>
      <c r="Y68" s="1" cm="1">
        <f t="array" ref="Y68">[1]!unf_pvt_dZdt($D44,Y$36,gg,zcor)*100</f>
        <v>0.23365020751953125</v>
      </c>
      <c r="Z68" s="1" cm="1">
        <f t="array" ref="Z68">[1]!unf_pvt_dZdt($D44,Z$36,gg,zcor)*100</f>
        <v>0.22780895233154297</v>
      </c>
      <c r="AA68" s="1" cm="1">
        <f t="array" ref="AA68">[1]!unf_pvt_dZdt($D44,AA$36,gg,zcor)*100</f>
        <v>0.22196769714377673</v>
      </c>
      <c r="AB68" s="1" cm="1">
        <f t="array" ref="AB68">[1]!unf_pvt_dZdt($D44,AB$36,gg,zcor)*100</f>
        <v>0.21495819091810198</v>
      </c>
      <c r="AC68" s="1" cm="1">
        <f t="array" ref="AC68">[1]!unf_pvt_dZdt($D44,AC$36,gg,zcor)*100</f>
        <v>0.20678043365496279</v>
      </c>
      <c r="AD68" s="1" cm="1">
        <f t="array" ref="AD68">[1]!unf_pvt_dZdt($D44,AD$36,gg,zcor)*100</f>
        <v>0.19743442535391509</v>
      </c>
      <c r="AE68" s="1" cm="1">
        <f t="array" ref="AE68">[1]!unf_pvt_dZdt($D44,AE$36,gg,zcor)*100</f>
        <v>0.18925666809055386</v>
      </c>
      <c r="AF68" s="1" cm="1">
        <f t="array" ref="AF68">[1]!unf_pvt_dZdt($D44,AF$36,gg,zcor)*100</f>
        <v>0.17874240875248582</v>
      </c>
      <c r="AG68" s="1" cm="1">
        <f t="array" ref="AG68">[1]!unf_pvt_dZdt($D44,AG$36,gg,zcor)*100</f>
        <v>0.17056465148934663</v>
      </c>
      <c r="AH68" s="1" cm="1">
        <f t="array" ref="AH68">[1]!unf_pvt_dZdt($D44,AH$36,gg,zcor)*100</f>
        <v>0.16121864318852097</v>
      </c>
      <c r="AI68" s="1" cm="1">
        <f t="array" ref="AI68">[1]!unf_pvt_dZdt($D44,AI$36,gg,zcor)*100</f>
        <v>0.15187263488769531</v>
      </c>
      <c r="AJ68" s="1" cm="1">
        <f t="array" ref="AJ68">[1]!unf_pvt_dZdt($D44,AJ$36,gg,zcor)*100</f>
        <v>0.1425266265870917</v>
      </c>
      <c r="AK68" s="1" cm="1">
        <f t="array" ref="AK68">[1]!unf_pvt_dZdt($D44,AK$36,gg,zcor)*100</f>
        <v>0.13318061828626604</v>
      </c>
    </row>
    <row r="69" spans="5:37" x14ac:dyDescent="0.3">
      <c r="E69" t="str">
        <f t="shared" si="3"/>
        <v>t=70 C</v>
      </c>
      <c r="F69" s="1" cm="1">
        <f t="array" ref="F69">[1]!unf_pvt_dZdt($D45,F$36,gg,zcor)*100</f>
        <v>2.3365020751509036E-3</v>
      </c>
      <c r="G69" s="1" cm="1">
        <f t="array" ref="G69">[1]!unf_pvt_dZdt($D45,G$36,gg,zcor)*100</f>
        <v>1.7523765563964844E-2</v>
      </c>
      <c r="H69" s="1" cm="1">
        <f t="array" ref="H69">[1]!unf_pvt_dZdt($D45,H$36,gg,zcor)*100</f>
        <v>3.3879280090465258E-2</v>
      </c>
      <c r="I69" s="1" cm="1">
        <f t="array" ref="I69">[1]!unf_pvt_dZdt($D45,I$36,gg,zcor)*100</f>
        <v>4.9066543579057154E-2</v>
      </c>
      <c r="J69" s="1" cm="1">
        <f t="array" ref="J69">[1]!unf_pvt_dZdt($D45,J$36,gg,zcor)*100</f>
        <v>6.6590309143244042E-2</v>
      </c>
      <c r="K69" s="1" cm="1">
        <f t="array" ref="K69">[1]!unf_pvt_dZdt($D45,K$36,gg,zcor)*100</f>
        <v>8.2945823669300367E-2</v>
      </c>
      <c r="L69" s="1" cm="1">
        <f t="array" ref="L69">[1]!unf_pvt_dZdt($D45,L$36,gg,zcor)*100</f>
        <v>0.10046958923326521</v>
      </c>
      <c r="M69" s="1" cm="1">
        <f t="array" ref="M69">[1]!unf_pvt_dZdt($D45,M$36,gg,zcor)*100</f>
        <v>0.1179933547974521</v>
      </c>
      <c r="N69" s="1" cm="1">
        <f t="array" ref="N69">[1]!unf_pvt_dZdt($D45,N$36,gg,zcor)*100</f>
        <v>0.13434886932373047</v>
      </c>
      <c r="O69" s="1" cm="1">
        <f t="array" ref="O69">[1]!unf_pvt_dZdt($D45,O$36,gg,zcor)*100</f>
        <v>0.14836788177485793</v>
      </c>
      <c r="P69" s="1" cm="1">
        <f t="array" ref="P69">[1]!unf_pvt_dZdt($D45,P$36,gg,zcor)*100</f>
        <v>0.16355514526389392</v>
      </c>
      <c r="Q69" s="1" cm="1">
        <f t="array" ref="Q69">[1]!unf_pvt_dZdt($D45,Q$36,gg,zcor)*100</f>
        <v>0.17757415771479934</v>
      </c>
      <c r="R69" s="1" cm="1">
        <f t="array" ref="R69">[1]!unf_pvt_dZdt($D45,R$36,gg,zcor)*100</f>
        <v>0.18808841705308943</v>
      </c>
      <c r="S69" s="1" cm="1">
        <f t="array" ref="S69">[1]!unf_pvt_dZdt($D45,S$36,gg,zcor)*100</f>
        <v>0.19743442535413713</v>
      </c>
      <c r="T69" s="1" cm="1">
        <f t="array" ref="T69">[1]!unf_pvt_dZdt($D45,T$36,gg,zcor)*100</f>
        <v>0.20561218261727632</v>
      </c>
      <c r="U69" s="1" cm="1">
        <f t="array" ref="U69">[1]!unf_pvt_dZdt($D45,U$36,gg,zcor)*100</f>
        <v>0.21028518676780017</v>
      </c>
      <c r="V69" s="1" cm="1">
        <f t="array" ref="V69">[1]!unf_pvt_dZdt($D45,V$36,gg,zcor)*100</f>
        <v>0.21262168884272903</v>
      </c>
      <c r="W69" s="1" cm="1">
        <f t="array" ref="W69">[1]!unf_pvt_dZdt($D45,W$36,gg,zcor)*100</f>
        <v>0.21495819091787993</v>
      </c>
      <c r="X69" s="1" cm="1">
        <f t="array" ref="X69">[1]!unf_pvt_dZdt($D45,X$36,gg,zcor)*100</f>
        <v>0.2137899398804155</v>
      </c>
      <c r="Y69" s="1" cm="1">
        <f t="array" ref="Y69">[1]!unf_pvt_dZdt($D45,Y$36,gg,zcor)*100</f>
        <v>0.21145343780504255</v>
      </c>
      <c r="Z69" s="1" cm="1">
        <f t="array" ref="Z69">[1]!unf_pvt_dZdt($D45,Z$36,gg,zcor)*100</f>
        <v>0.20794868469242722</v>
      </c>
      <c r="AA69" s="1" cm="1">
        <f t="array" ref="AA69">[1]!unf_pvt_dZdt($D45,AA$36,gg,zcor)*100</f>
        <v>0.20327568054212541</v>
      </c>
      <c r="AB69" s="1" cm="1">
        <f t="array" ref="AB69">[1]!unf_pvt_dZdt($D45,AB$36,gg,zcor)*100</f>
        <v>0.19860267639160156</v>
      </c>
      <c r="AC69" s="1" cm="1">
        <f t="array" ref="AC69">[1]!unf_pvt_dZdt($D45,AC$36,gg,zcor)*100</f>
        <v>0.19276142120361328</v>
      </c>
      <c r="AD69" s="1" cm="1">
        <f t="array" ref="AD69">[1]!unf_pvt_dZdt($D45,AD$36,gg,zcor)*100</f>
        <v>0.18575191497793853</v>
      </c>
      <c r="AE69" s="1" cm="1">
        <f t="array" ref="AE69">[1]!unf_pvt_dZdt($D45,AE$36,gg,zcor)*100</f>
        <v>0.17757415771502139</v>
      </c>
      <c r="AF69" s="1" cm="1">
        <f t="array" ref="AF69">[1]!unf_pvt_dZdt($D45,AF$36,gg,zcor)*100</f>
        <v>0.17056465148912459</v>
      </c>
      <c r="AG69" s="1" cm="1">
        <f t="array" ref="AG69">[1]!unf_pvt_dZdt($D45,AG$36,gg,zcor)*100</f>
        <v>0.16355514526367188</v>
      </c>
      <c r="AH69" s="1" cm="1">
        <f t="array" ref="AH69">[1]!unf_pvt_dZdt($D45,AH$36,gg,zcor)*100</f>
        <v>0.15654563903777508</v>
      </c>
      <c r="AI69" s="1" cm="1">
        <f t="array" ref="AI69">[1]!unf_pvt_dZdt($D45,AI$36,gg,zcor)*100</f>
        <v>0.14719963073739351</v>
      </c>
      <c r="AJ69" s="1" cm="1">
        <f t="array" ref="AJ69">[1]!unf_pvt_dZdt($D45,AJ$36,gg,zcor)*100</f>
        <v>0.14019012451171875</v>
      </c>
      <c r="AK69" s="1" cm="1">
        <f t="array" ref="AK69">[1]!unf_pvt_dZdt($D45,AK$36,gg,zcor)*100</f>
        <v>0.13201236724857957</v>
      </c>
    </row>
    <row r="70" spans="5:37" x14ac:dyDescent="0.3">
      <c r="E70" t="str">
        <f t="shared" si="3"/>
        <v>t=80 C</v>
      </c>
      <c r="F70" s="1" cm="1">
        <f t="array" ref="F70">[1]!unf_pvt_dZdt($D46,F$36,gg,zcor)*100</f>
        <v>1.1682510376864741E-3</v>
      </c>
      <c r="G70" s="1" cm="1">
        <f t="array" ref="G70">[1]!unf_pvt_dZdt($D46,G$36,gg,zcor)*100</f>
        <v>1.518726348881394E-2</v>
      </c>
      <c r="H70" s="1" cm="1">
        <f t="array" ref="H70">[1]!unf_pvt_dZdt($D46,H$36,gg,zcor)*100</f>
        <v>3.037452697762788E-2</v>
      </c>
      <c r="I70" s="1" cm="1">
        <f t="array" ref="I70">[1]!unf_pvt_dZdt($D46,I$36,gg,zcor)*100</f>
        <v>4.4393539428755346E-2</v>
      </c>
      <c r="J70" s="1" cm="1">
        <f t="array" ref="J70">[1]!unf_pvt_dZdt($D46,J$36,gg,zcor)*100</f>
        <v>5.9580802917569287E-2</v>
      </c>
      <c r="K70" s="1" cm="1">
        <f t="array" ref="K70">[1]!unf_pvt_dZdt($D46,K$36,gg,zcor)*100</f>
        <v>7.3599815368474708E-2</v>
      </c>
      <c r="L70" s="1" cm="1">
        <f t="array" ref="L70">[1]!unf_pvt_dZdt($D46,L$36,gg,zcor)*100</f>
        <v>8.8787078857288648E-2</v>
      </c>
      <c r="M70" s="1" cm="1">
        <f t="array" ref="M70">[1]!unf_pvt_dZdt($D46,M$36,gg,zcor)*100</f>
        <v>0.10280609130863816</v>
      </c>
      <c r="N70" s="1" cm="1">
        <f t="array" ref="N70">[1]!unf_pvt_dZdt($D46,N$36,gg,zcor)*100</f>
        <v>0.11682510375954358</v>
      </c>
      <c r="O70" s="1" cm="1">
        <f t="array" ref="O70">[1]!unf_pvt_dZdt($D46,O$36,gg,zcor)*100</f>
        <v>0.12967586517320662</v>
      </c>
      <c r="P70" s="1" cm="1">
        <f t="array" ref="P70">[1]!unf_pvt_dZdt($D46,P$36,gg,zcor)*100</f>
        <v>0.14252662658686965</v>
      </c>
      <c r="Q70" s="1" cm="1">
        <f t="array" ref="Q70">[1]!unf_pvt_dZdt($D46,Q$36,gg,zcor)*100</f>
        <v>0.15420913696284622</v>
      </c>
      <c r="R70" s="1" cm="1">
        <f t="array" ref="R70">[1]!unf_pvt_dZdt($D46,R$36,gg,zcor)*100</f>
        <v>0.16355514526389392</v>
      </c>
      <c r="S70" s="1" cm="1">
        <f t="array" ref="S70">[1]!unf_pvt_dZdt($D46,S$36,gg,zcor)*100</f>
        <v>0.17290115356449753</v>
      </c>
      <c r="T70" s="1" cm="1">
        <f t="array" ref="T70">[1]!unf_pvt_dZdt($D46,T$36,gg,zcor)*100</f>
        <v>0.17991065978995024</v>
      </c>
      <c r="U70" s="1" cm="1">
        <f t="array" ref="U70">[1]!unf_pvt_dZdt($D46,U$36,gg,zcor)*100</f>
        <v>0.1845836639404741</v>
      </c>
      <c r="V70" s="1" cm="1">
        <f t="array" ref="V70">[1]!unf_pvt_dZdt($D46,V$36,gg,zcor)*100</f>
        <v>0.18808841705353352</v>
      </c>
      <c r="W70" s="1" cm="1">
        <f t="array" ref="W70">[1]!unf_pvt_dZdt($D46,W$36,gg,zcor)*100</f>
        <v>0.19159317016614885</v>
      </c>
      <c r="X70" s="1" cm="1">
        <f t="array" ref="X70">[1]!unf_pvt_dZdt($D46,X$36,gg,zcor)*100</f>
        <v>0.19159317016614885</v>
      </c>
      <c r="Y70" s="1" cm="1">
        <f t="array" ref="Y70">[1]!unf_pvt_dZdt($D46,Y$36,gg,zcor)*100</f>
        <v>0.19042491912846238</v>
      </c>
      <c r="Z70" s="1" cm="1">
        <f t="array" ref="Z70">[1]!unf_pvt_dZdt($D46,Z$36,gg,zcor)*100</f>
        <v>0.18808841705331147</v>
      </c>
      <c r="AA70" s="1" cm="1">
        <f t="array" ref="AA70">[1]!unf_pvt_dZdt($D46,AA$36,gg,zcor)*100</f>
        <v>0.186920166015625</v>
      </c>
      <c r="AB70" s="1" cm="1">
        <f t="array" ref="AB70">[1]!unf_pvt_dZdt($D46,AB$36,gg,zcor)*100</f>
        <v>0.18224716186510115</v>
      </c>
      <c r="AC70" s="1" cm="1">
        <f t="array" ref="AC70">[1]!unf_pvt_dZdt($D46,AC$36,gg,zcor)*100</f>
        <v>0.17757415771502139</v>
      </c>
      <c r="AD70" s="1" cm="1">
        <f t="array" ref="AD70">[1]!unf_pvt_dZdt($D46,AD$36,gg,zcor)*100</f>
        <v>0.17290115356427549</v>
      </c>
      <c r="AE70" s="1" cm="1">
        <f t="array" ref="AE70">[1]!unf_pvt_dZdt($D46,AE$36,gg,zcor)*100</f>
        <v>0.16705989837628721</v>
      </c>
      <c r="AF70" s="1" cm="1">
        <f t="array" ref="AF70">[1]!unf_pvt_dZdt($D46,AF$36,gg,zcor)*100</f>
        <v>0.16121864318829893</v>
      </c>
      <c r="AG70" s="1" cm="1">
        <f t="array" ref="AG70">[1]!unf_pvt_dZdt($D46,AG$36,gg,zcor)*100</f>
        <v>0.15537738800053269</v>
      </c>
      <c r="AH70" s="1" cm="1">
        <f t="array" ref="AH70">[1]!unf_pvt_dZdt($D46,AH$36,gg,zcor)*100</f>
        <v>0.14953613281254441</v>
      </c>
      <c r="AI70" s="1" cm="1">
        <f t="array" ref="AI70">[1]!unf_pvt_dZdt($D46,AI$36,gg,zcor)*100</f>
        <v>0.14252662658686965</v>
      </c>
      <c r="AJ70" s="1" cm="1">
        <f t="array" ref="AJ70">[1]!unf_pvt_dZdt($D46,AJ$36,gg,zcor)*100</f>
        <v>0.1355171203611949</v>
      </c>
      <c r="AK70" s="1" cm="1">
        <f t="array" ref="AK70">[1]!unf_pvt_dZdt($D46,AK$36,gg,zcor)*100</f>
        <v>0.12850761413574219</v>
      </c>
    </row>
    <row r="71" spans="5:37" x14ac:dyDescent="0.3">
      <c r="E71" t="str">
        <f t="shared" si="3"/>
        <v>t=90 C</v>
      </c>
      <c r="F71" s="1" cm="1">
        <f t="array" ref="F71">[1]!unf_pvt_dZdt($D47,F$36,gg,zcor)*100</f>
        <v>1.1682510374644295E-3</v>
      </c>
      <c r="G71" s="1" cm="1">
        <f t="array" ref="G71">[1]!unf_pvt_dZdt($D47,G$36,gg,zcor)*100</f>
        <v>1.4019012451127466E-2</v>
      </c>
      <c r="H71" s="1" cm="1">
        <f t="array" ref="H71">[1]!unf_pvt_dZdt($D47,H$36,gg,zcor)*100</f>
        <v>2.6869773864790503E-2</v>
      </c>
      <c r="I71" s="1" cm="1">
        <f t="array" ref="I71">[1]!unf_pvt_dZdt($D47,I$36,gg,zcor)*100</f>
        <v>3.9720535278453539E-2</v>
      </c>
      <c r="J71" s="1" cm="1">
        <f t="array" ref="J71">[1]!unf_pvt_dZdt($D47,J$36,gg,zcor)*100</f>
        <v>5.2571296691672487E-2</v>
      </c>
      <c r="K71" s="1" cm="1">
        <f t="array" ref="K71">[1]!unf_pvt_dZdt($D47,K$36,gg,zcor)*100</f>
        <v>6.5422058105335523E-2</v>
      </c>
      <c r="L71" s="1" cm="1">
        <f t="array" ref="L71">[1]!unf_pvt_dZdt($D47,L$36,gg,zcor)*100</f>
        <v>7.827281951899856E-2</v>
      </c>
      <c r="M71" s="1" cm="1">
        <f t="array" ref="M71">[1]!unf_pvt_dZdt($D47,M$36,gg,zcor)*100</f>
        <v>9.1123580932661596E-2</v>
      </c>
      <c r="N71" s="1" cm="1">
        <f t="array" ref="N71">[1]!unf_pvt_dZdt($D47,N$36,gg,zcor)*100</f>
        <v>0.10397434234610259</v>
      </c>
      <c r="O71" s="1" cm="1">
        <f t="array" ref="O71">[1]!unf_pvt_dZdt($D47,O$36,gg,zcor)*100</f>
        <v>0.11448860168461472</v>
      </c>
      <c r="P71" s="1" cm="1">
        <f t="array" ref="P71">[1]!unf_pvt_dZdt($D47,P$36,gg,zcor)*100</f>
        <v>0.12617111206059128</v>
      </c>
      <c r="Q71" s="1" cm="1">
        <f t="array" ref="Q71">[1]!unf_pvt_dZdt($D47,Q$36,gg,zcor)*100</f>
        <v>0.13551712036141694</v>
      </c>
      <c r="R71" s="1" cm="1">
        <f t="array" ref="R71">[1]!unf_pvt_dZdt($D47,R$36,gg,zcor)*100</f>
        <v>0.14486312866202056</v>
      </c>
      <c r="S71" s="1" cm="1">
        <f t="array" ref="S71">[1]!unf_pvt_dZdt($D47,S$36,gg,zcor)*100</f>
        <v>0.15304088592538179</v>
      </c>
      <c r="T71" s="1" cm="1">
        <f t="array" ref="T71">[1]!unf_pvt_dZdt($D47,T$36,gg,zcor)*100</f>
        <v>0.15888214111314802</v>
      </c>
      <c r="U71" s="1" cm="1">
        <f t="array" ref="U71">[1]!unf_pvt_dZdt($D47,U$36,gg,zcor)*100</f>
        <v>0.16355514526344983</v>
      </c>
      <c r="V71" s="1" cm="1">
        <f t="array" ref="V71">[1]!unf_pvt_dZdt($D47,V$36,gg,zcor)*100</f>
        <v>0.16822814941397368</v>
      </c>
      <c r="W71" s="1" cm="1">
        <f t="array" ref="W71">[1]!unf_pvt_dZdt($D47,W$36,gg,zcor)*100</f>
        <v>0.17056465148934663</v>
      </c>
      <c r="X71" s="1" cm="1">
        <f t="array" ref="X71">[1]!unf_pvt_dZdt($D47,X$36,gg,zcor)*100</f>
        <v>0.1717329025270331</v>
      </c>
      <c r="Y71" s="1" cm="1">
        <f t="array" ref="Y71">[1]!unf_pvt_dZdt($D47,Y$36,gg,zcor)*100</f>
        <v>0.17173290252681106</v>
      </c>
      <c r="Z71" s="1" cm="1">
        <f t="array" ref="Z71">[1]!unf_pvt_dZdt($D47,Z$36,gg,zcor)*100</f>
        <v>0.1717329025270331</v>
      </c>
      <c r="AA71" s="1" cm="1">
        <f t="array" ref="AA71">[1]!unf_pvt_dZdt($D47,AA$36,gg,zcor)*100</f>
        <v>0.16939640045166016</v>
      </c>
      <c r="AB71" s="1" cm="1">
        <f t="array" ref="AB71">[1]!unf_pvt_dZdt($D47,AB$36,gg,zcor)*100</f>
        <v>0.16589164733904482</v>
      </c>
      <c r="AC71" s="1" cm="1">
        <f t="array" ref="AC71">[1]!unf_pvt_dZdt($D47,AC$36,gg,zcor)*100</f>
        <v>0.16355514526367188</v>
      </c>
      <c r="AD71" s="1" cm="1">
        <f t="array" ref="AD71">[1]!unf_pvt_dZdt($D47,AD$36,gg,zcor)*100</f>
        <v>0.16005039215105654</v>
      </c>
      <c r="AE71" s="1" cm="1">
        <f t="array" ref="AE71">[1]!unf_pvt_dZdt($D47,AE$36,gg,zcor)*100</f>
        <v>0.15537738800031065</v>
      </c>
      <c r="AF71" s="1" cm="1">
        <f t="array" ref="AF71">[1]!unf_pvt_dZdt($D47,AF$36,gg,zcor)*100</f>
        <v>0.15070438385023088</v>
      </c>
      <c r="AG71" s="1" cm="1">
        <f t="array" ref="AG71">[1]!unf_pvt_dZdt($D47,AG$36,gg,zcor)*100</f>
        <v>0.1448631286622426</v>
      </c>
      <c r="AH71" s="1" cm="1">
        <f t="array" ref="AH71">[1]!unf_pvt_dZdt($D47,AH$36,gg,zcor)*100</f>
        <v>0.14019012451149671</v>
      </c>
      <c r="AI71" s="1" cm="1">
        <f t="array" ref="AI71">[1]!unf_pvt_dZdt($D47,AI$36,gg,zcor)*100</f>
        <v>0.13434886932373047</v>
      </c>
      <c r="AJ71" s="1" cm="1">
        <f t="array" ref="AJ71">[1]!unf_pvt_dZdt($D47,AJ$36,gg,zcor)*100</f>
        <v>0.12967586517320662</v>
      </c>
      <c r="AK71" s="1" cm="1">
        <f t="array" ref="AK71">[1]!unf_pvt_dZdt($D47,AK$36,gg,zcor)*100</f>
        <v>0.12383460998521834</v>
      </c>
    </row>
    <row r="72" spans="5:37" x14ac:dyDescent="0.3">
      <c r="E72" t="str">
        <f t="shared" si="3"/>
        <v>t=100 C</v>
      </c>
      <c r="F72" s="1" cm="1">
        <f t="array" ref="F72">[1]!unf_pvt_dZdt($D48,F$36,gg,zcor)*100</f>
        <v>1.1682510376864741E-3</v>
      </c>
      <c r="G72" s="1" cm="1">
        <f t="array" ref="G72">[1]!unf_pvt_dZdt($D48,G$36,gg,zcor)*100</f>
        <v>1.1682510375754518E-2</v>
      </c>
      <c r="H72" s="1" cm="1">
        <f t="array" ref="H72">[1]!unf_pvt_dZdt($D48,H$36,gg,zcor)*100</f>
        <v>2.4533271789417554E-2</v>
      </c>
      <c r="I72" s="1" cm="1">
        <f t="array" ref="I72">[1]!unf_pvt_dZdt($D48,I$36,gg,zcor)*100</f>
        <v>3.5047531127929688E-2</v>
      </c>
      <c r="J72" s="1" cm="1">
        <f t="array" ref="J72">[1]!unf_pvt_dZdt($D48,J$36,gg,zcor)*100</f>
        <v>4.673004150390625E-2</v>
      </c>
      <c r="K72" s="1" cm="1">
        <f t="array" ref="K72">[1]!unf_pvt_dZdt($D48,K$36,gg,zcor)*100</f>
        <v>5.8412551880104857E-2</v>
      </c>
      <c r="L72" s="1" cm="1">
        <f t="array" ref="L72">[1]!unf_pvt_dZdt($D48,L$36,gg,zcor)*100</f>
        <v>7.0095062255859375E-2</v>
      </c>
      <c r="M72" s="1" cm="1">
        <f t="array" ref="M72">[1]!unf_pvt_dZdt($D48,M$36,gg,zcor)*100</f>
        <v>8.0609321594371508E-2</v>
      </c>
      <c r="N72" s="1" cm="1">
        <f t="array" ref="N72">[1]!unf_pvt_dZdt($D48,N$36,gg,zcor)*100</f>
        <v>9.1123580932439552E-2</v>
      </c>
      <c r="O72" s="1" cm="1">
        <f t="array" ref="O72">[1]!unf_pvt_dZdt($D48,O$36,gg,zcor)*100</f>
        <v>0.10163784027117373</v>
      </c>
      <c r="P72" s="1" cm="1">
        <f t="array" ref="P72">[1]!unf_pvt_dZdt($D48,P$36,gg,zcor)*100</f>
        <v>0.1109838485715553</v>
      </c>
      <c r="Q72" s="1" cm="1">
        <f t="array" ref="Q72">[1]!unf_pvt_dZdt($D48,Q$36,gg,zcor)*100</f>
        <v>0.12032985687238096</v>
      </c>
      <c r="R72" s="1" cm="1">
        <f t="array" ref="R72">[1]!unf_pvt_dZdt($D48,R$36,gg,zcor)*100</f>
        <v>0.12850761413574219</v>
      </c>
      <c r="S72" s="1" cm="1">
        <f t="array" ref="S72">[1]!unf_pvt_dZdt($D48,S$36,gg,zcor)*100</f>
        <v>0.13551712036141694</v>
      </c>
      <c r="T72" s="1" cm="1">
        <f t="array" ref="T72">[1]!unf_pvt_dZdt($D48,T$36,gg,zcor)*100</f>
        <v>0.14019012451171875</v>
      </c>
      <c r="U72" s="1" cm="1">
        <f t="array" ref="U72">[1]!unf_pvt_dZdt($D48,U$36,gg,zcor)*100</f>
        <v>0.14603137969970703</v>
      </c>
      <c r="V72" s="1" cm="1">
        <f t="array" ref="V72">[1]!unf_pvt_dZdt($D48,V$36,gg,zcor)*100</f>
        <v>0.14953613281232236</v>
      </c>
      <c r="W72" s="1" cm="1">
        <f t="array" ref="W72">[1]!unf_pvt_dZdt($D48,W$36,gg,zcor)*100</f>
        <v>0.15304088592515974</v>
      </c>
      <c r="X72" s="1" cm="1">
        <f t="array" ref="X72">[1]!unf_pvt_dZdt($D48,X$36,gg,zcor)*100</f>
        <v>0.15304088592515974</v>
      </c>
      <c r="Y72" s="1" cm="1">
        <f t="array" ref="Y72">[1]!unf_pvt_dZdt($D48,Y$36,gg,zcor)*100</f>
        <v>0.15420913696284622</v>
      </c>
      <c r="Z72" s="1" cm="1">
        <f t="array" ref="Z72">[1]!unf_pvt_dZdt($D48,Z$36,gg,zcor)*100</f>
        <v>0.15537738800053269</v>
      </c>
      <c r="AA72" s="1" cm="1">
        <f t="array" ref="AA72">[1]!unf_pvt_dZdt($D48,AA$36,gg,zcor)*100</f>
        <v>0.15304088592538179</v>
      </c>
      <c r="AB72" s="1" cm="1">
        <f t="array" ref="AB72">[1]!unf_pvt_dZdt($D48,AB$36,gg,zcor)*100</f>
        <v>0.15187263488791736</v>
      </c>
      <c r="AC72" s="1" cm="1">
        <f t="array" ref="AC72">[1]!unf_pvt_dZdt($D48,AC$36,gg,zcor)*100</f>
        <v>0.14953613281254441</v>
      </c>
      <c r="AD72" s="1" cm="1">
        <f t="array" ref="AD72">[1]!unf_pvt_dZdt($D48,AD$36,gg,zcor)*100</f>
        <v>0.14719963073739351</v>
      </c>
      <c r="AE72" s="1" cm="1">
        <f t="array" ref="AE72">[1]!unf_pvt_dZdt($D48,AE$36,gg,zcor)*100</f>
        <v>0.14369487762455613</v>
      </c>
      <c r="AF72" s="1" cm="1">
        <f t="array" ref="AF72">[1]!unf_pvt_dZdt($D48,AF$36,gg,zcor)*100</f>
        <v>0.14019012451171875</v>
      </c>
      <c r="AG72" s="1" cm="1">
        <f t="array" ref="AG72">[1]!unf_pvt_dZdt($D48,AG$36,gg,zcor)*100</f>
        <v>0.13551712036141694</v>
      </c>
      <c r="AH72" s="1" cm="1">
        <f t="array" ref="AH72">[1]!unf_pvt_dZdt($D48,AH$36,gg,zcor)*100</f>
        <v>0.13201236724857957</v>
      </c>
      <c r="AI72" s="1" cm="1">
        <f t="array" ref="AI72">[1]!unf_pvt_dZdt($D48,AI$36,gg,zcor)*100</f>
        <v>0.12733936309827776</v>
      </c>
      <c r="AJ72" s="1" cm="1">
        <f t="array" ref="AJ72">[1]!unf_pvt_dZdt($D48,AJ$36,gg,zcor)*100</f>
        <v>0.12149810791006743</v>
      </c>
      <c r="AK72" s="1" cm="1">
        <f t="array" ref="AK72">[1]!unf_pvt_dZdt($D48,AK$36,gg,zcor)*100</f>
        <v>0.11682510375998767</v>
      </c>
    </row>
    <row r="73" spans="5:37" x14ac:dyDescent="0.3">
      <c r="E73" t="str">
        <f t="shared" si="3"/>
        <v>t=110 C</v>
      </c>
      <c r="F73" s="1" cm="1">
        <f t="array" ref="F73">[1]!unf_pvt_dZdt($D49,F$36,gg,zcor)*100</f>
        <v>1.1682510376864741E-3</v>
      </c>
      <c r="G73" s="1" cm="1">
        <f t="array" ref="G73">[1]!unf_pvt_dZdt($D49,G$36,gg,zcor)*100</f>
        <v>1.0514259338512133E-2</v>
      </c>
      <c r="H73" s="1" cm="1">
        <f t="array" ref="H73">[1]!unf_pvt_dZdt($D49,H$36,gg,zcor)*100</f>
        <v>2.1028518676802221E-2</v>
      </c>
      <c r="I73" s="1" cm="1">
        <f t="array" ref="I73">[1]!unf_pvt_dZdt($D49,I$36,gg,zcor)*100</f>
        <v>3.154277801509231E-2</v>
      </c>
      <c r="J73" s="1" cm="1">
        <f t="array" ref="J73">[1]!unf_pvt_dZdt($D49,J$36,gg,zcor)*100</f>
        <v>4.2057037353604443E-2</v>
      </c>
      <c r="K73" s="1" cm="1">
        <f t="array" ref="K73">[1]!unf_pvt_dZdt($D49,K$36,gg,zcor)*100</f>
        <v>5.1403045654430102E-2</v>
      </c>
      <c r="L73" s="1" cm="1">
        <f t="array" ref="L73">[1]!unf_pvt_dZdt($D49,L$36,gg,zcor)*100</f>
        <v>6.191730499272019E-2</v>
      </c>
      <c r="M73" s="1" cm="1">
        <f t="array" ref="M73">[1]!unf_pvt_dZdt($D49,M$36,gg,zcor)*100</f>
        <v>7.2431564330788234E-2</v>
      </c>
      <c r="N73" s="1" cm="1">
        <f t="array" ref="N73">[1]!unf_pvt_dZdt($D49,N$36,gg,zcor)*100</f>
        <v>8.0609321594371508E-2</v>
      </c>
      <c r="O73" s="1" cm="1">
        <f t="array" ref="O73">[1]!unf_pvt_dZdt($D49,O$36,gg,zcor)*100</f>
        <v>8.9955329894975122E-2</v>
      </c>
      <c r="P73" s="1" cm="1">
        <f t="array" ref="P73">[1]!unf_pvt_dZdt($D49,P$36,gg,zcor)*100</f>
        <v>9.9301338195800781E-2</v>
      </c>
      <c r="Q73" s="1" cm="1">
        <f t="array" ref="Q73">[1]!unf_pvt_dZdt($D49,Q$36,gg,zcor)*100</f>
        <v>0.10747909545916201</v>
      </c>
      <c r="R73" s="1" cm="1">
        <f t="array" ref="R73">[1]!unf_pvt_dZdt($D49,R$36,gg,zcor)*100</f>
        <v>0.11332035064692825</v>
      </c>
      <c r="S73" s="1" cm="1">
        <f t="array" ref="S73">[1]!unf_pvt_dZdt($D49,S$36,gg,zcor)*100</f>
        <v>0.12032985687238096</v>
      </c>
      <c r="T73" s="1" cm="1">
        <f t="array" ref="T73">[1]!unf_pvt_dZdt($D49,T$36,gg,zcor)*100</f>
        <v>0.12617111206059128</v>
      </c>
      <c r="U73" s="1" cm="1">
        <f t="array" ref="U73">[1]!unf_pvt_dZdt($D49,U$36,gg,zcor)*100</f>
        <v>0.12967586517320662</v>
      </c>
      <c r="V73" s="1" cm="1">
        <f t="array" ref="V73">[1]!unf_pvt_dZdt($D49,V$36,gg,zcor)*100</f>
        <v>0.13318061828626604</v>
      </c>
      <c r="W73" s="1" cm="1">
        <f t="array" ref="W73">[1]!unf_pvt_dZdt($D49,W$36,gg,zcor)*100</f>
        <v>0.13668537139888137</v>
      </c>
      <c r="X73" s="1" cm="1">
        <f t="array" ref="X73">[1]!unf_pvt_dZdt($D49,X$36,gg,zcor)*100</f>
        <v>0.13902187347381023</v>
      </c>
      <c r="Y73" s="1" cm="1">
        <f t="array" ref="Y73">[1]!unf_pvt_dZdt($D49,Y$36,gg,zcor)*100</f>
        <v>0.13902187347425432</v>
      </c>
      <c r="Z73" s="1" cm="1">
        <f t="array" ref="Z73">[1]!unf_pvt_dZdt($D49,Z$36,gg,zcor)*100</f>
        <v>0.14019012451171875</v>
      </c>
      <c r="AA73" s="1" cm="1">
        <f t="array" ref="AA73">[1]!unf_pvt_dZdt($D49,AA$36,gg,zcor)*100</f>
        <v>0.13902187347425432</v>
      </c>
      <c r="AB73" s="1" cm="1">
        <f t="array" ref="AB73">[1]!unf_pvt_dZdt($D49,AB$36,gg,zcor)*100</f>
        <v>0.13785362243656785</v>
      </c>
      <c r="AC73" s="1" cm="1">
        <f t="array" ref="AC73">[1]!unf_pvt_dZdt($D49,AC$36,gg,zcor)*100</f>
        <v>0.13668537139888137</v>
      </c>
      <c r="AD73" s="1" cm="1">
        <f t="array" ref="AD73">[1]!unf_pvt_dZdt($D49,AD$36,gg,zcor)*100</f>
        <v>0.13434886932373047</v>
      </c>
      <c r="AE73" s="1" cm="1">
        <f t="array" ref="AE73">[1]!unf_pvt_dZdt($D49,AE$36,gg,zcor)*100</f>
        <v>0.13201236724835752</v>
      </c>
      <c r="AF73" s="1" cm="1">
        <f t="array" ref="AF73">[1]!unf_pvt_dZdt($D49,AF$36,gg,zcor)*100</f>
        <v>0.12967586517342866</v>
      </c>
      <c r="AG73" s="1" cm="1">
        <f t="array" ref="AG73">[1]!unf_pvt_dZdt($D49,AG$36,gg,zcor)*100</f>
        <v>0.12617111206059128</v>
      </c>
      <c r="AH73" s="1" cm="1">
        <f t="array" ref="AH73">[1]!unf_pvt_dZdt($D49,AH$36,gg,zcor)*100</f>
        <v>0.12266635894775391</v>
      </c>
      <c r="AI73" s="1" cm="1">
        <f t="array" ref="AI73">[1]!unf_pvt_dZdt($D49,AI$36,gg,zcor)*100</f>
        <v>0.1179933547974521</v>
      </c>
      <c r="AJ73" s="1" cm="1">
        <f t="array" ref="AJ73">[1]!unf_pvt_dZdt($D49,AJ$36,gg,zcor)*100</f>
        <v>0.11448860168461472</v>
      </c>
      <c r="AK73" s="1" cm="1">
        <f t="array" ref="AK73">[1]!unf_pvt_dZdt($D49,AK$36,gg,zcor)*100</f>
        <v>0.10981559753386883</v>
      </c>
    </row>
    <row r="74" spans="5:37" x14ac:dyDescent="0.3">
      <c r="E74" t="str">
        <f t="shared" si="3"/>
        <v>t=120 C</v>
      </c>
      <c r="F74" s="1" cm="1">
        <f t="array" ref="F74">[1]!unf_pvt_dZdt($D50,F$36,gg,zcor)*100</f>
        <v>1.1682510376864741E-3</v>
      </c>
      <c r="G74" s="1" cm="1">
        <f t="array" ref="G74">[1]!unf_pvt_dZdt($D50,G$36,gg,zcor)*100</f>
        <v>1.0514259338290088E-2</v>
      </c>
      <c r="H74" s="1" cm="1">
        <f t="array" ref="H74">[1]!unf_pvt_dZdt($D50,H$36,gg,zcor)*100</f>
        <v>1.9860267639115747E-2</v>
      </c>
      <c r="I74" s="1" cm="1">
        <f t="array" ref="I74">[1]!unf_pvt_dZdt($D50,I$36,gg,zcor)*100</f>
        <v>2.9206275939941406E-2</v>
      </c>
      <c r="J74" s="1" cm="1">
        <f t="array" ref="J74">[1]!unf_pvt_dZdt($D50,J$36,gg,zcor)*100</f>
        <v>3.7384033203080591E-2</v>
      </c>
      <c r="K74" s="1" cm="1">
        <f t="array" ref="K74">[1]!unf_pvt_dZdt($D50,K$36,gg,zcor)*100</f>
        <v>4.673004150390625E-2</v>
      </c>
      <c r="L74" s="1" cm="1">
        <f t="array" ref="L74">[1]!unf_pvt_dZdt($D50,L$36,gg,zcor)*100</f>
        <v>5.4907798767267479E-2</v>
      </c>
      <c r="M74" s="1" cm="1">
        <f t="array" ref="M74">[1]!unf_pvt_dZdt($D50,M$36,gg,zcor)*100</f>
        <v>6.4253807067871094E-2</v>
      </c>
      <c r="N74" s="1" cm="1">
        <f t="array" ref="N74">[1]!unf_pvt_dZdt($D50,N$36,gg,zcor)*100</f>
        <v>7.2431564331010279E-2</v>
      </c>
      <c r="O74" s="1" cm="1">
        <f t="array" ref="O74">[1]!unf_pvt_dZdt($D50,O$36,gg,zcor)*100</f>
        <v>8.0609321594149463E-2</v>
      </c>
      <c r="P74" s="1" cm="1">
        <f t="array" ref="P74">[1]!unf_pvt_dZdt($D50,P$36,gg,zcor)*100</f>
        <v>8.7618827819824219E-2</v>
      </c>
      <c r="Q74" s="1" cm="1">
        <f t="array" ref="Q74">[1]!unf_pvt_dZdt($D50,Q$36,gg,zcor)*100</f>
        <v>9.4628334045276929E-2</v>
      </c>
      <c r="R74" s="1" cm="1">
        <f t="array" ref="R74">[1]!unf_pvt_dZdt($D50,R$36,gg,zcor)*100</f>
        <v>0.10046958923326521</v>
      </c>
      <c r="S74" s="1" cm="1">
        <f t="array" ref="S74">[1]!unf_pvt_dZdt($D50,S$36,gg,zcor)*100</f>
        <v>0.10631084442125349</v>
      </c>
      <c r="T74" s="1" cm="1">
        <f t="array" ref="T74">[1]!unf_pvt_dZdt($D50,T$36,gg,zcor)*100</f>
        <v>0.11215209960946382</v>
      </c>
      <c r="U74" s="1" cm="1">
        <f t="array" ref="U74">[1]!unf_pvt_dZdt($D50,U$36,gg,zcor)*100</f>
        <v>0.11565685272207915</v>
      </c>
      <c r="V74" s="1" cm="1">
        <f t="array" ref="V74">[1]!unf_pvt_dZdt($D50,V$36,gg,zcor)*100</f>
        <v>0.11916160583491653</v>
      </c>
      <c r="W74" s="1" cm="1">
        <f t="array" ref="W74">[1]!unf_pvt_dZdt($D50,W$36,gg,zcor)*100</f>
        <v>0.12149810791006743</v>
      </c>
      <c r="X74" s="1" cm="1">
        <f t="array" ref="X74">[1]!unf_pvt_dZdt($D50,X$36,gg,zcor)*100</f>
        <v>0.12500286102312685</v>
      </c>
      <c r="Y74" s="1" cm="1">
        <f t="array" ref="Y74">[1]!unf_pvt_dZdt($D50,Y$36,gg,zcor)*100</f>
        <v>0.12500286102312685</v>
      </c>
      <c r="Z74" s="1" cm="1">
        <f t="array" ref="Z74">[1]!unf_pvt_dZdt($D50,Z$36,gg,zcor)*100</f>
        <v>0.12617111206059128</v>
      </c>
      <c r="AA74" s="1" cm="1">
        <f t="array" ref="AA74">[1]!unf_pvt_dZdt($D50,AA$36,gg,zcor)*100</f>
        <v>0.12617111206036924</v>
      </c>
      <c r="AB74" s="1" cm="1">
        <f t="array" ref="AB74">[1]!unf_pvt_dZdt($D50,AB$36,gg,zcor)*100</f>
        <v>0.12617111206059128</v>
      </c>
      <c r="AC74" s="1" cm="1">
        <f t="array" ref="AC74">[1]!unf_pvt_dZdt($D50,AC$36,gg,zcor)*100</f>
        <v>0.12383460998544038</v>
      </c>
      <c r="AD74" s="1" cm="1">
        <f t="array" ref="AD74">[1]!unf_pvt_dZdt($D50,AD$36,gg,zcor)*100</f>
        <v>0.12266635894775391</v>
      </c>
      <c r="AE74" s="1" cm="1">
        <f t="array" ref="AE74">[1]!unf_pvt_dZdt($D50,AE$36,gg,zcor)*100</f>
        <v>0.120329856872603</v>
      </c>
      <c r="AF74" s="1" cm="1">
        <f t="array" ref="AF74">[1]!unf_pvt_dZdt($D50,AF$36,gg,zcor)*100</f>
        <v>0.11916160583513857</v>
      </c>
      <c r="AG74" s="1" cm="1">
        <f t="array" ref="AG74">[1]!unf_pvt_dZdt($D50,AG$36,gg,zcor)*100</f>
        <v>0.11682510375998767</v>
      </c>
      <c r="AH74" s="1" cm="1">
        <f t="array" ref="AH74">[1]!unf_pvt_dZdt($D50,AH$36,gg,zcor)*100</f>
        <v>0.11332035064692825</v>
      </c>
      <c r="AI74" s="1" cm="1">
        <f t="array" ref="AI74">[1]!unf_pvt_dZdt($D50,AI$36,gg,zcor)*100</f>
        <v>0.11098384857177734</v>
      </c>
      <c r="AJ74" s="1" cm="1">
        <f t="array" ref="AJ74">[1]!unf_pvt_dZdt($D50,AJ$36,gg,zcor)*100</f>
        <v>0.10747909545916201</v>
      </c>
      <c r="AK74" s="1" cm="1">
        <f t="array" ref="AK74">[1]!unf_pvt_dZdt($D50,AK$36,gg,zcor)*100</f>
        <v>0.10397434234632463</v>
      </c>
    </row>
    <row r="75" spans="5:37" x14ac:dyDescent="0.3">
      <c r="E75" t="str">
        <f t="shared" si="3"/>
        <v>t=130 C</v>
      </c>
      <c r="F75" s="1" cm="1">
        <f t="array" ref="F75">[1]!unf_pvt_dZdt($D51,F$36,gg,zcor)*100</f>
        <v>1.1682510374644295E-3</v>
      </c>
      <c r="G75" s="1" cm="1">
        <f t="array" ref="G75">[1]!unf_pvt_dZdt($D51,G$36,gg,zcor)*100</f>
        <v>8.1777572631391848E-3</v>
      </c>
      <c r="H75" s="1" cm="1">
        <f t="array" ref="H75">[1]!unf_pvt_dZdt($D51,H$36,gg,zcor)*100</f>
        <v>1.7523765563964844E-2</v>
      </c>
      <c r="I75" s="1" cm="1">
        <f t="array" ref="I75">[1]!unf_pvt_dZdt($D51,I$36,gg,zcor)*100</f>
        <v>2.5701522827104029E-2</v>
      </c>
      <c r="J75" s="1" cm="1">
        <f t="array" ref="J75">[1]!unf_pvt_dZdt($D51,J$36,gg,zcor)*100</f>
        <v>3.3879280090243213E-2</v>
      </c>
      <c r="K75" s="1" cm="1">
        <f t="array" ref="K75">[1]!unf_pvt_dZdt($D51,K$36,gg,zcor)*100</f>
        <v>4.2057037353604443E-2</v>
      </c>
      <c r="L75" s="1" cm="1">
        <f t="array" ref="L75">[1]!unf_pvt_dZdt($D51,L$36,gg,zcor)*100</f>
        <v>4.9066543579279198E-2</v>
      </c>
      <c r="M75" s="1" cm="1">
        <f t="array" ref="M75">[1]!unf_pvt_dZdt($D51,M$36,gg,zcor)*100</f>
        <v>5.7244300842196338E-2</v>
      </c>
      <c r="N75" s="1" cm="1">
        <f t="array" ref="N75">[1]!unf_pvt_dZdt($D51,N$36,gg,zcor)*100</f>
        <v>6.5422058105335523E-2</v>
      </c>
      <c r="O75" s="1" cm="1">
        <f t="array" ref="O75">[1]!unf_pvt_dZdt($D51,O$36,gg,zcor)*100</f>
        <v>7.2431564331010279E-2</v>
      </c>
      <c r="P75" s="1" cm="1">
        <f t="array" ref="P75">[1]!unf_pvt_dZdt($D51,P$36,gg,zcor)*100</f>
        <v>7.827281951899856E-2</v>
      </c>
      <c r="Q75" s="1" cm="1">
        <f t="array" ref="Q75">[1]!unf_pvt_dZdt($D51,Q$36,gg,zcor)*100</f>
        <v>8.4114074706986841E-2</v>
      </c>
      <c r="R75" s="1" cm="1">
        <f t="array" ref="R75">[1]!unf_pvt_dZdt($D51,R$36,gg,zcor)*100</f>
        <v>8.9955329894975122E-2</v>
      </c>
      <c r="S75" s="1" cm="1">
        <f t="array" ref="S75">[1]!unf_pvt_dZdt($D51,S$36,gg,zcor)*100</f>
        <v>9.5796585082963404E-2</v>
      </c>
      <c r="T75" s="1" cm="1">
        <f t="array" ref="T75">[1]!unf_pvt_dZdt($D51,T$36,gg,zcor)*100</f>
        <v>9.9301338195578737E-2</v>
      </c>
      <c r="U75" s="1" cm="1">
        <f t="array" ref="U75">[1]!unf_pvt_dZdt($D51,U$36,gg,zcor)*100</f>
        <v>0.10397434234610259</v>
      </c>
      <c r="V75" s="1" cm="1">
        <f t="array" ref="V75">[1]!unf_pvt_dZdt($D51,V$36,gg,zcor)*100</f>
        <v>0.10747909545893997</v>
      </c>
      <c r="W75" s="1" cm="1">
        <f t="array" ref="W75">[1]!unf_pvt_dZdt($D51,W$36,gg,zcor)*100</f>
        <v>0.10981559753409087</v>
      </c>
      <c r="X75" s="1" cm="1">
        <f t="array" ref="X75">[1]!unf_pvt_dZdt($D51,X$36,gg,zcor)*100</f>
        <v>0.11098384857177734</v>
      </c>
      <c r="Y75" s="1" cm="1">
        <f t="array" ref="Y75">[1]!unf_pvt_dZdt($D51,Y$36,gg,zcor)*100</f>
        <v>0.11332035064692825</v>
      </c>
      <c r="Z75" s="1" cm="1">
        <f t="array" ref="Z75">[1]!unf_pvt_dZdt($D51,Z$36,gg,zcor)*100</f>
        <v>0.11448860168461472</v>
      </c>
      <c r="AA75" s="1" cm="1">
        <f t="array" ref="AA75">[1]!unf_pvt_dZdt($D51,AA$36,gg,zcor)*100</f>
        <v>0.11448860168461472</v>
      </c>
      <c r="AB75" s="1" cm="1">
        <f t="array" ref="AB75">[1]!unf_pvt_dZdt($D51,AB$36,gg,zcor)*100</f>
        <v>0.11448860168461472</v>
      </c>
      <c r="AC75" s="1" cm="1">
        <f t="array" ref="AC75">[1]!unf_pvt_dZdt($D51,AC$36,gg,zcor)*100</f>
        <v>0.11332035064715029</v>
      </c>
      <c r="AD75" s="1" cm="1">
        <f t="array" ref="AD75">[1]!unf_pvt_dZdt($D51,AD$36,gg,zcor)*100</f>
        <v>0.11215209960924177</v>
      </c>
      <c r="AE75" s="1" cm="1">
        <f t="array" ref="AE75">[1]!unf_pvt_dZdt($D51,AE$36,gg,zcor)*100</f>
        <v>0.11098384857177734</v>
      </c>
      <c r="AF75" s="1" cm="1">
        <f t="array" ref="AF75">[1]!unf_pvt_dZdt($D51,AF$36,gg,zcor)*100</f>
        <v>0.10981559753409087</v>
      </c>
      <c r="AG75" s="1" cm="1">
        <f t="array" ref="AG75">[1]!unf_pvt_dZdt($D51,AG$36,gg,zcor)*100</f>
        <v>0.10747909545916201</v>
      </c>
      <c r="AH75" s="1" cm="1">
        <f t="array" ref="AH75">[1]!unf_pvt_dZdt($D51,AH$36,gg,zcor)*100</f>
        <v>0.10514259338356702</v>
      </c>
      <c r="AI75" s="1" cm="1">
        <f t="array" ref="AI75">[1]!unf_pvt_dZdt($D51,AI$36,gg,zcor)*100</f>
        <v>0.10280609130863816</v>
      </c>
      <c r="AJ75" s="1" cm="1">
        <f t="array" ref="AJ75">[1]!unf_pvt_dZdt($D51,AJ$36,gg,zcor)*100</f>
        <v>0.10046958923348726</v>
      </c>
      <c r="AK75" s="1" cm="1">
        <f t="array" ref="AK75">[1]!unf_pvt_dZdt($D51,AK$36,gg,zcor)*100</f>
        <v>9.6964836120649878E-2</v>
      </c>
    </row>
    <row r="76" spans="5:37" x14ac:dyDescent="0.3">
      <c r="E76" t="str">
        <f t="shared" si="3"/>
        <v>t=140 C</v>
      </c>
      <c r="F76" s="1" cm="1">
        <f t="array" ref="F76">[1]!unf_pvt_dZdt($D52,F$36,gg,zcor)*100</f>
        <v>1.1682510374644295E-3</v>
      </c>
      <c r="G76" s="1" cm="1">
        <f t="array" ref="G76">[1]!unf_pvt_dZdt($D52,G$36,gg,zcor)*100</f>
        <v>8.1777572631391848E-3</v>
      </c>
      <c r="H76" s="1" cm="1">
        <f t="array" ref="H76">[1]!unf_pvt_dZdt($D52,H$36,gg,zcor)*100</f>
        <v>1.635551452627837E-2</v>
      </c>
      <c r="I76" s="1" cm="1">
        <f t="array" ref="I76">[1]!unf_pvt_dZdt($D52,I$36,gg,zcor)*100</f>
        <v>2.3365020751953125E-2</v>
      </c>
      <c r="J76" s="1" cm="1">
        <f t="array" ref="J76">[1]!unf_pvt_dZdt($D52,J$36,gg,zcor)*100</f>
        <v>3.037452697762788E-2</v>
      </c>
      <c r="K76" s="1" cm="1">
        <f t="array" ref="K76">[1]!unf_pvt_dZdt($D52,K$36,gg,zcor)*100</f>
        <v>3.8552284240767065E-2</v>
      </c>
      <c r="L76" s="1" cm="1">
        <f t="array" ref="L76">[1]!unf_pvt_dZdt($D52,L$36,gg,zcor)*100</f>
        <v>4.5561790466219776E-2</v>
      </c>
      <c r="M76" s="1" cm="1">
        <f t="array" ref="M76">[1]!unf_pvt_dZdt($D52,M$36,gg,zcor)*100</f>
        <v>5.1403045654430102E-2</v>
      </c>
      <c r="N76" s="1" cm="1">
        <f t="array" ref="N76">[1]!unf_pvt_dZdt($D52,N$36,gg,zcor)*100</f>
        <v>5.8412551879882813E-2</v>
      </c>
      <c r="O76" s="1" cm="1">
        <f t="array" ref="O76">[1]!unf_pvt_dZdt($D52,O$36,gg,zcor)*100</f>
        <v>6.5422058105557568E-2</v>
      </c>
      <c r="P76" s="1" cm="1">
        <f t="array" ref="P76">[1]!unf_pvt_dZdt($D52,P$36,gg,zcor)*100</f>
        <v>7.1263313293545849E-2</v>
      </c>
      <c r="Q76" s="1" cm="1">
        <f t="array" ref="Q76">[1]!unf_pvt_dZdt($D52,Q$36,gg,zcor)*100</f>
        <v>7.5936317443847656E-2</v>
      </c>
      <c r="R76" s="1" cm="1">
        <f t="array" ref="R76">[1]!unf_pvt_dZdt($D52,R$36,gg,zcor)*100</f>
        <v>8.1777572631613893E-2</v>
      </c>
      <c r="S76" s="1" cm="1">
        <f t="array" ref="S76">[1]!unf_pvt_dZdt($D52,S$36,gg,zcor)*100</f>
        <v>8.5282325744451271E-2</v>
      </c>
      <c r="T76" s="1" cm="1">
        <f t="array" ref="T76">[1]!unf_pvt_dZdt($D52,T$36,gg,zcor)*100</f>
        <v>8.9955329894975122E-2</v>
      </c>
      <c r="U76" s="1" cm="1">
        <f t="array" ref="U76">[1]!unf_pvt_dZdt($D52,U$36,gg,zcor)*100</f>
        <v>9.34600830078125E-2</v>
      </c>
      <c r="V76" s="1" cm="1">
        <f t="array" ref="V76">[1]!unf_pvt_dZdt($D52,V$36,gg,zcor)*100</f>
        <v>9.6964836120649878E-2</v>
      </c>
      <c r="W76" s="1" cm="1">
        <f t="array" ref="W76">[1]!unf_pvt_dZdt($D52,W$36,gg,zcor)*100</f>
        <v>9.9301338195800781E-2</v>
      </c>
      <c r="X76" s="1" cm="1">
        <f t="array" ref="X76">[1]!unf_pvt_dZdt($D52,X$36,gg,zcor)*100</f>
        <v>0.10163784027117373</v>
      </c>
      <c r="Y76" s="1" cm="1">
        <f t="array" ref="Y76">[1]!unf_pvt_dZdt($D52,Y$36,gg,zcor)*100</f>
        <v>0.10163784027095168</v>
      </c>
      <c r="Z76" s="1" cm="1">
        <f t="array" ref="Z76">[1]!unf_pvt_dZdt($D52,Z$36,gg,zcor)*100</f>
        <v>0.10280609130863816</v>
      </c>
      <c r="AA76" s="1" cm="1">
        <f t="array" ref="AA76">[1]!unf_pvt_dZdt($D52,AA$36,gg,zcor)*100</f>
        <v>0.10397434234610259</v>
      </c>
      <c r="AB76" s="1" cm="1">
        <f t="array" ref="AB76">[1]!unf_pvt_dZdt($D52,AB$36,gg,zcor)*100</f>
        <v>0.10397434234610259</v>
      </c>
      <c r="AC76" s="1" cm="1">
        <f t="array" ref="AC76">[1]!unf_pvt_dZdt($D52,AC$36,gg,zcor)*100</f>
        <v>0.10397434234610259</v>
      </c>
      <c r="AD76" s="1" cm="1">
        <f t="array" ref="AD76">[1]!unf_pvt_dZdt($D52,AD$36,gg,zcor)*100</f>
        <v>0.10280609130841611</v>
      </c>
      <c r="AE76" s="1" cm="1">
        <f t="array" ref="AE76">[1]!unf_pvt_dZdt($D52,AE$36,gg,zcor)*100</f>
        <v>0.10163784027095168</v>
      </c>
      <c r="AF76" s="1" cm="1">
        <f t="array" ref="AF76">[1]!unf_pvt_dZdt($D52,AF$36,gg,zcor)*100</f>
        <v>0.10046958923348726</v>
      </c>
      <c r="AG76" s="1" cm="1">
        <f t="array" ref="AG76">[1]!unf_pvt_dZdt($D52,AG$36,gg,zcor)*100</f>
        <v>9.9301338195800781E-2</v>
      </c>
      <c r="AH76" s="1" cm="1">
        <f t="array" ref="AH76">[1]!unf_pvt_dZdt($D52,AH$36,gg,zcor)*100</f>
        <v>9.6964836120427833E-2</v>
      </c>
      <c r="AI76" s="1" cm="1">
        <f t="array" ref="AI76">[1]!unf_pvt_dZdt($D52,AI$36,gg,zcor)*100</f>
        <v>9.4628334045498974E-2</v>
      </c>
      <c r="AJ76" s="1" cm="1">
        <f t="array" ref="AJ76">[1]!unf_pvt_dZdt($D52,AJ$36,gg,zcor)*100</f>
        <v>9.2291831970348071E-2</v>
      </c>
      <c r="AK76" s="1" cm="1">
        <f t="array" ref="AK76">[1]!unf_pvt_dZdt($D52,AK$36,gg,zcor)*100</f>
        <v>8.9955329895197167E-2</v>
      </c>
    </row>
    <row r="77" spans="5:37" x14ac:dyDescent="0.3">
      <c r="E77" t="str">
        <f t="shared" si="3"/>
        <v>t=150 C</v>
      </c>
      <c r="F77" s="1" cm="1">
        <f t="array" ref="F77">[1]!unf_pvt_dZdt($D53,F$36,gg,zcor)*100</f>
        <v>1.1682510376864741E-3</v>
      </c>
      <c r="G77" s="1" cm="1">
        <f t="array" ref="G77">[1]!unf_pvt_dZdt($D53,G$36,gg,zcor)*100</f>
        <v>8.1777572631391848E-3</v>
      </c>
      <c r="H77" s="1" cm="1">
        <f t="array" ref="H77">[1]!unf_pvt_dZdt($D53,H$36,gg,zcor)*100</f>
        <v>1.4019012451127466E-2</v>
      </c>
      <c r="I77" s="1" cm="1">
        <f t="array" ref="I77">[1]!unf_pvt_dZdt($D53,I$36,gg,zcor)*100</f>
        <v>2.1028518676802221E-2</v>
      </c>
      <c r="J77" s="1" cm="1">
        <f t="array" ref="J77">[1]!unf_pvt_dZdt($D53,J$36,gg,zcor)*100</f>
        <v>2.8038024902476977E-2</v>
      </c>
      <c r="K77" s="1" cm="1">
        <f t="array" ref="K77">[1]!unf_pvt_dZdt($D53,K$36,gg,zcor)*100</f>
        <v>3.5047531127929688E-2</v>
      </c>
      <c r="L77" s="1" cm="1">
        <f t="array" ref="L77">[1]!unf_pvt_dZdt($D53,L$36,gg,zcor)*100</f>
        <v>4.0888786315917969E-2</v>
      </c>
      <c r="M77" s="1" cm="1">
        <f t="array" ref="M77">[1]!unf_pvt_dZdt($D53,M$36,gg,zcor)*100</f>
        <v>4.673004150390625E-2</v>
      </c>
      <c r="N77" s="1" cm="1">
        <f t="array" ref="N77">[1]!unf_pvt_dZdt($D53,N$36,gg,zcor)*100</f>
        <v>5.2571296691894531E-2</v>
      </c>
      <c r="O77" s="1" cm="1">
        <f t="array" ref="O77">[1]!unf_pvt_dZdt($D53,O$36,gg,zcor)*100</f>
        <v>5.7244300842418383E-2</v>
      </c>
      <c r="P77" s="1" cm="1">
        <f t="array" ref="P77">[1]!unf_pvt_dZdt($D53,P$36,gg,zcor)*100</f>
        <v>6.4253807067871094E-2</v>
      </c>
      <c r="Q77" s="1" cm="1">
        <f t="array" ref="Q77">[1]!unf_pvt_dZdt($D53,Q$36,gg,zcor)*100</f>
        <v>6.7758560180708471E-2</v>
      </c>
      <c r="R77" s="1" cm="1">
        <f t="array" ref="R77">[1]!unf_pvt_dZdt($D53,R$36,gg,zcor)*100</f>
        <v>7.2431564331010279E-2</v>
      </c>
      <c r="S77" s="1" cm="1">
        <f t="array" ref="S77">[1]!unf_pvt_dZdt($D53,S$36,gg,zcor)*100</f>
        <v>7.710456848153413E-2</v>
      </c>
      <c r="T77" s="1" cm="1">
        <f t="array" ref="T77">[1]!unf_pvt_dZdt($D53,T$36,gg,zcor)*100</f>
        <v>8.0609321594149463E-2</v>
      </c>
      <c r="U77" s="1" cm="1">
        <f t="array" ref="U77">[1]!unf_pvt_dZdt($D53,U$36,gg,zcor)*100</f>
        <v>8.4114074707208886E-2</v>
      </c>
      <c r="V77" s="1" cm="1">
        <f t="array" ref="V77">[1]!unf_pvt_dZdt($D53,V$36,gg,zcor)*100</f>
        <v>8.7618827819824219E-2</v>
      </c>
      <c r="W77" s="1" cm="1">
        <f t="array" ref="W77">[1]!unf_pvt_dZdt($D53,W$36,gg,zcor)*100</f>
        <v>8.9955329894975122E-2</v>
      </c>
      <c r="X77" s="1" cm="1">
        <f t="array" ref="X77">[1]!unf_pvt_dZdt($D53,X$36,gg,zcor)*100</f>
        <v>9.1123580932661596E-2</v>
      </c>
      <c r="Y77" s="1" cm="1">
        <f t="array" ref="Y77">[1]!unf_pvt_dZdt($D53,Y$36,gg,zcor)*100</f>
        <v>9.2291831970348071E-2</v>
      </c>
      <c r="Z77" s="1" cm="1">
        <f t="array" ref="Z77">[1]!unf_pvt_dZdt($D53,Z$36,gg,zcor)*100</f>
        <v>9.4628334045276929E-2</v>
      </c>
      <c r="AA77" s="1" cm="1">
        <f t="array" ref="AA77">[1]!unf_pvt_dZdt($D53,AA$36,gg,zcor)*100</f>
        <v>9.4628334045721019E-2</v>
      </c>
      <c r="AB77" s="1" cm="1">
        <f t="array" ref="AB77">[1]!unf_pvt_dZdt($D53,AB$36,gg,zcor)*100</f>
        <v>9.4628334045276929E-2</v>
      </c>
      <c r="AC77" s="1" cm="1">
        <f t="array" ref="AC77">[1]!unf_pvt_dZdt($D53,AC$36,gg,zcor)*100</f>
        <v>9.34600830078125E-2</v>
      </c>
      <c r="AD77" s="1" cm="1">
        <f t="array" ref="AD77">[1]!unf_pvt_dZdt($D53,AD$36,gg,zcor)*100</f>
        <v>9.34600830078125E-2</v>
      </c>
      <c r="AE77" s="1" cm="1">
        <f t="array" ref="AE77">[1]!unf_pvt_dZdt($D53,AE$36,gg,zcor)*100</f>
        <v>9.34600830078125E-2</v>
      </c>
      <c r="AF77" s="1" cm="1">
        <f t="array" ref="AF77">[1]!unf_pvt_dZdt($D53,AF$36,gg,zcor)*100</f>
        <v>9.2291831969903981E-2</v>
      </c>
      <c r="AG77" s="1" cm="1">
        <f t="array" ref="AG77">[1]!unf_pvt_dZdt($D53,AG$36,gg,zcor)*100</f>
        <v>9.1123580932661596E-2</v>
      </c>
      <c r="AH77" s="1" cm="1">
        <f t="array" ref="AH77">[1]!unf_pvt_dZdt($D53,AH$36,gg,zcor)*100</f>
        <v>8.8787078857288648E-2</v>
      </c>
      <c r="AI77" s="1" cm="1">
        <f t="array" ref="AI77">[1]!unf_pvt_dZdt($D53,AI$36,gg,zcor)*100</f>
        <v>8.7618827819824219E-2</v>
      </c>
      <c r="AJ77" s="1" cm="1">
        <f t="array" ref="AJ77">[1]!unf_pvt_dZdt($D53,AJ$36,gg,zcor)*100</f>
        <v>8.5282325744673315E-2</v>
      </c>
      <c r="AK77" s="1" cm="1">
        <f t="array" ref="AK77">[1]!unf_pvt_dZdt($D53,AK$36,gg,zcor)*100</f>
        <v>8.2945823669522412E-2</v>
      </c>
    </row>
    <row r="78" spans="5:37" x14ac:dyDescent="0.3">
      <c r="E78" t="str">
        <f t="shared" si="3"/>
        <v>t=160 C</v>
      </c>
      <c r="F78" s="1" cm="1">
        <f t="array" ref="F78">[1]!unf_pvt_dZdt($D54,F$36,gg,zcor)*100</f>
        <v>1.1682510376864741E-3</v>
      </c>
      <c r="G78" s="1" cm="1">
        <f t="array" ref="G78">[1]!unf_pvt_dZdt($D54,G$36,gg,zcor)*100</f>
        <v>7.0095062256747553E-3</v>
      </c>
      <c r="H78" s="1" cm="1">
        <f t="array" ref="H78">[1]!unf_pvt_dZdt($D54,H$36,gg,zcor)*100</f>
        <v>1.2850761413663037E-2</v>
      </c>
      <c r="I78" s="1" cm="1">
        <f t="array" ref="I78">[1]!unf_pvt_dZdt($D54,I$36,gg,zcor)*100</f>
        <v>1.9860267639115747E-2</v>
      </c>
      <c r="J78" s="1" cm="1">
        <f t="array" ref="J78">[1]!unf_pvt_dZdt($D54,J$36,gg,zcor)*100</f>
        <v>2.5701522827104029E-2</v>
      </c>
      <c r="K78" s="1" cm="1">
        <f t="array" ref="K78">[1]!unf_pvt_dZdt($D54,K$36,gg,zcor)*100</f>
        <v>3.037452697762788E-2</v>
      </c>
      <c r="L78" s="1" cm="1">
        <f t="array" ref="L78">[1]!unf_pvt_dZdt($D54,L$36,gg,zcor)*100</f>
        <v>3.7384033203080591E-2</v>
      </c>
      <c r="M78" s="1" cm="1">
        <f t="array" ref="M78">[1]!unf_pvt_dZdt($D54,M$36,gg,zcor)*100</f>
        <v>4.2057037353604443E-2</v>
      </c>
      <c r="N78" s="1" cm="1">
        <f t="array" ref="N78">[1]!unf_pvt_dZdt($D54,N$36,gg,zcor)*100</f>
        <v>4.7898292541370679E-2</v>
      </c>
      <c r="O78" s="1" cm="1">
        <f t="array" ref="O78">[1]!unf_pvt_dZdt($D54,O$36,gg,zcor)*100</f>
        <v>5.3739547729358961E-2</v>
      </c>
      <c r="P78" s="1" cm="1">
        <f t="array" ref="P78">[1]!unf_pvt_dZdt($D54,P$36,gg,zcor)*100</f>
        <v>5.7244300842418383E-2</v>
      </c>
      <c r="Q78" s="1" cm="1">
        <f t="array" ref="Q78">[1]!unf_pvt_dZdt($D54,Q$36,gg,zcor)*100</f>
        <v>6.191730499272019E-2</v>
      </c>
      <c r="R78" s="1" cm="1">
        <f t="array" ref="R78">[1]!unf_pvt_dZdt($D54,R$36,gg,zcor)*100</f>
        <v>6.6590309143244042E-2</v>
      </c>
      <c r="S78" s="1" cm="1">
        <f t="array" ref="S78">[1]!unf_pvt_dZdt($D54,S$36,gg,zcor)*100</f>
        <v>7.009506225608142E-2</v>
      </c>
      <c r="T78" s="1" cm="1">
        <f t="array" ref="T78">[1]!unf_pvt_dZdt($D54,T$36,gg,zcor)*100</f>
        <v>7.3599815368696753E-2</v>
      </c>
      <c r="U78" s="1" cm="1">
        <f t="array" ref="U78">[1]!unf_pvt_dZdt($D54,U$36,gg,zcor)*100</f>
        <v>7.5936317443847656E-2</v>
      </c>
      <c r="V78" s="1" cm="1">
        <f t="array" ref="V78">[1]!unf_pvt_dZdt($D54,V$36,gg,zcor)*100</f>
        <v>7.9441070556462989E-2</v>
      </c>
      <c r="W78" s="1" cm="1">
        <f t="array" ref="W78">[1]!unf_pvt_dZdt($D54,W$36,gg,zcor)*100</f>
        <v>8.1777572631835938E-2</v>
      </c>
      <c r="X78" s="1" cm="1">
        <f t="array" ref="X78">[1]!unf_pvt_dZdt($D54,X$36,gg,zcor)*100</f>
        <v>8.2945823669300367E-2</v>
      </c>
      <c r="Y78" s="1" cm="1">
        <f t="array" ref="Y78">[1]!unf_pvt_dZdt($D54,Y$36,gg,zcor)*100</f>
        <v>8.4114074707208886E-2</v>
      </c>
      <c r="Z78" s="1" cm="1">
        <f t="array" ref="Z78">[1]!unf_pvt_dZdt($D54,Z$36,gg,zcor)*100</f>
        <v>8.5282325744673315E-2</v>
      </c>
      <c r="AA78" s="1" cm="1">
        <f t="array" ref="AA78">[1]!unf_pvt_dZdt($D54,AA$36,gg,zcor)*100</f>
        <v>8.6450576782359789E-2</v>
      </c>
      <c r="AB78" s="1" cm="1">
        <f t="array" ref="AB78">[1]!unf_pvt_dZdt($D54,AB$36,gg,zcor)*100</f>
        <v>8.5282325744451271E-2</v>
      </c>
      <c r="AC78" s="1" cm="1">
        <f t="array" ref="AC78">[1]!unf_pvt_dZdt($D54,AC$36,gg,zcor)*100</f>
        <v>8.6450576782359789E-2</v>
      </c>
      <c r="AD78" s="1" cm="1">
        <f t="array" ref="AD78">[1]!unf_pvt_dZdt($D54,AD$36,gg,zcor)*100</f>
        <v>8.6450576782137745E-2</v>
      </c>
      <c r="AE78" s="1" cm="1">
        <f t="array" ref="AE78">[1]!unf_pvt_dZdt($D54,AE$36,gg,zcor)*100</f>
        <v>8.5282325744451271E-2</v>
      </c>
      <c r="AF78" s="1" cm="1">
        <f t="array" ref="AF78">[1]!unf_pvt_dZdt($D54,AF$36,gg,zcor)*100</f>
        <v>8.4114074706986841E-2</v>
      </c>
      <c r="AG78" s="1" cm="1">
        <f t="array" ref="AG78">[1]!unf_pvt_dZdt($D54,AG$36,gg,zcor)*100</f>
        <v>8.4114074706986841E-2</v>
      </c>
      <c r="AH78" s="1" cm="1">
        <f t="array" ref="AH78">[1]!unf_pvt_dZdt($D54,AH$36,gg,zcor)*100</f>
        <v>8.1777572632057982E-2</v>
      </c>
      <c r="AI78" s="1" cm="1">
        <f t="array" ref="AI78">[1]!unf_pvt_dZdt($D54,AI$36,gg,zcor)*100</f>
        <v>8.0609321594149463E-2</v>
      </c>
      <c r="AJ78" s="1" cm="1">
        <f t="array" ref="AJ78">[1]!unf_pvt_dZdt($D54,AJ$36,gg,zcor)*100</f>
        <v>7.9441070556685034E-2</v>
      </c>
      <c r="AK78" s="1" cm="1">
        <f t="array" ref="AK78">[1]!unf_pvt_dZdt($D54,AK$36,gg,zcor)*100</f>
        <v>7.710456848153413E-2</v>
      </c>
    </row>
    <row r="79" spans="5:37" x14ac:dyDescent="0.3">
      <c r="E79" t="str">
        <f t="shared" si="3"/>
        <v>t=170 C</v>
      </c>
      <c r="F79" s="1" cm="1">
        <f t="array" ref="F79">[1]!unf_pvt_dZdt($D55,F$36,gg,zcor)*100</f>
        <v>0</v>
      </c>
      <c r="G79" s="1" cm="1">
        <f t="array" ref="G79">[1]!unf_pvt_dZdt($D55,G$36,gg,zcor)*100</f>
        <v>5.8412551879882813E-3</v>
      </c>
      <c r="H79" s="1" cm="1">
        <f t="array" ref="H79">[1]!unf_pvt_dZdt($D55,H$36,gg,zcor)*100</f>
        <v>1.1682510375976563E-2</v>
      </c>
      <c r="I79" s="1" cm="1">
        <f t="array" ref="I79">[1]!unf_pvt_dZdt($D55,I$36,gg,zcor)*100</f>
        <v>1.7523765563964844E-2</v>
      </c>
      <c r="J79" s="1" cm="1">
        <f t="array" ref="J79">[1]!unf_pvt_dZdt($D55,J$36,gg,zcor)*100</f>
        <v>2.3365020751953125E-2</v>
      </c>
      <c r="K79" s="1" cm="1">
        <f t="array" ref="K79">[1]!unf_pvt_dZdt($D55,K$36,gg,zcor)*100</f>
        <v>2.8038024902254932E-2</v>
      </c>
      <c r="L79" s="1" cm="1">
        <f t="array" ref="L79">[1]!unf_pvt_dZdt($D55,L$36,gg,zcor)*100</f>
        <v>3.3879280090243213E-2</v>
      </c>
      <c r="M79" s="1" cm="1">
        <f t="array" ref="M79">[1]!unf_pvt_dZdt($D55,M$36,gg,zcor)*100</f>
        <v>3.8552284240545021E-2</v>
      </c>
      <c r="N79" s="1" cm="1">
        <f t="array" ref="N79">[1]!unf_pvt_dZdt($D55,N$36,gg,zcor)*100</f>
        <v>4.3225288391068872E-2</v>
      </c>
      <c r="O79" s="1" cm="1">
        <f t="array" ref="O79">[1]!unf_pvt_dZdt($D55,O$36,gg,zcor)*100</f>
        <v>4.7898292541370679E-2</v>
      </c>
      <c r="P79" s="1" cm="1">
        <f t="array" ref="P79">[1]!unf_pvt_dZdt($D55,P$36,gg,zcor)*100</f>
        <v>5.2571296691894531E-2</v>
      </c>
      <c r="Q79" s="1" cm="1">
        <f t="array" ref="Q79">[1]!unf_pvt_dZdt($D55,Q$36,gg,zcor)*100</f>
        <v>5.6076049804509864E-2</v>
      </c>
      <c r="R79" s="1" cm="1">
        <f t="array" ref="R79">[1]!unf_pvt_dZdt($D55,R$36,gg,zcor)*100</f>
        <v>6.0749053955255761E-2</v>
      </c>
      <c r="S79" s="1" cm="1">
        <f t="array" ref="S79">[1]!unf_pvt_dZdt($D55,S$36,gg,zcor)*100</f>
        <v>6.308555603018462E-2</v>
      </c>
      <c r="T79" s="1" cm="1">
        <f t="array" ref="T79">[1]!unf_pvt_dZdt($D55,T$36,gg,zcor)*100</f>
        <v>6.5422058105335523E-2</v>
      </c>
      <c r="U79" s="1" cm="1">
        <f t="array" ref="U79">[1]!unf_pvt_dZdt($D55,U$36,gg,zcor)*100</f>
        <v>6.8926811218394946E-2</v>
      </c>
      <c r="V79" s="1" cm="1">
        <f t="array" ref="V79">[1]!unf_pvt_dZdt($D55,V$36,gg,zcor)*100</f>
        <v>7.1263313293545849E-2</v>
      </c>
      <c r="W79" s="1" cm="1">
        <f t="array" ref="W79">[1]!unf_pvt_dZdt($D55,W$36,gg,zcor)*100</f>
        <v>7.3599815368696753E-2</v>
      </c>
      <c r="X79" s="1" cm="1">
        <f t="array" ref="X79">[1]!unf_pvt_dZdt($D55,X$36,gg,zcor)*100</f>
        <v>7.5936317443847656E-2</v>
      </c>
      <c r="Y79" s="1" cm="1">
        <f t="array" ref="Y79">[1]!unf_pvt_dZdt($D55,Y$36,gg,zcor)*100</f>
        <v>7.5936317443625612E-2</v>
      </c>
      <c r="Z79" s="1" cm="1">
        <f t="array" ref="Z79">[1]!unf_pvt_dZdt($D55,Z$36,gg,zcor)*100</f>
        <v>7.7104568481312086E-2</v>
      </c>
      <c r="AA79" s="1" cm="1">
        <f t="array" ref="AA79">[1]!unf_pvt_dZdt($D55,AA$36,gg,zcor)*100</f>
        <v>7.8272819519220604E-2</v>
      </c>
      <c r="AB79" s="1" cm="1">
        <f t="array" ref="AB79">[1]!unf_pvt_dZdt($D55,AB$36,gg,zcor)*100</f>
        <v>7.9441070556685034E-2</v>
      </c>
      <c r="AC79" s="1" cm="1">
        <f t="array" ref="AC79">[1]!unf_pvt_dZdt($D55,AC$36,gg,zcor)*100</f>
        <v>7.827281951899856E-2</v>
      </c>
      <c r="AD79" s="1" cm="1">
        <f t="array" ref="AD79">[1]!unf_pvt_dZdt($D55,AD$36,gg,zcor)*100</f>
        <v>7.827281951899856E-2</v>
      </c>
      <c r="AE79" s="1" cm="1">
        <f t="array" ref="AE79">[1]!unf_pvt_dZdt($D55,AE$36,gg,zcor)*100</f>
        <v>7.8272819519220604E-2</v>
      </c>
      <c r="AF79" s="1" cm="1">
        <f t="array" ref="AF79">[1]!unf_pvt_dZdt($D55,AF$36,gg,zcor)*100</f>
        <v>7.7104568481756175E-2</v>
      </c>
      <c r="AG79" s="1" cm="1">
        <f t="array" ref="AG79">[1]!unf_pvt_dZdt($D55,AG$36,gg,zcor)*100</f>
        <v>7.7104568481312086E-2</v>
      </c>
      <c r="AH79" s="1" cm="1">
        <f t="array" ref="AH79">[1]!unf_pvt_dZdt($D55,AH$36,gg,zcor)*100</f>
        <v>7.5936317443625612E-2</v>
      </c>
      <c r="AI79" s="1" cm="1">
        <f t="array" ref="AI79">[1]!unf_pvt_dZdt($D55,AI$36,gg,zcor)*100</f>
        <v>7.4768066406383227E-2</v>
      </c>
      <c r="AJ79" s="1" cm="1">
        <f t="array" ref="AJ79">[1]!unf_pvt_dZdt($D55,AJ$36,gg,zcor)*100</f>
        <v>7.2431564331010279E-2</v>
      </c>
      <c r="AK79" s="1" cm="1">
        <f t="array" ref="AK79">[1]!unf_pvt_dZdt($D55,AK$36,gg,zcor)*100</f>
        <v>7.0095062255859375E-2</v>
      </c>
    </row>
    <row r="80" spans="5:37" x14ac:dyDescent="0.3">
      <c r="E80" t="str">
        <f t="shared" si="3"/>
        <v>t=180 C</v>
      </c>
      <c r="F80" s="1" cm="1">
        <f t="array" ref="F80">[1]!unf_pvt_dZdt($D56,F$36,gg,zcor)*100</f>
        <v>1.1682510374644295E-3</v>
      </c>
      <c r="G80" s="1" cm="1">
        <f t="array" ref="G80">[1]!unf_pvt_dZdt($D56,G$36,gg,zcor)*100</f>
        <v>5.8412551879882813E-3</v>
      </c>
      <c r="H80" s="1" cm="1">
        <f t="array" ref="H80">[1]!unf_pvt_dZdt($D56,H$36,gg,zcor)*100</f>
        <v>1.1682510375976563E-2</v>
      </c>
      <c r="I80" s="1" cm="1">
        <f t="array" ref="I80">[1]!unf_pvt_dZdt($D56,I$36,gg,zcor)*100</f>
        <v>1.518726348881394E-2</v>
      </c>
      <c r="J80" s="1" cm="1">
        <f t="array" ref="J80">[1]!unf_pvt_dZdt($D56,J$36,gg,zcor)*100</f>
        <v>2.1028518676580177E-2</v>
      </c>
      <c r="K80" s="1" cm="1">
        <f t="array" ref="K80">[1]!unf_pvt_dZdt($D56,K$36,gg,zcor)*100</f>
        <v>2.5701522827104029E-2</v>
      </c>
      <c r="L80" s="1" cm="1">
        <f t="array" ref="L80">[1]!unf_pvt_dZdt($D56,L$36,gg,zcor)*100</f>
        <v>3.0374526977405836E-2</v>
      </c>
      <c r="M80" s="1" cm="1">
        <f t="array" ref="M80">[1]!unf_pvt_dZdt($D56,M$36,gg,zcor)*100</f>
        <v>3.5047531127707643E-2</v>
      </c>
      <c r="N80" s="1" cm="1">
        <f t="array" ref="N80">[1]!unf_pvt_dZdt($D56,N$36,gg,zcor)*100</f>
        <v>3.8552284240767065E-2</v>
      </c>
      <c r="O80" s="1" cm="1">
        <f t="array" ref="O80">[1]!unf_pvt_dZdt($D56,O$36,gg,zcor)*100</f>
        <v>4.3225288391068872E-2</v>
      </c>
      <c r="P80" s="1" cm="1">
        <f t="array" ref="P80">[1]!unf_pvt_dZdt($D56,P$36,gg,zcor)*100</f>
        <v>4.673004150390625E-2</v>
      </c>
      <c r="Q80" s="1" cm="1">
        <f t="array" ref="Q80">[1]!unf_pvt_dZdt($D56,Q$36,gg,zcor)*100</f>
        <v>5.0234794616965672E-2</v>
      </c>
      <c r="R80" s="1" cm="1">
        <f t="array" ref="R80">[1]!unf_pvt_dZdt($D56,R$36,gg,zcor)*100</f>
        <v>5.4907798767045435E-2</v>
      </c>
      <c r="S80" s="1" cm="1">
        <f t="array" ref="S80">[1]!unf_pvt_dZdt($D56,S$36,gg,zcor)*100</f>
        <v>5.7244300842418383E-2</v>
      </c>
      <c r="T80" s="1" cm="1">
        <f t="array" ref="T80">[1]!unf_pvt_dZdt($D56,T$36,gg,zcor)*100</f>
        <v>6.0749053955033716E-2</v>
      </c>
      <c r="U80" s="1" cm="1">
        <f t="array" ref="U80">[1]!unf_pvt_dZdt($D56,U$36,gg,zcor)*100</f>
        <v>6.3085556030406664E-2</v>
      </c>
      <c r="V80" s="1" cm="1">
        <f t="array" ref="V80">[1]!unf_pvt_dZdt($D56,V$36,gg,zcor)*100</f>
        <v>6.5422058105557568E-2</v>
      </c>
      <c r="W80" s="1" cm="1">
        <f t="array" ref="W80">[1]!unf_pvt_dZdt($D56,W$36,gg,zcor)*100</f>
        <v>6.6590309143021997E-2</v>
      </c>
      <c r="X80" s="1" cm="1">
        <f t="array" ref="X80">[1]!unf_pvt_dZdt($D56,X$36,gg,zcor)*100</f>
        <v>6.8926811218394946E-2</v>
      </c>
      <c r="Y80" s="1" cm="1">
        <f t="array" ref="Y80">[1]!unf_pvt_dZdt($D56,Y$36,gg,zcor)*100</f>
        <v>6.8926811218394946E-2</v>
      </c>
      <c r="Z80" s="1" cm="1">
        <f t="array" ref="Z80">[1]!unf_pvt_dZdt($D56,Z$36,gg,zcor)*100</f>
        <v>7.0095062255859375E-2</v>
      </c>
      <c r="AA80" s="1" cm="1">
        <f t="array" ref="AA80">[1]!unf_pvt_dZdt($D56,AA$36,gg,zcor)*100</f>
        <v>7.0095062255859375E-2</v>
      </c>
      <c r="AB80" s="1" cm="1">
        <f t="array" ref="AB80">[1]!unf_pvt_dZdt($D56,AB$36,gg,zcor)*100</f>
        <v>7.1263313293545849E-2</v>
      </c>
      <c r="AC80" s="1" cm="1">
        <f t="array" ref="AC80">[1]!unf_pvt_dZdt($D56,AC$36,gg,zcor)*100</f>
        <v>7.1263313293545849E-2</v>
      </c>
      <c r="AD80" s="1" cm="1">
        <f t="array" ref="AD80">[1]!unf_pvt_dZdt($D56,AD$36,gg,zcor)*100</f>
        <v>7.1263313293323804E-2</v>
      </c>
      <c r="AE80" s="1" cm="1">
        <f t="array" ref="AE80">[1]!unf_pvt_dZdt($D56,AE$36,gg,zcor)*100</f>
        <v>7.1263313293545849E-2</v>
      </c>
      <c r="AF80" s="1" cm="1">
        <f t="array" ref="AF80">[1]!unf_pvt_dZdt($D56,AF$36,gg,zcor)*100</f>
        <v>7.0095062255859375E-2</v>
      </c>
      <c r="AG80" s="1" cm="1">
        <f t="array" ref="AG80">[1]!unf_pvt_dZdt($D56,AG$36,gg,zcor)*100</f>
        <v>7.009506225563733E-2</v>
      </c>
      <c r="AH80" s="1" cm="1">
        <f t="array" ref="AH80">[1]!unf_pvt_dZdt($D56,AH$36,gg,zcor)*100</f>
        <v>6.8926811218172901E-2</v>
      </c>
      <c r="AI80" s="1" cm="1">
        <f t="array" ref="AI80">[1]!unf_pvt_dZdt($D56,AI$36,gg,zcor)*100</f>
        <v>6.7758560180486427E-2</v>
      </c>
      <c r="AJ80" s="1" cm="1">
        <f t="array" ref="AJ80">[1]!unf_pvt_dZdt($D56,AJ$36,gg,zcor)*100</f>
        <v>6.6590309142799953E-2</v>
      </c>
      <c r="AK80" s="1" cm="1">
        <f t="array" ref="AK80">[1]!unf_pvt_dZdt($D56,AK$36,gg,zcor)*100</f>
        <v>6.5422058105557568E-2</v>
      </c>
    </row>
    <row r="81" spans="5:37" x14ac:dyDescent="0.3">
      <c r="E81" t="str">
        <f t="shared" si="3"/>
        <v>t=190 C</v>
      </c>
      <c r="F81" s="1" cm="1">
        <f t="array" ref="F81">[1]!unf_pvt_dZdt($D57,F$36,gg,zcor)*100</f>
        <v>0</v>
      </c>
      <c r="G81" s="1" cm="1">
        <f t="array" ref="G81">[1]!unf_pvt_dZdt($D57,G$36,gg,zcor)*100</f>
        <v>4.6730041503018072E-3</v>
      </c>
      <c r="H81" s="1" cm="1">
        <f t="array" ref="H81">[1]!unf_pvt_dZdt($D57,H$36,gg,zcor)*100</f>
        <v>9.3460083008256589E-3</v>
      </c>
      <c r="I81" s="1" cm="1">
        <f t="array" ref="I81">[1]!unf_pvt_dZdt($D57,I$36,gg,zcor)*100</f>
        <v>1.4019012451127466E-2</v>
      </c>
      <c r="J81" s="1" cm="1">
        <f t="array" ref="J81">[1]!unf_pvt_dZdt($D57,J$36,gg,zcor)*100</f>
        <v>1.8692016601429273E-2</v>
      </c>
      <c r="K81" s="1" cm="1">
        <f t="array" ref="K81">[1]!unf_pvt_dZdt($D57,K$36,gg,zcor)*100</f>
        <v>2.4533271789417554E-2</v>
      </c>
      <c r="L81" s="1" cm="1">
        <f t="array" ref="L81">[1]!unf_pvt_dZdt($D57,L$36,gg,zcor)*100</f>
        <v>2.6869773864790503E-2</v>
      </c>
      <c r="M81" s="1" cm="1">
        <f t="array" ref="M81">[1]!unf_pvt_dZdt($D57,M$36,gg,zcor)*100</f>
        <v>3.154277801509231E-2</v>
      </c>
      <c r="N81" s="1" cm="1">
        <f t="array" ref="N81">[1]!unf_pvt_dZdt($D57,N$36,gg,zcor)*100</f>
        <v>3.6215782165394117E-2</v>
      </c>
      <c r="O81" s="1" cm="1">
        <f t="array" ref="O81">[1]!unf_pvt_dZdt($D57,O$36,gg,zcor)*100</f>
        <v>3.9720535278453539E-2</v>
      </c>
      <c r="P81" s="1" cm="1">
        <f t="array" ref="P81">[1]!unf_pvt_dZdt($D57,P$36,gg,zcor)*100</f>
        <v>4.3225288391068872E-2</v>
      </c>
      <c r="Q81" s="1" cm="1">
        <f t="array" ref="Q81">[1]!unf_pvt_dZdt($D57,Q$36,gg,zcor)*100</f>
        <v>4.673004150390625E-2</v>
      </c>
      <c r="R81" s="1" cm="1">
        <f t="array" ref="R81">[1]!unf_pvt_dZdt($D57,R$36,gg,zcor)*100</f>
        <v>5.0234794616743628E-2</v>
      </c>
      <c r="S81" s="1" cm="1">
        <f t="array" ref="S81">[1]!unf_pvt_dZdt($D57,S$36,gg,zcor)*100</f>
        <v>5.2571296691894531E-2</v>
      </c>
      <c r="T81" s="1" cm="1">
        <f t="array" ref="T81">[1]!unf_pvt_dZdt($D57,T$36,gg,zcor)*100</f>
        <v>5.4907798767267479E-2</v>
      </c>
      <c r="U81" s="1" cm="1">
        <f t="array" ref="U81">[1]!unf_pvt_dZdt($D57,U$36,gg,zcor)*100</f>
        <v>5.7244300842418383E-2</v>
      </c>
      <c r="V81" s="1" cm="1">
        <f t="array" ref="V81">[1]!unf_pvt_dZdt($D57,V$36,gg,zcor)*100</f>
        <v>5.8412551879882813E-2</v>
      </c>
      <c r="W81" s="1" cm="1">
        <f t="array" ref="W81">[1]!unf_pvt_dZdt($D57,W$36,gg,zcor)*100</f>
        <v>6.0749053955033716E-2</v>
      </c>
      <c r="X81" s="1" cm="1">
        <f t="array" ref="X81">[1]!unf_pvt_dZdt($D57,X$36,gg,zcor)*100</f>
        <v>6.191730499272019E-2</v>
      </c>
      <c r="Y81" s="1" cm="1">
        <f t="array" ref="Y81">[1]!unf_pvt_dZdt($D57,Y$36,gg,zcor)*100</f>
        <v>6.3085556030406664E-2</v>
      </c>
      <c r="Z81" s="1" cm="1">
        <f t="array" ref="Z81">[1]!unf_pvt_dZdt($D57,Z$36,gg,zcor)*100</f>
        <v>6.4253807068093138E-2</v>
      </c>
      <c r="AA81" s="1" cm="1">
        <f t="array" ref="AA81">[1]!unf_pvt_dZdt($D57,AA$36,gg,zcor)*100</f>
        <v>6.5422058105335523E-2</v>
      </c>
      <c r="AB81" s="1" cm="1">
        <f t="array" ref="AB81">[1]!unf_pvt_dZdt($D57,AB$36,gg,zcor)*100</f>
        <v>6.4253807067871094E-2</v>
      </c>
      <c r="AC81" s="1" cm="1">
        <f t="array" ref="AC81">[1]!unf_pvt_dZdt($D57,AC$36,gg,zcor)*100</f>
        <v>6.5422058105557568E-2</v>
      </c>
      <c r="AD81" s="1" cm="1">
        <f t="array" ref="AD81">[1]!unf_pvt_dZdt($D57,AD$36,gg,zcor)*100</f>
        <v>6.5422058105335523E-2</v>
      </c>
      <c r="AE81" s="1" cm="1">
        <f t="array" ref="AE81">[1]!unf_pvt_dZdt($D57,AE$36,gg,zcor)*100</f>
        <v>6.5422058105335523E-2</v>
      </c>
      <c r="AF81" s="1" cm="1">
        <f t="array" ref="AF81">[1]!unf_pvt_dZdt($D57,AF$36,gg,zcor)*100</f>
        <v>6.4253807068093138E-2</v>
      </c>
      <c r="AG81" s="1" cm="1">
        <f t="array" ref="AG81">[1]!unf_pvt_dZdt($D57,AG$36,gg,zcor)*100</f>
        <v>6.4253807067649049E-2</v>
      </c>
      <c r="AH81" s="1" cm="1">
        <f t="array" ref="AH81">[1]!unf_pvt_dZdt($D57,AH$36,gg,zcor)*100</f>
        <v>6.3085556030406664E-2</v>
      </c>
      <c r="AI81" s="1" cm="1">
        <f t="array" ref="AI81">[1]!unf_pvt_dZdt($D57,AI$36,gg,zcor)*100</f>
        <v>6.3085556030628709E-2</v>
      </c>
      <c r="AJ81" s="1" cm="1">
        <f t="array" ref="AJ81">[1]!unf_pvt_dZdt($D57,AJ$36,gg,zcor)*100</f>
        <v>6.1917304992276101E-2</v>
      </c>
      <c r="AK81" s="1" cm="1">
        <f t="array" ref="AK81">[1]!unf_pvt_dZdt($D57,AK$36,gg,zcor)*100</f>
        <v>6.0749053955255761E-2</v>
      </c>
    </row>
    <row r="82" spans="5:37" x14ac:dyDescent="0.3">
      <c r="E82" t="str">
        <f t="shared" si="3"/>
        <v>t=200 C</v>
      </c>
      <c r="F82" s="1" cm="1">
        <f t="array" ref="F82">[1]!unf_pvt_dZdt($D58,F$36,gg,zcor)*100</f>
        <v>0</v>
      </c>
      <c r="G82" s="1" cm="1">
        <f t="array" ref="G82">[1]!unf_pvt_dZdt($D58,G$36,gg,zcor)*100</f>
        <v>4.6730041505238518E-3</v>
      </c>
      <c r="H82" s="1" cm="1">
        <f t="array" ref="H82">[1]!unf_pvt_dZdt($D58,H$36,gg,zcor)*100</f>
        <v>9.3460083008256589E-3</v>
      </c>
      <c r="I82" s="1" cm="1">
        <f t="array" ref="I82">[1]!unf_pvt_dZdt($D58,I$36,gg,zcor)*100</f>
        <v>1.2850761413663037E-2</v>
      </c>
      <c r="J82" s="1" cm="1">
        <f t="array" ref="J82">[1]!unf_pvt_dZdt($D58,J$36,gg,zcor)*100</f>
        <v>1.7523765564186888E-2</v>
      </c>
      <c r="K82" s="1" cm="1">
        <f t="array" ref="K82">[1]!unf_pvt_dZdt($D58,K$36,gg,zcor)*100</f>
        <v>2.1028518676802221E-2</v>
      </c>
      <c r="L82" s="1" cm="1">
        <f t="array" ref="L82">[1]!unf_pvt_dZdt($D58,L$36,gg,zcor)*100</f>
        <v>2.5701522827104029E-2</v>
      </c>
      <c r="M82" s="1" cm="1">
        <f t="array" ref="M82">[1]!unf_pvt_dZdt($D58,M$36,gg,zcor)*100</f>
        <v>2.9206275940163451E-2</v>
      </c>
      <c r="N82" s="1" cm="1">
        <f t="array" ref="N82">[1]!unf_pvt_dZdt($D58,N$36,gg,zcor)*100</f>
        <v>3.2711029052556739E-2</v>
      </c>
      <c r="O82" s="1" cm="1">
        <f t="array" ref="O82">[1]!unf_pvt_dZdt($D58,O$36,gg,zcor)*100</f>
        <v>3.6215782165616162E-2</v>
      </c>
      <c r="P82" s="1" cm="1">
        <f t="array" ref="P82">[1]!unf_pvt_dZdt($D58,P$36,gg,zcor)*100</f>
        <v>3.8552284240767065E-2</v>
      </c>
      <c r="Q82" s="1" cm="1">
        <f t="array" ref="Q82">[1]!unf_pvt_dZdt($D58,Q$36,gg,zcor)*100</f>
        <v>4.2057037353382398E-2</v>
      </c>
      <c r="R82" s="1" cm="1">
        <f t="array" ref="R82">[1]!unf_pvt_dZdt($D58,R$36,gg,zcor)*100</f>
        <v>4.5561790466441821E-2</v>
      </c>
      <c r="S82" s="1" cm="1">
        <f t="array" ref="S82">[1]!unf_pvt_dZdt($D58,S$36,gg,zcor)*100</f>
        <v>4.673004150390625E-2</v>
      </c>
      <c r="T82" s="1" cm="1">
        <f t="array" ref="T82">[1]!unf_pvt_dZdt($D58,T$36,gg,zcor)*100</f>
        <v>5.0234794616743628E-2</v>
      </c>
      <c r="U82" s="1" cm="1">
        <f t="array" ref="U82">[1]!unf_pvt_dZdt($D58,U$36,gg,zcor)*100</f>
        <v>5.1403045654208057E-2</v>
      </c>
      <c r="V82" s="1" cm="1">
        <f t="array" ref="V82">[1]!unf_pvt_dZdt($D58,V$36,gg,zcor)*100</f>
        <v>5.3739547729581005E-2</v>
      </c>
      <c r="W82" s="1" cm="1">
        <f t="array" ref="W82">[1]!unf_pvt_dZdt($D58,W$36,gg,zcor)*100</f>
        <v>5.490779876682339E-2</v>
      </c>
      <c r="X82" s="1" cm="1">
        <f t="array" ref="X82">[1]!unf_pvt_dZdt($D58,X$36,gg,zcor)*100</f>
        <v>5.7244300842196338E-2</v>
      </c>
      <c r="Y82" s="1" cm="1">
        <f t="array" ref="Y82">[1]!unf_pvt_dZdt($D58,Y$36,gg,zcor)*100</f>
        <v>5.7244300842418383E-2</v>
      </c>
      <c r="Z82" s="1" cm="1">
        <f t="array" ref="Z82">[1]!unf_pvt_dZdt($D58,Z$36,gg,zcor)*100</f>
        <v>5.8412551879882813E-2</v>
      </c>
      <c r="AA82" s="1" cm="1">
        <f t="array" ref="AA82">[1]!unf_pvt_dZdt($D58,AA$36,gg,zcor)*100</f>
        <v>5.9580802917569287E-2</v>
      </c>
      <c r="AB82" s="1" cm="1">
        <f t="array" ref="AB82">[1]!unf_pvt_dZdt($D58,AB$36,gg,zcor)*100</f>
        <v>5.9580802917569287E-2</v>
      </c>
      <c r="AC82" s="1" cm="1">
        <f t="array" ref="AC82">[1]!unf_pvt_dZdt($D58,AC$36,gg,zcor)*100</f>
        <v>5.9580802917347242E-2</v>
      </c>
      <c r="AD82" s="1" cm="1">
        <f t="array" ref="AD82">[1]!unf_pvt_dZdt($D58,AD$36,gg,zcor)*100</f>
        <v>5.9580802917347242E-2</v>
      </c>
      <c r="AE82" s="1" cm="1">
        <f t="array" ref="AE82">[1]!unf_pvt_dZdt($D58,AE$36,gg,zcor)*100</f>
        <v>5.9580802917347242E-2</v>
      </c>
      <c r="AF82" s="1" cm="1">
        <f t="array" ref="AF82">[1]!unf_pvt_dZdt($D58,AF$36,gg,zcor)*100</f>
        <v>5.9580802917347242E-2</v>
      </c>
      <c r="AG82" s="1" cm="1">
        <f t="array" ref="AG82">[1]!unf_pvt_dZdt($D58,AG$36,gg,zcor)*100</f>
        <v>5.8412551879882813E-2</v>
      </c>
      <c r="AH82" s="1" cm="1">
        <f t="array" ref="AH82">[1]!unf_pvt_dZdt($D58,AH$36,gg,zcor)*100</f>
        <v>5.8412551879660768E-2</v>
      </c>
      <c r="AI82" s="1" cm="1">
        <f t="array" ref="AI82">[1]!unf_pvt_dZdt($D58,AI$36,gg,zcor)*100</f>
        <v>5.7244300842418383E-2</v>
      </c>
      <c r="AJ82" s="1" cm="1">
        <f t="array" ref="AJ82">[1]!unf_pvt_dZdt($D58,AJ$36,gg,zcor)*100</f>
        <v>5.6076049804953954E-2</v>
      </c>
      <c r="AK82" s="1" cm="1">
        <f t="array" ref="AK82">[1]!unf_pvt_dZdt($D58,AK$36,gg,zcor)*100</f>
        <v>5.490779876682339E-2</v>
      </c>
    </row>
    <row r="83" spans="5:37" x14ac:dyDescent="0.3"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</row>
    <row r="84" spans="5:37" x14ac:dyDescent="0.3"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</row>
    <row r="85" spans="5:37" x14ac:dyDescent="0.3">
      <c r="E85" t="str">
        <f t="shared" ref="E85:E105" si="4">E62</f>
        <v>t=0 C</v>
      </c>
      <c r="F85" s="1" cm="1">
        <f t="array" ref="F85">[1]!unf_pvt_dZdp($D38,F$36,gg,zcor)*100</f>
        <v>-3.7267208099378557</v>
      </c>
      <c r="G85" s="1" cm="1">
        <f t="array" ref="G85">[1]!unf_pvt_dZdp($D38,G$36,gg,zcor)*100</f>
        <v>-3.8435459136954009</v>
      </c>
      <c r="H85" s="1" cm="1">
        <f t="array" ref="H85">[1]!unf_pvt_dZdp($D38,H$36,gg,zcor)*100</f>
        <v>-3.9370059967036575</v>
      </c>
      <c r="I85" s="1" cm="1">
        <f t="array" ref="I85">[1]!unf_pvt_dZdp($D38,I$36,gg,zcor)*100</f>
        <v>-4.0304660797119141</v>
      </c>
      <c r="J85" s="1" cm="1">
        <f t="array" ref="J85">[1]!unf_pvt_dZdp($D38,J$36,gg,zcor)*100</f>
        <v>-4.1239261627201707</v>
      </c>
      <c r="K85" s="1" cm="1">
        <f t="array" ref="K85">[1]!unf_pvt_dZdp($D38,K$36,gg,zcor)*100</f>
        <v>-4.1823387146022739</v>
      </c>
      <c r="L85" s="1" cm="1">
        <f t="array" ref="L85">[1]!unf_pvt_dZdp($D38,L$36,gg,zcor)*100</f>
        <v>-4.1940212249746978</v>
      </c>
      <c r="M85" s="1" cm="1">
        <f t="array" ref="M85">[1]!unf_pvt_dZdp($D38,M$36,gg,zcor)*100</f>
        <v>-4.1122436523455264</v>
      </c>
      <c r="N85" s="1" cm="1">
        <f t="array" ref="N85">[1]!unf_pvt_dZdp($D38,N$36,gg,zcor)*100</f>
        <v>-3.8902759552006394</v>
      </c>
      <c r="O85" s="1" cm="1">
        <f t="array" ref="O85">[1]!unf_pvt_dZdp($D38,O$36,gg,zcor)*100</f>
        <v>-3.4813880920414597</v>
      </c>
      <c r="P85" s="1" cm="1">
        <f t="array" ref="P85">[1]!unf_pvt_dZdp($D38,P$36,gg,zcor)*100</f>
        <v>-2.8855800628657668</v>
      </c>
      <c r="Q85" s="1" cm="1">
        <f t="array" ref="Q85">[1]!unf_pvt_dZdp($D38,Q$36,gg,zcor)*100</f>
        <v>-2.1729469299325288</v>
      </c>
      <c r="R85" s="1" cm="1">
        <f t="array" ref="R85">[1]!unf_pvt_dZdp($D38,R$36,gg,zcor)*100</f>
        <v>-1.4252662658686965</v>
      </c>
      <c r="S85" s="1" cm="1">
        <f t="array" ref="S85">[1]!unf_pvt_dZdp($D38,S$36,gg,zcor)*100</f>
        <v>-0.75936317443625612</v>
      </c>
      <c r="T85" s="1" cm="1">
        <f t="array" ref="T85">[1]!unf_pvt_dZdp($D38,T$36,gg,zcor)*100</f>
        <v>-0.18692016601429273</v>
      </c>
      <c r="U85" s="1" cm="1">
        <f t="array" ref="U85">[1]!unf_pvt_dZdp($D38,U$36,gg,zcor)*100</f>
        <v>0.28038024902476977</v>
      </c>
      <c r="V85" s="1" cm="1">
        <f t="array" ref="V85">[1]!unf_pvt_dZdp($D38,V$36,gg,zcor)*100</f>
        <v>0.65422058105335523</v>
      </c>
      <c r="W85" s="1" cm="1">
        <f t="array" ref="W85">[1]!unf_pvt_dZdp($D38,W$36,gg,zcor)*100</f>
        <v>0.94628334045498974</v>
      </c>
      <c r="X85" s="1" cm="1">
        <f t="array" ref="X85">[1]!unf_pvt_dZdp($D38,X$36,gg,zcor)*100</f>
        <v>1.179933547974521</v>
      </c>
      <c r="Y85" s="1" cm="1">
        <f t="array" ref="Y85">[1]!unf_pvt_dZdp($D38,Y$36,gg,zcor)*100</f>
        <v>1.3551712036141694</v>
      </c>
      <c r="Z85" s="1" cm="1">
        <f t="array" ref="Z85">[1]!unf_pvt_dZdp($D38,Z$36,gg,zcor)*100</f>
        <v>1.4836788177507998</v>
      </c>
      <c r="AA85" s="1" cm="1">
        <f t="array" ref="AA85">[1]!unf_pvt_dZdp($D38,AA$36,gg,zcor)*100</f>
        <v>1.5888214111314802</v>
      </c>
      <c r="AB85" s="1" cm="1">
        <f t="array" ref="AB85">[1]!unf_pvt_dZdp($D38,AB$36,gg,zcor)*100</f>
        <v>1.6822814941419573</v>
      </c>
      <c r="AC85" s="1" cm="1">
        <f t="array" ref="AC85">[1]!unf_pvt_dZdp($D38,AC$36,gg,zcor)*100</f>
        <v>1.7406940460196196</v>
      </c>
      <c r="AD85" s="1" cm="1">
        <f t="array" ref="AD85">[1]!unf_pvt_dZdp($D38,AD$36,gg,zcor)*100</f>
        <v>1.7991065978995024</v>
      </c>
      <c r="AE85" s="1" cm="1">
        <f t="array" ref="AE85">[1]!unf_pvt_dZdp($D38,AE$36,gg,zcor)*100</f>
        <v>1.8341541290300967</v>
      </c>
      <c r="AF85" s="1" cm="1">
        <f t="array" ref="AF85">[1]!unf_pvt_dZdp($D38,AF$36,gg,zcor)*100</f>
        <v>1.86920166015625</v>
      </c>
      <c r="AG85" s="1" cm="1">
        <f t="array" ref="AG85">[1]!unf_pvt_dZdp($D38,AG$36,gg,zcor)*100</f>
        <v>1.892566680907759</v>
      </c>
      <c r="AH85" s="1" cm="1">
        <f t="array" ref="AH85">[1]!unf_pvt_dZdp($D38,AH$36,gg,zcor)*100</f>
        <v>1.9159317016592681</v>
      </c>
      <c r="AI85" s="1" cm="1">
        <f t="array" ref="AI85">[1]!unf_pvt_dZdp($D38,AI$36,gg,zcor)*100</f>
        <v>1.9276142120361328</v>
      </c>
      <c r="AJ85" s="1" cm="1">
        <f t="array" ref="AJ85">[1]!unf_pvt_dZdp($D38,AJ$36,gg,zcor)*100</f>
        <v>1.9392967224129976</v>
      </c>
      <c r="AK85" s="1" cm="1">
        <f t="array" ref="AK85">[1]!unf_pvt_dZdp($D38,AK$36,gg,zcor)*100</f>
        <v>1.9509792327876418</v>
      </c>
    </row>
    <row r="86" spans="5:37" x14ac:dyDescent="0.3">
      <c r="E86" t="str">
        <f t="shared" si="4"/>
        <v>t=10 C</v>
      </c>
      <c r="F86" s="1" cm="1">
        <f t="array" ref="F86">[1]!unf_pvt_dZdp($D39,F$36,gg,zcor)*100</f>
        <v>-3.3411979675301851</v>
      </c>
      <c r="G86" s="1" cm="1">
        <f t="array" ref="G86">[1]!unf_pvt_dZdp($D39,G$36,gg,zcor)*100</f>
        <v>-3.3996105194078474</v>
      </c>
      <c r="H86" s="1" cm="1">
        <f t="array" ref="H86">[1]!unf_pvt_dZdp($D39,H$36,gg,zcor)*100</f>
        <v>-3.4580230712877302</v>
      </c>
      <c r="I86" s="1" cm="1">
        <f t="array" ref="I86">[1]!unf_pvt_dZdp($D39,I$36,gg,zcor)*100</f>
        <v>-3.5164356231698335</v>
      </c>
      <c r="J86" s="1" cm="1">
        <f t="array" ref="J86">[1]!unf_pvt_dZdp($D39,J$36,gg,zcor)*100</f>
        <v>-3.5398006439213425</v>
      </c>
      <c r="K86" s="1" cm="1">
        <f t="array" ref="K86">[1]!unf_pvt_dZdp($D39,K$36,gg,zcor)*100</f>
        <v>-3.5514831542959868</v>
      </c>
      <c r="L86" s="1" cm="1">
        <f t="array" ref="L86">[1]!unf_pvt_dZdp($D39,L$36,gg,zcor)*100</f>
        <v>-3.5281181335422573</v>
      </c>
      <c r="M86" s="1" cm="1">
        <f t="array" ref="M86">[1]!unf_pvt_dZdp($D39,M$36,gg,zcor)*100</f>
        <v>-3.4346580505362212</v>
      </c>
      <c r="N86" s="1" cm="1">
        <f t="array" ref="N86">[1]!unf_pvt_dZdp($D39,N$36,gg,zcor)*100</f>
        <v>-3.2594203948965728</v>
      </c>
      <c r="O86" s="1" cm="1">
        <f t="array" ref="O86">[1]!unf_pvt_dZdp($D39,O$36,gg,zcor)*100</f>
        <v>-2.979040145871803</v>
      </c>
      <c r="P86" s="1" cm="1">
        <f t="array" ref="P86">[1]!unf_pvt_dZdp($D39,P$36,gg,zcor)*100</f>
        <v>-2.5701522827148438</v>
      </c>
      <c r="Q86" s="1" cm="1">
        <f t="array" ref="Q86">[1]!unf_pvt_dZdp($D39,Q$36,gg,zcor)*100</f>
        <v>-2.091169357301137</v>
      </c>
      <c r="R86" s="1" cm="1">
        <f t="array" ref="R86">[1]!unf_pvt_dZdp($D39,R$36,gg,zcor)*100</f>
        <v>-1.5537738800053269</v>
      </c>
      <c r="S86" s="1" cm="1">
        <f t="array" ref="S86">[1]!unf_pvt_dZdp($D39,S$36,gg,zcor)*100</f>
        <v>-1.0163784027117373</v>
      </c>
      <c r="T86" s="1" cm="1">
        <f t="array" ref="T86">[1]!unf_pvt_dZdp($D39,T$36,gg,zcor)*100</f>
        <v>-0.52571296691894531</v>
      </c>
      <c r="U86" s="1" cm="1">
        <f t="array" ref="U86">[1]!unf_pvt_dZdp($D39,U$36,gg,zcor)*100</f>
        <v>-0.10514259338512133</v>
      </c>
      <c r="V86" s="1" cm="1">
        <f t="array" ref="V86">[1]!unf_pvt_dZdp($D39,V$36,gg,zcor)*100</f>
        <v>0.26869773864568458</v>
      </c>
      <c r="W86" s="1" cm="1">
        <f t="array" ref="W86">[1]!unf_pvt_dZdp($D39,W$36,gg,zcor)*100</f>
        <v>0.57244300842196338</v>
      </c>
      <c r="X86" s="1" cm="1">
        <f t="array" ref="X86">[1]!unf_pvt_dZdp($D39,X$36,gg,zcor)*100</f>
        <v>0.80609321593927419</v>
      </c>
      <c r="Y86" s="1" cm="1">
        <f t="array" ref="Y86">[1]!unf_pvt_dZdp($D39,Y$36,gg,zcor)*100</f>
        <v>1.0046958923348726</v>
      </c>
      <c r="Z86" s="1" cm="1">
        <f t="array" ref="Z86">[1]!unf_pvt_dZdp($D39,Z$36,gg,zcor)*100</f>
        <v>1.179933547974521</v>
      </c>
      <c r="AA86" s="1" cm="1">
        <f t="array" ref="AA86">[1]!unf_pvt_dZdp($D39,AA$36,gg,zcor)*100</f>
        <v>1.3084411621089309</v>
      </c>
      <c r="AB86" s="1" cm="1">
        <f t="array" ref="AB86">[1]!unf_pvt_dZdp($D39,AB$36,gg,zcor)*100</f>
        <v>1.4252662658686965</v>
      </c>
      <c r="AC86" s="1" cm="1">
        <f t="array" ref="AC86">[1]!unf_pvt_dZdp($D39,AC$36,gg,zcor)*100</f>
        <v>1.5070438385000884</v>
      </c>
      <c r="AD86" s="1" cm="1">
        <f t="array" ref="AD86">[1]!unf_pvt_dZdp($D39,AD$36,gg,zcor)*100</f>
        <v>1.5771389007568359</v>
      </c>
      <c r="AE86" s="1" cm="1">
        <f t="array" ref="AE86">[1]!unf_pvt_dZdp($D39,AE$36,gg,zcor)*100</f>
        <v>1.6355514526367188</v>
      </c>
      <c r="AF86" s="1" cm="1">
        <f t="array" ref="AF86">[1]!unf_pvt_dZdp($D39,AF$36,gg,zcor)*100</f>
        <v>1.6939640045166016</v>
      </c>
      <c r="AG86" s="1" cm="1">
        <f t="array" ref="AG86">[1]!unf_pvt_dZdp($D39,AG$36,gg,zcor)*100</f>
        <v>1.7290115356449753</v>
      </c>
      <c r="AH86" s="1" cm="1">
        <f t="array" ref="AH86">[1]!unf_pvt_dZdp($D39,AH$36,gg,zcor)*100</f>
        <v>1.7523765563964844</v>
      </c>
      <c r="AI86" s="1" cm="1">
        <f t="array" ref="AI86">[1]!unf_pvt_dZdp($D39,AI$36,gg,zcor)*100</f>
        <v>1.7874240875226377</v>
      </c>
      <c r="AJ86" s="1" cm="1">
        <f t="array" ref="AJ86">[1]!unf_pvt_dZdp($D39,AJ$36,gg,zcor)*100</f>
        <v>1.7991065979017229</v>
      </c>
      <c r="AK86" s="1" cm="1">
        <f t="array" ref="AK86">[1]!unf_pvt_dZdp($D39,AK$36,gg,zcor)*100</f>
        <v>1.8224716186532319</v>
      </c>
    </row>
    <row r="87" spans="5:37" x14ac:dyDescent="0.3">
      <c r="E87" t="str">
        <f t="shared" si="4"/>
        <v>t=20 C</v>
      </c>
      <c r="F87" s="1" cm="1">
        <f t="array" ref="F87">[1]!unf_pvt_dZdp($D40,F$36,gg,zcor)*100</f>
        <v>-2.9790401458740234</v>
      </c>
      <c r="G87" s="1" cm="1">
        <f t="array" ref="G87">[1]!unf_pvt_dZdp($D40,G$36,gg,zcor)*100</f>
        <v>-3.025770187379262</v>
      </c>
      <c r="H87" s="1" cm="1">
        <f t="array" ref="H87">[1]!unf_pvt_dZdp($D40,H$36,gg,zcor)*100</f>
        <v>-3.049135208130771</v>
      </c>
      <c r="I87" s="1" cm="1">
        <f t="array" ref="I87">[1]!unf_pvt_dZdp($D40,I$36,gg,zcor)*100</f>
        <v>-3.07250022888228</v>
      </c>
      <c r="J87" s="1" cm="1">
        <f t="array" ref="J87">[1]!unf_pvt_dZdp($D40,J$36,gg,zcor)*100</f>
        <v>-3.0841827392591448</v>
      </c>
      <c r="K87" s="1" cm="1">
        <f t="array" ref="K87">[1]!unf_pvt_dZdp($D40,K$36,gg,zcor)*100</f>
        <v>-3.0608177185054153</v>
      </c>
      <c r="L87" s="1" cm="1">
        <f t="array" ref="L87">[1]!unf_pvt_dZdp($D40,L$36,gg,zcor)*100</f>
        <v>-3.0140876770001768</v>
      </c>
      <c r="M87" s="1" cm="1">
        <f t="array" ref="M87">[1]!unf_pvt_dZdp($D40,M$36,gg,zcor)*100</f>
        <v>-2.9206275939941406</v>
      </c>
      <c r="N87" s="1" cm="1">
        <f t="array" ref="N87">[1]!unf_pvt_dZdp($D40,N$36,gg,zcor)*100</f>
        <v>-2.7687549591082217</v>
      </c>
      <c r="O87" s="1" cm="1">
        <f t="array" ref="O87">[1]!unf_pvt_dZdp($D40,O$36,gg,zcor)*100</f>
        <v>-2.5467872619633347</v>
      </c>
      <c r="P87" s="1" cm="1">
        <f t="array" ref="P87">[1]!unf_pvt_dZdp($D40,P$36,gg,zcor)*100</f>
        <v>-2.2547245025617002</v>
      </c>
      <c r="Q87" s="1" cm="1">
        <f t="array" ref="Q87">[1]!unf_pvt_dZdp($D40,Q$36,gg,zcor)*100</f>
        <v>-1.9042491912824033</v>
      </c>
      <c r="R87" s="1" cm="1">
        <f t="array" ref="R87">[1]!unf_pvt_dZdp($D40,R$36,gg,zcor)*100</f>
        <v>-1.5070438385000884</v>
      </c>
      <c r="S87" s="1" cm="1">
        <f t="array" ref="S87">[1]!unf_pvt_dZdp($D40,S$36,gg,zcor)*100</f>
        <v>-1.0981559753431291</v>
      </c>
      <c r="T87" s="1" cm="1">
        <f t="array" ref="T87">[1]!unf_pvt_dZdp($D40,T$36,gg,zcor)*100</f>
        <v>-0.70095062255859375</v>
      </c>
      <c r="U87" s="1" cm="1">
        <f t="array" ref="U87">[1]!unf_pvt_dZdp($D40,U$36,gg,zcor)*100</f>
        <v>-0.32711029052778784</v>
      </c>
      <c r="V87" s="1" cm="1">
        <f t="array" ref="V87">[1]!unf_pvt_dZdp($D40,V$36,gg,zcor)*100</f>
        <v>0</v>
      </c>
      <c r="W87" s="1" cm="1">
        <f t="array" ref="W87">[1]!unf_pvt_dZdp($D40,W$36,gg,zcor)*100</f>
        <v>0.29206275939941406</v>
      </c>
      <c r="X87" s="1" cm="1">
        <f t="array" ref="X87">[1]!unf_pvt_dZdp($D40,X$36,gg,zcor)*100</f>
        <v>0.53739547729581005</v>
      </c>
      <c r="Y87" s="1" cm="1">
        <f t="array" ref="Y87">[1]!unf_pvt_dZdp($D40,Y$36,gg,zcor)*100</f>
        <v>0.73599815368696753</v>
      </c>
      <c r="Z87" s="1" cm="1">
        <f t="array" ref="Z87">[1]!unf_pvt_dZdp($D40,Z$36,gg,zcor)*100</f>
        <v>0.91123580932661596</v>
      </c>
      <c r="AA87" s="1" cm="1">
        <f t="array" ref="AA87">[1]!unf_pvt_dZdp($D40,AA$36,gg,zcor)*100</f>
        <v>1.0631084442147554</v>
      </c>
      <c r="AB87" s="1" cm="1">
        <f t="array" ref="AB87">[1]!unf_pvt_dZdp($D40,AB$36,gg,zcor)*100</f>
        <v>1.1916160583491653</v>
      </c>
      <c r="AC87" s="1" cm="1">
        <f t="array" ref="AC87">[1]!unf_pvt_dZdp($D40,AC$36,gg,zcor)*100</f>
        <v>1.2850761413574219</v>
      </c>
      <c r="AD87" s="1" cm="1">
        <f t="array" ref="AD87">[1]!unf_pvt_dZdp($D40,AD$36,gg,zcor)*100</f>
        <v>1.3668537139888137</v>
      </c>
      <c r="AE87" s="1" cm="1">
        <f t="array" ref="AE87">[1]!unf_pvt_dZdp($D40,AE$36,gg,zcor)*100</f>
        <v>1.4369487762455613</v>
      </c>
      <c r="AF87" s="1" cm="1">
        <f t="array" ref="AF87">[1]!unf_pvt_dZdp($D40,AF$36,gg,zcor)*100</f>
        <v>1.4953613281232236</v>
      </c>
      <c r="AG87" s="1" cm="1">
        <f t="array" ref="AG87">[1]!unf_pvt_dZdp($D40,AG$36,gg,zcor)*100</f>
        <v>1.5537738800031065</v>
      </c>
      <c r="AH87" s="1" cm="1">
        <f t="array" ref="AH87">[1]!unf_pvt_dZdp($D40,AH$36,gg,zcor)*100</f>
        <v>1.600503921508345</v>
      </c>
      <c r="AI87" s="1" cm="1">
        <f t="array" ref="AI87">[1]!unf_pvt_dZdp($D40,AI$36,gg,zcor)*100</f>
        <v>1.6355514526367188</v>
      </c>
      <c r="AJ87" s="1" cm="1">
        <f t="array" ref="AJ87">[1]!unf_pvt_dZdp($D40,AJ$36,gg,zcor)*100</f>
        <v>1.6589164733882278</v>
      </c>
      <c r="AK87" s="1" cm="1">
        <f t="array" ref="AK87">[1]!unf_pvt_dZdp($D40,AK$36,gg,zcor)*100</f>
        <v>1.6822814941397368</v>
      </c>
    </row>
    <row r="88" spans="5:37" x14ac:dyDescent="0.3">
      <c r="E88" t="str">
        <f t="shared" si="4"/>
        <v>t=30 C</v>
      </c>
      <c r="F88" s="1" cm="1">
        <f t="array" ref="F88">[1]!unf_pvt_dZdp($D41,F$36,gg,zcor)*100</f>
        <v>-2.6869773864746094</v>
      </c>
      <c r="G88" s="1" cm="1">
        <f t="array" ref="G88">[1]!unf_pvt_dZdp($D41,G$36,gg,zcor)*100</f>
        <v>-2.6986598968492537</v>
      </c>
      <c r="H88" s="1" cm="1">
        <f t="array" ref="H88">[1]!unf_pvt_dZdp($D41,H$36,gg,zcor)*100</f>
        <v>-2.7103424072261184</v>
      </c>
      <c r="I88" s="1" cm="1">
        <f t="array" ref="I88">[1]!unf_pvt_dZdp($D41,I$36,gg,zcor)*100</f>
        <v>-2.7103424072261184</v>
      </c>
      <c r="J88" s="1" cm="1">
        <f t="array" ref="J88">[1]!unf_pvt_dZdp($D41,J$36,gg,zcor)*100</f>
        <v>-2.6986598968514741</v>
      </c>
      <c r="K88" s="1" cm="1">
        <f t="array" ref="K88">[1]!unf_pvt_dZdp($D41,K$36,gg,zcor)*100</f>
        <v>-2.6636123657231003</v>
      </c>
      <c r="L88" s="1" cm="1">
        <f t="array" ref="L88">[1]!unf_pvt_dZdp($D41,L$36,gg,zcor)*100</f>
        <v>-2.5935173034663528</v>
      </c>
      <c r="M88" s="1" cm="1">
        <f t="array" ref="M88">[1]!unf_pvt_dZdp($D41,M$36,gg,zcor)*100</f>
        <v>-2.5117397308371814</v>
      </c>
      <c r="N88" s="1" cm="1">
        <f t="array" ref="N88">[1]!unf_pvt_dZdp($D41,N$36,gg,zcor)*100</f>
        <v>-2.3715496063259067</v>
      </c>
      <c r="O88" s="1" cm="1">
        <f t="array" ref="O88">[1]!unf_pvt_dZdp($D41,O$36,gg,zcor)*100</f>
        <v>-2.1963119506840378</v>
      </c>
      <c r="P88" s="1" cm="1">
        <f t="array" ref="P88">[1]!unf_pvt_dZdp($D41,P$36,gg,zcor)*100</f>
        <v>-1.9626617431622861</v>
      </c>
      <c r="Q88" s="1" cm="1">
        <f t="array" ref="Q88">[1]!unf_pvt_dZdp($D41,Q$36,gg,zcor)*100</f>
        <v>-1.6939640045166016</v>
      </c>
      <c r="R88" s="1" cm="1">
        <f t="array" ref="R88">[1]!unf_pvt_dZdp($D41,R$36,gg,zcor)*100</f>
        <v>-1.4019012451171875</v>
      </c>
      <c r="S88" s="1" cm="1">
        <f t="array" ref="S88">[1]!unf_pvt_dZdp($D41,S$36,gg,zcor)*100</f>
        <v>-1.0747909545893997</v>
      </c>
      <c r="T88" s="1" cm="1">
        <f t="array" ref="T88">[1]!unf_pvt_dZdp($D41,T$36,gg,zcor)*100</f>
        <v>-0.74768066406161182</v>
      </c>
      <c r="U88" s="1" cm="1">
        <f t="array" ref="U88">[1]!unf_pvt_dZdp($D41,U$36,gg,zcor)*100</f>
        <v>-0.44393539428533302</v>
      </c>
      <c r="V88" s="1" cm="1">
        <f t="array" ref="V88">[1]!unf_pvt_dZdp($D41,V$36,gg,zcor)*100</f>
        <v>-0.1635551452627837</v>
      </c>
      <c r="W88" s="1" cm="1">
        <f t="array" ref="W88">[1]!unf_pvt_dZdp($D41,W$36,gg,zcor)*100</f>
        <v>9.3460083008256589E-2</v>
      </c>
      <c r="X88" s="1" cm="1">
        <f t="array" ref="X88">[1]!unf_pvt_dZdp($D41,X$36,gg,zcor)*100</f>
        <v>0.32711029052778784</v>
      </c>
      <c r="Y88" s="1" cm="1">
        <f t="array" ref="Y88">[1]!unf_pvt_dZdp($D41,Y$36,gg,zcor)*100</f>
        <v>0.52571296692116576</v>
      </c>
      <c r="Z88" s="1" cm="1">
        <f t="array" ref="Z88">[1]!unf_pvt_dZdp($D41,Z$36,gg,zcor)*100</f>
        <v>0.70095062255859375</v>
      </c>
      <c r="AA88" s="1" cm="1">
        <f t="array" ref="AA88">[1]!unf_pvt_dZdp($D41,AA$36,gg,zcor)*100</f>
        <v>0.85282325744451271</v>
      </c>
      <c r="AB88" s="1" cm="1">
        <f t="array" ref="AB88">[1]!unf_pvt_dZdp($D41,AB$36,gg,zcor)*100</f>
        <v>0.96964836120427833</v>
      </c>
      <c r="AC88" s="1" cm="1">
        <f t="array" ref="AC88">[1]!unf_pvt_dZdp($D41,AC$36,gg,zcor)*100</f>
        <v>1.086473464964044</v>
      </c>
      <c r="AD88" s="1" cm="1">
        <f t="array" ref="AD88">[1]!unf_pvt_dZdp($D41,AD$36,gg,zcor)*100</f>
        <v>1.179933547974521</v>
      </c>
      <c r="AE88" s="1" cm="1">
        <f t="array" ref="AE88">[1]!unf_pvt_dZdp($D41,AE$36,gg,zcor)*100</f>
        <v>1.2617111206059128</v>
      </c>
      <c r="AF88" s="1" cm="1">
        <f t="array" ref="AF88">[1]!unf_pvt_dZdp($D41,AF$36,gg,zcor)*100</f>
        <v>1.3318061828604399</v>
      </c>
      <c r="AG88" s="1" cm="1">
        <f t="array" ref="AG88">[1]!unf_pvt_dZdp($D41,AG$36,gg,zcor)*100</f>
        <v>1.3902187347403228</v>
      </c>
      <c r="AH88" s="1" cm="1">
        <f t="array" ref="AH88">[1]!unf_pvt_dZdp($D41,AH$36,gg,zcor)*100</f>
        <v>1.4369487762455613</v>
      </c>
      <c r="AI88" s="1" cm="1">
        <f t="array" ref="AI88">[1]!unf_pvt_dZdp($D41,AI$36,gg,zcor)*100</f>
        <v>1.4836788177485793</v>
      </c>
      <c r="AJ88" s="1" cm="1">
        <f t="array" ref="AJ88">[1]!unf_pvt_dZdp($D41,AJ$36,gg,zcor)*100</f>
        <v>1.5304088592515974</v>
      </c>
      <c r="AK88" s="1" cm="1">
        <f t="array" ref="AK88">[1]!unf_pvt_dZdp($D41,AK$36,gg,zcor)*100</f>
        <v>1.5537738800053269</v>
      </c>
    </row>
    <row r="89" spans="5:37" x14ac:dyDescent="0.3">
      <c r="E89" t="str">
        <f t="shared" si="4"/>
        <v>t=40 C</v>
      </c>
      <c r="F89" s="1" cm="1">
        <f t="array" ref="F89">[1]!unf_pvt_dZdp($D42,F$36,gg,zcor)*100</f>
        <v>-2.4182796478267043</v>
      </c>
      <c r="G89" s="1" cm="1">
        <f t="array" ref="G89">[1]!unf_pvt_dZdp($D42,G$36,gg,zcor)*100</f>
        <v>-2.4182796478267043</v>
      </c>
      <c r="H89" s="1" cm="1">
        <f t="array" ref="H89">[1]!unf_pvt_dZdp($D42,H$36,gg,zcor)*100</f>
        <v>-2.4182796478244839</v>
      </c>
      <c r="I89" s="1" cm="1">
        <f t="array" ref="I89">[1]!unf_pvt_dZdp($D42,I$36,gg,zcor)*100</f>
        <v>-2.4065971374520601</v>
      </c>
      <c r="J89" s="1" cm="1">
        <f t="array" ref="J89">[1]!unf_pvt_dZdp($D42,J$36,gg,zcor)*100</f>
        <v>-2.3715496063214658</v>
      </c>
      <c r="K89" s="1" cm="1">
        <f t="array" ref="K89">[1]!unf_pvt_dZdp($D42,K$36,gg,zcor)*100</f>
        <v>-2.3365020751953125</v>
      </c>
      <c r="L89" s="1" cm="1">
        <f t="array" ref="L89">[1]!unf_pvt_dZdp($D42,L$36,gg,zcor)*100</f>
        <v>-2.2664070129385649</v>
      </c>
      <c r="M89" s="1" cm="1">
        <f t="array" ref="M89">[1]!unf_pvt_dZdp($D42,M$36,gg,zcor)*100</f>
        <v>-2.1729469299325288</v>
      </c>
      <c r="N89" s="1" cm="1">
        <f t="array" ref="N89">[1]!unf_pvt_dZdp($D42,N$36,gg,zcor)*100</f>
        <v>-2.044439315793678</v>
      </c>
      <c r="O89" s="1" cm="1">
        <f t="array" ref="O89">[1]!unf_pvt_dZdp($D42,O$36,gg,zcor)*100</f>
        <v>-1.892566680907759</v>
      </c>
      <c r="P89" s="1" cm="1">
        <f t="array" ref="P89">[1]!unf_pvt_dZdp($D42,P$36,gg,zcor)*100</f>
        <v>-1.7056465148912459</v>
      </c>
      <c r="Q89" s="1" cm="1">
        <f t="array" ref="Q89">[1]!unf_pvt_dZdp($D42,Q$36,gg,zcor)*100</f>
        <v>-1.4953613281254441</v>
      </c>
      <c r="R89" s="1" cm="1">
        <f t="array" ref="R89">[1]!unf_pvt_dZdp($D42,R$36,gg,zcor)*100</f>
        <v>-1.2617111206059128</v>
      </c>
      <c r="S89" s="1" cm="1">
        <f t="array" ref="S89">[1]!unf_pvt_dZdp($D42,S$36,gg,zcor)*100</f>
        <v>-1.0046958923326521</v>
      </c>
      <c r="T89" s="1" cm="1">
        <f t="array" ref="T89">[1]!unf_pvt_dZdp($D42,T$36,gg,zcor)*100</f>
        <v>-0.73599815368474708</v>
      </c>
      <c r="U89" s="1" cm="1">
        <f t="array" ref="U89">[1]!unf_pvt_dZdp($D42,U$36,gg,zcor)*100</f>
        <v>-0.49066543579279198</v>
      </c>
      <c r="V89" s="1" cm="1">
        <f t="array" ref="V89">[1]!unf_pvt_dZdp($D42,V$36,gg,zcor)*100</f>
        <v>-0.24533271789417554</v>
      </c>
      <c r="W89" s="1" cm="1">
        <f t="array" ref="W89">[1]!unf_pvt_dZdp($D42,W$36,gg,zcor)*100</f>
        <v>-1.1682510376864741E-2</v>
      </c>
      <c r="X89" s="1" cm="1">
        <f t="array" ref="X89">[1]!unf_pvt_dZdp($D42,X$36,gg,zcor)*100</f>
        <v>0.18692016601651318</v>
      </c>
      <c r="Y89" s="1" cm="1">
        <f t="array" ref="Y89">[1]!unf_pvt_dZdp($D42,Y$36,gg,zcor)*100</f>
        <v>0.37384033203080591</v>
      </c>
      <c r="Z89" s="1" cm="1">
        <f t="array" ref="Z89">[1]!unf_pvt_dZdp($D42,Z$36,gg,zcor)*100</f>
        <v>0.53739547729581005</v>
      </c>
      <c r="AA89" s="1" cm="1">
        <f t="array" ref="AA89">[1]!unf_pvt_dZdp($D42,AA$36,gg,zcor)*100</f>
        <v>0.68926811218172901</v>
      </c>
      <c r="AB89" s="1" cm="1">
        <f t="array" ref="AB89">[1]!unf_pvt_dZdp($D42,AB$36,gg,zcor)*100</f>
        <v>0.81777572631835938</v>
      </c>
      <c r="AC89" s="1" cm="1">
        <f t="array" ref="AC89">[1]!unf_pvt_dZdp($D42,AC$36,gg,zcor)*100</f>
        <v>0.92291831969903981</v>
      </c>
      <c r="AD89" s="1" cm="1">
        <f t="array" ref="AD89">[1]!unf_pvt_dZdp($D42,AD$36,gg,zcor)*100</f>
        <v>1.0163784027095168</v>
      </c>
      <c r="AE89" s="1" cm="1">
        <f t="array" ref="AE89">[1]!unf_pvt_dZdp($D42,AE$36,gg,zcor)*100</f>
        <v>1.1098384857177734</v>
      </c>
      <c r="AF89" s="1" cm="1">
        <f t="array" ref="AF89">[1]!unf_pvt_dZdp($D42,AF$36,gg,zcor)*100</f>
        <v>1.1799335479767414</v>
      </c>
      <c r="AG89" s="1" cm="1">
        <f t="array" ref="AG89">[1]!unf_pvt_dZdp($D42,AG$36,gg,zcor)*100</f>
        <v>1.2383460998544038</v>
      </c>
      <c r="AH89" s="1" cm="1">
        <f t="array" ref="AH89">[1]!unf_pvt_dZdp($D42,AH$36,gg,zcor)*100</f>
        <v>1.2967586517342866</v>
      </c>
      <c r="AI89" s="1" cm="1">
        <f t="array" ref="AI89">[1]!unf_pvt_dZdp($D42,AI$36,gg,zcor)*100</f>
        <v>1.3434886932395251</v>
      </c>
      <c r="AJ89" s="1" cm="1">
        <f t="array" ref="AJ89">[1]!unf_pvt_dZdp($D42,AJ$36,gg,zcor)*100</f>
        <v>1.3902187347425432</v>
      </c>
      <c r="AK89" s="1" cm="1">
        <f t="array" ref="AK89">[1]!unf_pvt_dZdp($D42,AK$36,gg,zcor)*100</f>
        <v>1.4135837554940522</v>
      </c>
    </row>
    <row r="90" spans="5:37" x14ac:dyDescent="0.3">
      <c r="E90" t="str">
        <f t="shared" si="4"/>
        <v>t=50 C</v>
      </c>
      <c r="F90" s="1" cm="1">
        <f t="array" ref="F90">[1]!unf_pvt_dZdp($D43,F$36,gg,zcor)*100</f>
        <v>-2.1846294403071731</v>
      </c>
      <c r="G90" s="1" cm="1">
        <f t="array" ref="G90">[1]!unf_pvt_dZdp($D43,G$36,gg,zcor)*100</f>
        <v>-2.1846294403093935</v>
      </c>
      <c r="H90" s="1" cm="1">
        <f t="array" ref="H90">[1]!unf_pvt_dZdp($D43,H$36,gg,zcor)*100</f>
        <v>-2.1612644195534436</v>
      </c>
      <c r="I90" s="1" cm="1">
        <f t="array" ref="I90">[1]!unf_pvt_dZdp($D43,I$36,gg,zcor)*100</f>
        <v>-2.137899398804155</v>
      </c>
      <c r="J90" s="1" cm="1">
        <f t="array" ref="J90">[1]!unf_pvt_dZdp($D43,J$36,gg,zcor)*100</f>
        <v>-2.091169357301137</v>
      </c>
      <c r="K90" s="1" cm="1">
        <f t="array" ref="K90">[1]!unf_pvt_dZdp($D43,K$36,gg,zcor)*100</f>
        <v>-2.0444393157958984</v>
      </c>
      <c r="L90" s="1" cm="1">
        <f t="array" ref="L90">[1]!unf_pvt_dZdp($D43,L$36,gg,zcor)*100</f>
        <v>-1.9860267639160156</v>
      </c>
      <c r="M90" s="1" cm="1">
        <f t="array" ref="M90">[1]!unf_pvt_dZdp($D43,M$36,gg,zcor)*100</f>
        <v>-1.8808841705331147</v>
      </c>
      <c r="N90" s="1" cm="1">
        <f t="array" ref="N90">[1]!unf_pvt_dZdp($D43,N$36,gg,zcor)*100</f>
        <v>-1.7874240875226377</v>
      </c>
      <c r="O90" s="1" cm="1">
        <f t="array" ref="O90">[1]!unf_pvt_dZdp($D43,O$36,gg,zcor)*100</f>
        <v>-1.647233963011363</v>
      </c>
      <c r="P90" s="1" cm="1">
        <f t="array" ref="P90">[1]!unf_pvt_dZdp($D43,P$36,gg,zcor)*100</f>
        <v>-1.4953613281254441</v>
      </c>
      <c r="Q90" s="1" cm="1">
        <f t="array" ref="Q90">[1]!unf_pvt_dZdp($D43,Q$36,gg,zcor)*100</f>
        <v>-1.3084411621089309</v>
      </c>
      <c r="R90" s="1" cm="1">
        <f t="array" ref="R90">[1]!unf_pvt_dZdp($D43,R$36,gg,zcor)*100</f>
        <v>-1.1215209960924177</v>
      </c>
      <c r="S90" s="1" cm="1">
        <f t="array" ref="S90">[1]!unf_pvt_dZdp($D43,S$36,gg,zcor)*100</f>
        <v>-0.91123580932661596</v>
      </c>
      <c r="T90" s="1" cm="1">
        <f t="array" ref="T90">[1]!unf_pvt_dZdp($D43,T$36,gg,zcor)*100</f>
        <v>-0.68926811218172901</v>
      </c>
      <c r="U90" s="1" cm="1">
        <f t="array" ref="U90">[1]!unf_pvt_dZdp($D43,U$36,gg,zcor)*100</f>
        <v>-0.47898292541370679</v>
      </c>
      <c r="V90" s="1" cm="1">
        <f t="array" ref="V90">[1]!unf_pvt_dZdp($D43,V$36,gg,zcor)*100</f>
        <v>-0.26869773864790503</v>
      </c>
      <c r="W90" s="1" cm="1">
        <f t="array" ref="W90">[1]!unf_pvt_dZdp($D43,W$36,gg,zcor)*100</f>
        <v>-8.1777572631391848E-2</v>
      </c>
      <c r="X90" s="1" cm="1">
        <f t="array" ref="X90">[1]!unf_pvt_dZdp($D43,X$36,gg,zcor)*100</f>
        <v>9.3460083006036143E-2</v>
      </c>
      <c r="Y90" s="1" cm="1">
        <f t="array" ref="Y90">[1]!unf_pvt_dZdp($D43,Y$36,gg,zcor)*100</f>
        <v>0.26869773864568458</v>
      </c>
      <c r="Z90" s="1" cm="1">
        <f t="array" ref="Z90">[1]!unf_pvt_dZdp($D43,Z$36,gg,zcor)*100</f>
        <v>0.42057037353604443</v>
      </c>
      <c r="AA90" s="1" cm="1">
        <f t="array" ref="AA90">[1]!unf_pvt_dZdp($D43,AA$36,gg,zcor)*100</f>
        <v>0.54907798767045435</v>
      </c>
      <c r="AB90" s="1" cm="1">
        <f t="array" ref="AB90">[1]!unf_pvt_dZdp($D43,AB$36,gg,zcor)*100</f>
        <v>0.67758560180708471</v>
      </c>
      <c r="AC90" s="1" cm="1">
        <f t="array" ref="AC90">[1]!unf_pvt_dZdp($D43,AC$36,gg,zcor)*100</f>
        <v>0.79441070556685034</v>
      </c>
      <c r="AD90" s="1" cm="1">
        <f t="array" ref="AD90">[1]!unf_pvt_dZdp($D43,AD$36,gg,zcor)*100</f>
        <v>0.87618827819824219</v>
      </c>
      <c r="AE90" s="1" cm="1">
        <f t="array" ref="AE90">[1]!unf_pvt_dZdp($D43,AE$36,gg,zcor)*100</f>
        <v>0.96964836120649878</v>
      </c>
      <c r="AF90" s="1" cm="1">
        <f t="array" ref="AF90">[1]!unf_pvt_dZdp($D43,AF$36,gg,zcor)*100</f>
        <v>1.0397434234632463</v>
      </c>
      <c r="AG90" s="1" cm="1">
        <f t="array" ref="AG90">[1]!unf_pvt_dZdp($D43,AG$36,gg,zcor)*100</f>
        <v>1.1098384857177734</v>
      </c>
      <c r="AH90" s="1" cm="1">
        <f t="array" ref="AH90">[1]!unf_pvt_dZdp($D43,AH$36,gg,zcor)*100</f>
        <v>1.1682510375976563</v>
      </c>
      <c r="AI90" s="1" cm="1">
        <f t="array" ref="AI90">[1]!unf_pvt_dZdp($D43,AI$36,gg,zcor)*100</f>
        <v>1.2149810791028948</v>
      </c>
      <c r="AJ90" s="1" cm="1">
        <f t="array" ref="AJ90">[1]!unf_pvt_dZdp($D43,AJ$36,gg,zcor)*100</f>
        <v>1.2617111206059128</v>
      </c>
      <c r="AK90" s="1" cm="1">
        <f t="array" ref="AK90">[1]!unf_pvt_dZdp($D43,AK$36,gg,zcor)*100</f>
        <v>1.3084411621089309</v>
      </c>
    </row>
    <row r="91" spans="5:37" x14ac:dyDescent="0.3">
      <c r="E91" t="str">
        <f t="shared" si="4"/>
        <v>t=60 C</v>
      </c>
      <c r="F91" s="1" cm="1">
        <f t="array" ref="F91">[1]!unf_pvt_dZdp($D44,F$36,gg,zcor)*100</f>
        <v>-1.9860267639160156</v>
      </c>
      <c r="G91" s="1" cm="1">
        <f t="array" ref="G91">[1]!unf_pvt_dZdp($D44,G$36,gg,zcor)*100</f>
        <v>-1.9626617431645066</v>
      </c>
      <c r="H91" s="1" cm="1">
        <f t="array" ref="H91">[1]!unf_pvt_dZdp($D44,H$36,gg,zcor)*100</f>
        <v>-1.9392967224129976</v>
      </c>
      <c r="I91" s="1" cm="1">
        <f t="array" ref="I91">[1]!unf_pvt_dZdp($D44,I$36,gg,zcor)*100</f>
        <v>-1.9042491912846238</v>
      </c>
      <c r="J91" s="1" cm="1">
        <f t="array" ref="J91">[1]!unf_pvt_dZdp($D44,J$36,gg,zcor)*100</f>
        <v>-1.86920166015625</v>
      </c>
      <c r="K91" s="1" cm="1">
        <f t="array" ref="K91">[1]!unf_pvt_dZdp($D44,K$36,gg,zcor)*100</f>
        <v>-1.8107891082763672</v>
      </c>
      <c r="L91" s="1" cm="1">
        <f t="array" ref="L91">[1]!unf_pvt_dZdp($D44,L$36,gg,zcor)*100</f>
        <v>-1.7406940460173992</v>
      </c>
      <c r="M91" s="1" cm="1">
        <f t="array" ref="M91">[1]!unf_pvt_dZdp($D44,M$36,gg,zcor)*100</f>
        <v>-1.6589164733860073</v>
      </c>
      <c r="N91" s="1" cm="1">
        <f t="array" ref="N91">[1]!unf_pvt_dZdp($D44,N$36,gg,zcor)*100</f>
        <v>-1.5654563903821916</v>
      </c>
      <c r="O91" s="1" cm="1">
        <f t="array" ref="O91">[1]!unf_pvt_dZdp($D44,O$36,gg,zcor)*100</f>
        <v>-1.4369487762455613</v>
      </c>
      <c r="P91" s="1" cm="1">
        <f t="array" ref="P91">[1]!unf_pvt_dZdp($D44,P$36,gg,zcor)*100</f>
        <v>-1.3084411621089309</v>
      </c>
      <c r="Q91" s="1" cm="1">
        <f t="array" ref="Q91">[1]!unf_pvt_dZdp($D44,Q$36,gg,zcor)*100</f>
        <v>-1.1448860168461472</v>
      </c>
      <c r="R91" s="1" cm="1">
        <f t="array" ref="R91">[1]!unf_pvt_dZdp($D44,R$36,gg,zcor)*100</f>
        <v>-0.98133087158336352</v>
      </c>
      <c r="S91" s="1" cm="1">
        <f t="array" ref="S91">[1]!unf_pvt_dZdp($D44,S$36,gg,zcor)*100</f>
        <v>-0.80609321594149463</v>
      </c>
      <c r="T91" s="1" cm="1">
        <f t="array" ref="T91">[1]!unf_pvt_dZdp($D44,T$36,gg,zcor)*100</f>
        <v>-0.64253807067871094</v>
      </c>
      <c r="U91" s="1" cm="1">
        <f t="array" ref="U91">[1]!unf_pvt_dZdp($D44,U$36,gg,zcor)*100</f>
        <v>-0.45561790466441821</v>
      </c>
      <c r="V91" s="1" cm="1">
        <f t="array" ref="V91">[1]!unf_pvt_dZdp($D44,V$36,gg,zcor)*100</f>
        <v>-0.28038024902476977</v>
      </c>
      <c r="W91" s="1" cm="1">
        <f t="array" ref="W91">[1]!unf_pvt_dZdp($D44,W$36,gg,zcor)*100</f>
        <v>-0.11682510375754518</v>
      </c>
      <c r="X91" s="1" cm="1">
        <f t="array" ref="X91">[1]!unf_pvt_dZdp($D44,X$36,gg,zcor)*100</f>
        <v>5.8412551879882813E-2</v>
      </c>
      <c r="Y91" s="1" cm="1">
        <f t="array" ref="Y91">[1]!unf_pvt_dZdp($D44,Y$36,gg,zcor)*100</f>
        <v>0.19860267639115747</v>
      </c>
      <c r="Z91" s="1" cm="1">
        <f t="array" ref="Z91">[1]!unf_pvt_dZdp($D44,Z$36,gg,zcor)*100</f>
        <v>0.33879280090465258</v>
      </c>
      <c r="AA91" s="1" cm="1">
        <f t="array" ref="AA91">[1]!unf_pvt_dZdp($D44,AA$36,gg,zcor)*100</f>
        <v>0.46730041504128295</v>
      </c>
      <c r="AB91" s="1" cm="1">
        <f t="array" ref="AB91">[1]!unf_pvt_dZdp($D44,AB$36,gg,zcor)*100</f>
        <v>0.58412551879882813</v>
      </c>
      <c r="AC91" s="1" cm="1">
        <f t="array" ref="AC91">[1]!unf_pvt_dZdp($D44,AC$36,gg,zcor)*100</f>
        <v>0.68926811218172901</v>
      </c>
      <c r="AD91" s="1" cm="1">
        <f t="array" ref="AD91">[1]!unf_pvt_dZdp($D44,AD$36,gg,zcor)*100</f>
        <v>0.7710456848153413</v>
      </c>
      <c r="AE91" s="1" cm="1">
        <f t="array" ref="AE91">[1]!unf_pvt_dZdp($D44,AE$36,gg,zcor)*100</f>
        <v>0.86450576782137745</v>
      </c>
      <c r="AF91" s="1" cm="1">
        <f t="array" ref="AF91">[1]!unf_pvt_dZdp($D44,AF$36,gg,zcor)*100</f>
        <v>0.92291831970348071</v>
      </c>
      <c r="AG91" s="1" cm="1">
        <f t="array" ref="AG91">[1]!unf_pvt_dZdp($D44,AG$36,gg,zcor)*100</f>
        <v>0.99301338196022826</v>
      </c>
      <c r="AH91" s="1" cm="1">
        <f t="array" ref="AH91">[1]!unf_pvt_dZdp($D44,AH$36,gg,zcor)*100</f>
        <v>1.0514259338378906</v>
      </c>
      <c r="AI91" s="1" cm="1">
        <f t="array" ref="AI91">[1]!unf_pvt_dZdp($D44,AI$36,gg,zcor)*100</f>
        <v>1.1098384857177734</v>
      </c>
      <c r="AJ91" s="1" cm="1">
        <f t="array" ref="AJ91">[1]!unf_pvt_dZdp($D44,AJ$36,gg,zcor)*100</f>
        <v>1.156568527223012</v>
      </c>
      <c r="AK91" s="1" cm="1">
        <f t="array" ref="AK91">[1]!unf_pvt_dZdp($D44,AK$36,gg,zcor)*100</f>
        <v>1.20329856872603</v>
      </c>
    </row>
    <row r="92" spans="5:37" x14ac:dyDescent="0.3">
      <c r="E92" t="str">
        <f t="shared" si="4"/>
        <v>t=70 C</v>
      </c>
      <c r="F92" s="1" cm="1">
        <f t="array" ref="F92">[1]!unf_pvt_dZdp($D45,F$36,gg,zcor)*100</f>
        <v>-1.7991065979017229</v>
      </c>
      <c r="G92" s="1" cm="1">
        <f t="array" ref="G92">[1]!unf_pvt_dZdp($D45,G$36,gg,zcor)*100</f>
        <v>-1.7757415771502139</v>
      </c>
      <c r="H92" s="1" cm="1">
        <f t="array" ref="H92">[1]!unf_pvt_dZdp($D45,H$36,gg,zcor)*100</f>
        <v>-1.7406940460196196</v>
      </c>
      <c r="I92" s="1" cm="1">
        <f t="array" ref="I92">[1]!unf_pvt_dZdp($D45,I$36,gg,zcor)*100</f>
        <v>-1.717329025270331</v>
      </c>
      <c r="J92" s="1" cm="1">
        <f t="array" ref="J92">[1]!unf_pvt_dZdp($D45,J$36,gg,zcor)*100</f>
        <v>-1.6705989837628721</v>
      </c>
      <c r="K92" s="1" cm="1">
        <f t="array" ref="K92">[1]!unf_pvt_dZdp($D45,K$36,gg,zcor)*100</f>
        <v>-1.6121864318852097</v>
      </c>
      <c r="L92" s="1" cm="1">
        <f t="array" ref="L92">[1]!unf_pvt_dZdp($D45,L$36,gg,zcor)*100</f>
        <v>-1.5420913696284622</v>
      </c>
      <c r="M92" s="1" cm="1">
        <f t="array" ref="M92">[1]!unf_pvt_dZdp($D45,M$36,gg,zcor)*100</f>
        <v>-1.4486312866202056</v>
      </c>
      <c r="N92" s="1" cm="1">
        <f t="array" ref="N92">[1]!unf_pvt_dZdp($D45,N$36,gg,zcor)*100</f>
        <v>-1.3551712036141694</v>
      </c>
      <c r="O92" s="1" cm="1">
        <f t="array" ref="O92">[1]!unf_pvt_dZdp($D45,O$36,gg,zcor)*100</f>
        <v>-1.2617111206059128</v>
      </c>
      <c r="P92" s="1" cm="1">
        <f t="array" ref="P92">[1]!unf_pvt_dZdp($D45,P$36,gg,zcor)*100</f>
        <v>-1.1448860168439268</v>
      </c>
      <c r="Q92" s="1" cm="1">
        <f t="array" ref="Q92">[1]!unf_pvt_dZdp($D45,Q$36,gg,zcor)*100</f>
        <v>-1.0046958923348726</v>
      </c>
      <c r="R92" s="1" cm="1">
        <f t="array" ref="R92">[1]!unf_pvt_dZdp($D45,R$36,gg,zcor)*100</f>
        <v>-0.86450576782137745</v>
      </c>
      <c r="S92" s="1" cm="1">
        <f t="array" ref="S92">[1]!unf_pvt_dZdp($D45,S$36,gg,zcor)*100</f>
        <v>-0.71263313293545849</v>
      </c>
      <c r="T92" s="1" cm="1">
        <f t="array" ref="T92">[1]!unf_pvt_dZdp($D45,T$36,gg,zcor)*100</f>
        <v>-0.56076049804731909</v>
      </c>
      <c r="U92" s="1" cm="1">
        <f t="array" ref="U92">[1]!unf_pvt_dZdp($D45,U$36,gg,zcor)*100</f>
        <v>-0.42057037353382398</v>
      </c>
      <c r="V92" s="1" cm="1">
        <f t="array" ref="V92">[1]!unf_pvt_dZdp($D45,V$36,gg,zcor)*100</f>
        <v>-0.25701522827104029</v>
      </c>
      <c r="W92" s="1" cm="1">
        <f t="array" ref="W92">[1]!unf_pvt_dZdp($D45,W$36,gg,zcor)*100</f>
        <v>-0.11682510375976563</v>
      </c>
      <c r="X92" s="1" cm="1">
        <f t="array" ref="X92">[1]!unf_pvt_dZdp($D45,X$36,gg,zcor)*100</f>
        <v>2.3365020751509036E-2</v>
      </c>
      <c r="Y92" s="1" cm="1">
        <f t="array" ref="Y92">[1]!unf_pvt_dZdp($D45,Y$36,gg,zcor)*100</f>
        <v>0.16355514526500414</v>
      </c>
      <c r="Z92" s="1" cm="1">
        <f t="array" ref="Z92">[1]!unf_pvt_dZdp($D45,Z$36,gg,zcor)*100</f>
        <v>0.28038024902254932</v>
      </c>
      <c r="AA92" s="1" cm="1">
        <f t="array" ref="AA92">[1]!unf_pvt_dZdp($D45,AA$36,gg,zcor)*100</f>
        <v>0.39720535278231495</v>
      </c>
      <c r="AB92" s="1" cm="1">
        <f t="array" ref="AB92">[1]!unf_pvt_dZdp($D45,AB$36,gg,zcor)*100</f>
        <v>0.50234794616743628</v>
      </c>
      <c r="AC92" s="1" cm="1">
        <f t="array" ref="AC92">[1]!unf_pvt_dZdp($D45,AC$36,gg,zcor)*100</f>
        <v>0.60749053955033716</v>
      </c>
      <c r="AD92" s="1" cm="1">
        <f t="array" ref="AD92">[1]!unf_pvt_dZdp($D45,AD$36,gg,zcor)*100</f>
        <v>0.68926811218172901</v>
      </c>
      <c r="AE92" s="1" cm="1">
        <f t="array" ref="AE92">[1]!unf_pvt_dZdp($D45,AE$36,gg,zcor)*100</f>
        <v>0.75936317443847656</v>
      </c>
      <c r="AF92" s="1" cm="1">
        <f t="array" ref="AF92">[1]!unf_pvt_dZdp($D45,AF$36,gg,zcor)*100</f>
        <v>0.82945823669300367</v>
      </c>
      <c r="AG92" s="1" cm="1">
        <f t="array" ref="AG92">[1]!unf_pvt_dZdp($D45,AG$36,gg,zcor)*100</f>
        <v>0.91123580932661596</v>
      </c>
      <c r="AH92" s="1" cm="1">
        <f t="array" ref="AH92">[1]!unf_pvt_dZdp($D45,AH$36,gg,zcor)*100</f>
        <v>0.96964836120649878</v>
      </c>
      <c r="AI92" s="1" cm="1">
        <f t="array" ref="AI92">[1]!unf_pvt_dZdp($D45,AI$36,gg,zcor)*100</f>
        <v>1.0163784027095168</v>
      </c>
      <c r="AJ92" s="1" cm="1">
        <f t="array" ref="AJ92">[1]!unf_pvt_dZdp($D45,AJ$36,gg,zcor)*100</f>
        <v>1.0631084442147554</v>
      </c>
      <c r="AK92" s="1" cm="1">
        <f t="array" ref="AK92">[1]!unf_pvt_dZdp($D45,AK$36,gg,zcor)*100</f>
        <v>1.1098384857177734</v>
      </c>
    </row>
    <row r="93" spans="5:37" x14ac:dyDescent="0.3">
      <c r="E93" t="str">
        <f t="shared" si="4"/>
        <v>t=80 C</v>
      </c>
      <c r="F93" s="1" cm="1">
        <f t="array" ref="F93">[1]!unf_pvt_dZdp($D46,F$36,gg,zcor)*100</f>
        <v>-1.6355514526344983</v>
      </c>
      <c r="G93" s="1" cm="1">
        <f t="array" ref="G93">[1]!unf_pvt_dZdp($D46,G$36,gg,zcor)*100</f>
        <v>-1.6121864318829893</v>
      </c>
      <c r="H93" s="1" cm="1">
        <f t="array" ref="H93">[1]!unf_pvt_dZdp($D46,H$36,gg,zcor)*100</f>
        <v>-1.5771389007568359</v>
      </c>
      <c r="I93" s="1" cm="1">
        <f t="array" ref="I93">[1]!unf_pvt_dZdp($D46,I$36,gg,zcor)*100</f>
        <v>-1.5304088592538179</v>
      </c>
      <c r="J93" s="1" cm="1">
        <f t="array" ref="J93">[1]!unf_pvt_dZdp($D46,J$36,gg,zcor)*100</f>
        <v>-1.4836788177485793</v>
      </c>
      <c r="K93" s="1" cm="1">
        <f t="array" ref="K93">[1]!unf_pvt_dZdp($D46,K$36,gg,zcor)*100</f>
        <v>-1.4369487762455613</v>
      </c>
      <c r="L93" s="1" cm="1">
        <f t="array" ref="L93">[1]!unf_pvt_dZdp($D46,L$36,gg,zcor)*100</f>
        <v>-1.3551712036141694</v>
      </c>
      <c r="M93" s="1" cm="1">
        <f t="array" ref="M93">[1]!unf_pvt_dZdp($D46,M$36,gg,zcor)*100</f>
        <v>-1.2850761413574219</v>
      </c>
      <c r="N93" s="1" cm="1">
        <f t="array" ref="N93">[1]!unf_pvt_dZdp($D46,N$36,gg,zcor)*100</f>
        <v>-1.2032985687282505</v>
      </c>
      <c r="O93" s="1" cm="1">
        <f t="array" ref="O93">[1]!unf_pvt_dZdp($D46,O$36,gg,zcor)*100</f>
        <v>-1.1098384857177734</v>
      </c>
      <c r="P93" s="1" cm="1">
        <f t="array" ref="P93">[1]!unf_pvt_dZdp($D46,P$36,gg,zcor)*100</f>
        <v>-1.0046958923326521</v>
      </c>
      <c r="Q93" s="1" cm="1">
        <f t="array" ref="Q93">[1]!unf_pvt_dZdp($D46,Q$36,gg,zcor)*100</f>
        <v>-0.88787078857288648</v>
      </c>
      <c r="R93" s="1" cm="1">
        <f t="array" ref="R93">[1]!unf_pvt_dZdp($D46,R$36,gg,zcor)*100</f>
        <v>-0.75936317443625612</v>
      </c>
      <c r="S93" s="1" cm="1">
        <f t="array" ref="S93">[1]!unf_pvt_dZdp($D46,S$36,gg,zcor)*100</f>
        <v>-0.6308555603018462</v>
      </c>
      <c r="T93" s="1" cm="1">
        <f t="array" ref="T93">[1]!unf_pvt_dZdp($D46,T$36,gg,zcor)*100</f>
        <v>-0.50234794616743628</v>
      </c>
      <c r="U93" s="1" cm="1">
        <f t="array" ref="U93">[1]!unf_pvt_dZdp($D46,U$36,gg,zcor)*100</f>
        <v>-0.37384033203080591</v>
      </c>
      <c r="V93" s="1" cm="1">
        <f t="array" ref="V93">[1]!unf_pvt_dZdp($D46,V$36,gg,zcor)*100</f>
        <v>-0.23365020751953125</v>
      </c>
      <c r="W93" s="1" cm="1">
        <f t="array" ref="W93">[1]!unf_pvt_dZdp($D46,W$36,gg,zcor)*100</f>
        <v>-0.10514259338512133</v>
      </c>
      <c r="X93" s="1" cm="1">
        <f t="array" ref="X93">[1]!unf_pvt_dZdp($D46,X$36,gg,zcor)*100</f>
        <v>2.3365020751509036E-2</v>
      </c>
      <c r="Y93" s="1" cm="1">
        <f t="array" ref="Y93">[1]!unf_pvt_dZdp($D46,Y$36,gg,zcor)*100</f>
        <v>0.14019012451127466</v>
      </c>
      <c r="Z93" s="1" cm="1">
        <f t="array" ref="Z93">[1]!unf_pvt_dZdp($D46,Z$36,gg,zcor)*100</f>
        <v>0.24533271789639599</v>
      </c>
      <c r="AA93" s="1" cm="1">
        <f t="array" ref="AA93">[1]!unf_pvt_dZdp($D46,AA$36,gg,zcor)*100</f>
        <v>0.36215782165616162</v>
      </c>
      <c r="AB93" s="1" cm="1">
        <f t="array" ref="AB93">[1]!unf_pvt_dZdp($D46,AB$36,gg,zcor)*100</f>
        <v>0.44393539428533302</v>
      </c>
      <c r="AC93" s="1" cm="1">
        <f t="array" ref="AC93">[1]!unf_pvt_dZdp($D46,AC$36,gg,zcor)*100</f>
        <v>0.53739547729581005</v>
      </c>
      <c r="AD93" s="1" cm="1">
        <f t="array" ref="AD93">[1]!unf_pvt_dZdp($D46,AD$36,gg,zcor)*100</f>
        <v>0.61917304992498146</v>
      </c>
      <c r="AE93" s="1" cm="1">
        <f t="array" ref="AE93">[1]!unf_pvt_dZdp($D46,AE$36,gg,zcor)*100</f>
        <v>0.68926811217950856</v>
      </c>
      <c r="AF93" s="1" cm="1">
        <f t="array" ref="AF93">[1]!unf_pvt_dZdp($D46,AF$36,gg,zcor)*100</f>
        <v>0.75936317443847656</v>
      </c>
      <c r="AG93" s="1" cm="1">
        <f t="array" ref="AG93">[1]!unf_pvt_dZdp($D46,AG$36,gg,zcor)*100</f>
        <v>0.82945823669522412</v>
      </c>
      <c r="AH93" s="1" cm="1">
        <f t="array" ref="AH93">[1]!unf_pvt_dZdp($D46,AH$36,gg,zcor)*100</f>
        <v>0.88787078857510693</v>
      </c>
      <c r="AI93" s="1" cm="1">
        <f t="array" ref="AI93">[1]!unf_pvt_dZdp($D46,AI$36,gg,zcor)*100</f>
        <v>0.934600830078125</v>
      </c>
      <c r="AJ93" s="1" cm="1">
        <f t="array" ref="AJ93">[1]!unf_pvt_dZdp($D46,AJ$36,gg,zcor)*100</f>
        <v>0.98133087158114307</v>
      </c>
      <c r="AK93" s="1" cm="1">
        <f t="array" ref="AK93">[1]!unf_pvt_dZdp($D46,AK$36,gg,zcor)*100</f>
        <v>1.0280609130863816</v>
      </c>
    </row>
    <row r="94" spans="5:37" x14ac:dyDescent="0.3">
      <c r="E94" t="str">
        <f t="shared" si="4"/>
        <v>t=90 C</v>
      </c>
      <c r="F94" s="1" cm="1">
        <f t="array" ref="F94">[1]!unf_pvt_dZdp($D47,F$36,gg,zcor)*100</f>
        <v>-1.4953613281254441</v>
      </c>
      <c r="G94" s="1" cm="1">
        <f t="array" ref="G94">[1]!unf_pvt_dZdp($D47,G$36,gg,zcor)*100</f>
        <v>-1.4603137969970703</v>
      </c>
      <c r="H94" s="1" cm="1">
        <f t="array" ref="H94">[1]!unf_pvt_dZdp($D47,H$36,gg,zcor)*100</f>
        <v>-1.4252662658686965</v>
      </c>
      <c r="I94" s="1" cm="1">
        <f t="array" ref="I94">[1]!unf_pvt_dZdp($D47,I$36,gg,zcor)*100</f>
        <v>-1.3785362243656785</v>
      </c>
      <c r="J94" s="1" cm="1">
        <f t="array" ref="J94">[1]!unf_pvt_dZdp($D47,J$36,gg,zcor)*100</f>
        <v>-1.3318061828626604</v>
      </c>
      <c r="K94" s="1" cm="1">
        <f t="array" ref="K94">[1]!unf_pvt_dZdp($D47,K$36,gg,zcor)*100</f>
        <v>-1.273393630984998</v>
      </c>
      <c r="L94" s="1" cm="1">
        <f t="array" ref="L94">[1]!unf_pvt_dZdp($D47,L$36,gg,zcor)*100</f>
        <v>-1.2149810791028948</v>
      </c>
      <c r="M94" s="1" cm="1">
        <f t="array" ref="M94">[1]!unf_pvt_dZdp($D47,M$36,gg,zcor)*100</f>
        <v>-1.1332035064692825</v>
      </c>
      <c r="N94" s="1" cm="1">
        <f t="array" ref="N94">[1]!unf_pvt_dZdp($D47,N$36,gg,zcor)*100</f>
        <v>-1.0514259338401111</v>
      </c>
      <c r="O94" s="1" cm="1">
        <f t="array" ref="O94">[1]!unf_pvt_dZdp($D47,O$36,gg,zcor)*100</f>
        <v>-0.96964836120649878</v>
      </c>
      <c r="P94" s="1" cm="1">
        <f t="array" ref="P94">[1]!unf_pvt_dZdp($D47,P$36,gg,zcor)*100</f>
        <v>-0.87618827819824219</v>
      </c>
      <c r="Q94" s="1" cm="1">
        <f t="array" ref="Q94">[1]!unf_pvt_dZdp($D47,Q$36,gg,zcor)*100</f>
        <v>-0.7710456848153413</v>
      </c>
      <c r="R94" s="1" cm="1">
        <f t="array" ref="R94">[1]!unf_pvt_dZdp($D47,R$36,gg,zcor)*100</f>
        <v>-0.65422058105335523</v>
      </c>
      <c r="S94" s="1" cm="1">
        <f t="array" ref="S94">[1]!unf_pvt_dZdp($D47,S$36,gg,zcor)*100</f>
        <v>-0.54907798767045435</v>
      </c>
      <c r="T94" s="1" cm="1">
        <f t="array" ref="T94">[1]!unf_pvt_dZdp($D47,T$36,gg,zcor)*100</f>
        <v>-0.43225288391068872</v>
      </c>
      <c r="U94" s="1" cm="1">
        <f t="array" ref="U94">[1]!unf_pvt_dZdp($D47,U$36,gg,zcor)*100</f>
        <v>-0.31542778015314354</v>
      </c>
      <c r="V94" s="1" cm="1">
        <f t="array" ref="V94">[1]!unf_pvt_dZdp($D47,V$36,gg,zcor)*100</f>
        <v>-0.19860267639115747</v>
      </c>
      <c r="W94" s="1" cm="1">
        <f t="array" ref="W94">[1]!unf_pvt_dZdp($D47,W$36,gg,zcor)*100</f>
        <v>-8.1777572631391848E-2</v>
      </c>
      <c r="X94" s="1" cm="1">
        <f t="array" ref="X94">[1]!unf_pvt_dZdp($D47,X$36,gg,zcor)*100</f>
        <v>2.3365020753729482E-2</v>
      </c>
      <c r="Y94" s="1" cm="1">
        <f t="array" ref="Y94">[1]!unf_pvt_dZdp($D47,Y$36,gg,zcor)*100</f>
        <v>0.12850761413663037</v>
      </c>
      <c r="Z94" s="1" cm="1">
        <f t="array" ref="Z94">[1]!unf_pvt_dZdp($D47,Z$36,gg,zcor)*100</f>
        <v>0.23365020751953125</v>
      </c>
      <c r="AA94" s="1" cm="1">
        <f t="array" ref="AA94">[1]!unf_pvt_dZdp($D47,AA$36,gg,zcor)*100</f>
        <v>0.32711029052778784</v>
      </c>
      <c r="AB94" s="1" cm="1">
        <f t="array" ref="AB94">[1]!unf_pvt_dZdp($D47,AB$36,gg,zcor)*100</f>
        <v>0.40888786315917969</v>
      </c>
      <c r="AC94" s="1" cm="1">
        <f t="array" ref="AC94">[1]!unf_pvt_dZdp($D47,AC$36,gg,zcor)*100</f>
        <v>0.49066543579279198</v>
      </c>
      <c r="AD94" s="1" cm="1">
        <f t="array" ref="AD94">[1]!unf_pvt_dZdp($D47,AD$36,gg,zcor)*100</f>
        <v>0.57244300842418383</v>
      </c>
      <c r="AE94" s="1" cm="1">
        <f t="array" ref="AE94">[1]!unf_pvt_dZdp($D47,AE$36,gg,zcor)*100</f>
        <v>0.6308555603018462</v>
      </c>
      <c r="AF94" s="1" cm="1">
        <f t="array" ref="AF94">[1]!unf_pvt_dZdp($D47,AF$36,gg,zcor)*100</f>
        <v>0.70095062255859375</v>
      </c>
      <c r="AG94" s="1" cm="1">
        <f t="array" ref="AG94">[1]!unf_pvt_dZdp($D47,AG$36,gg,zcor)*100</f>
        <v>0.75936317444069701</v>
      </c>
      <c r="AH94" s="1" cm="1">
        <f t="array" ref="AH94">[1]!unf_pvt_dZdp($D47,AH$36,gg,zcor)*100</f>
        <v>0.81777572631613893</v>
      </c>
      <c r="AI94" s="1" cm="1">
        <f t="array" ref="AI94">[1]!unf_pvt_dZdp($D47,AI$36,gg,zcor)*100</f>
        <v>0.86450576782359789</v>
      </c>
      <c r="AJ94" s="1" cm="1">
        <f t="array" ref="AJ94">[1]!unf_pvt_dZdp($D47,AJ$36,gg,zcor)*100</f>
        <v>0.91123580932439552</v>
      </c>
      <c r="AK94" s="1" cm="1">
        <f t="array" ref="AK94">[1]!unf_pvt_dZdp($D47,AK$36,gg,zcor)*100</f>
        <v>0.95796585082963404</v>
      </c>
    </row>
    <row r="95" spans="5:37" x14ac:dyDescent="0.3">
      <c r="E95" t="str">
        <f t="shared" si="4"/>
        <v>t=100 C</v>
      </c>
      <c r="F95" s="1" cm="1">
        <f t="array" ref="F95">[1]!unf_pvt_dZdp($D48,F$36,gg,zcor)*100</f>
        <v>-1.3551712036141694</v>
      </c>
      <c r="G95" s="1" cm="1">
        <f t="array" ref="G95">[1]!unf_pvt_dZdp($D48,G$36,gg,zcor)*100</f>
        <v>-1.3318061828626604</v>
      </c>
      <c r="H95" s="1" cm="1">
        <f t="array" ref="H95">[1]!unf_pvt_dZdp($D48,H$36,gg,zcor)*100</f>
        <v>-1.2850761413574219</v>
      </c>
      <c r="I95" s="1" cm="1">
        <f t="array" ref="I95">[1]!unf_pvt_dZdp($D48,I$36,gg,zcor)*100</f>
        <v>-1.2500286102290481</v>
      </c>
      <c r="J95" s="1" cm="1">
        <f t="array" ref="J95">[1]!unf_pvt_dZdp($D48,J$36,gg,zcor)*100</f>
        <v>-1.20329856872603</v>
      </c>
      <c r="K95" s="1" cm="1">
        <f t="array" ref="K95">[1]!unf_pvt_dZdp($D48,K$36,gg,zcor)*100</f>
        <v>-1.1332035064692825</v>
      </c>
      <c r="L95" s="1" cm="1">
        <f t="array" ref="L95">[1]!unf_pvt_dZdp($D48,L$36,gg,zcor)*100</f>
        <v>-1.0747909545916201</v>
      </c>
      <c r="M95" s="1" cm="1">
        <f t="array" ref="M95">[1]!unf_pvt_dZdp($D48,M$36,gg,zcor)*100</f>
        <v>-1.0046958923326521</v>
      </c>
      <c r="N95" s="1" cm="1">
        <f t="array" ref="N95">[1]!unf_pvt_dZdp($D48,N$36,gg,zcor)*100</f>
        <v>-0.934600830078125</v>
      </c>
      <c r="O95" s="1" cm="1">
        <f t="array" ref="O95">[1]!unf_pvt_dZdp($D48,O$36,gg,zcor)*100</f>
        <v>-0.84114074706986841</v>
      </c>
      <c r="P95" s="1" cm="1">
        <f t="array" ref="P95">[1]!unf_pvt_dZdp($D48,P$36,gg,zcor)*100</f>
        <v>-0.75936317444069701</v>
      </c>
      <c r="Q95" s="1" cm="1">
        <f t="array" ref="Q95">[1]!unf_pvt_dZdp($D48,Q$36,gg,zcor)*100</f>
        <v>-0.66590309143244042</v>
      </c>
      <c r="R95" s="1" cm="1">
        <f t="array" ref="R95">[1]!unf_pvt_dZdp($D48,R$36,gg,zcor)*100</f>
        <v>-0.57244300842418383</v>
      </c>
      <c r="S95" s="1" cm="1">
        <f t="array" ref="S95">[1]!unf_pvt_dZdp($D48,S$36,gg,zcor)*100</f>
        <v>-0.4673004150390625</v>
      </c>
      <c r="T95" s="1" cm="1">
        <f t="array" ref="T95">[1]!unf_pvt_dZdp($D48,T$36,gg,zcor)*100</f>
        <v>-0.37384033203080591</v>
      </c>
      <c r="U95" s="1" cm="1">
        <f t="array" ref="U95">[1]!unf_pvt_dZdp($D48,U$36,gg,zcor)*100</f>
        <v>-0.26869773864568458</v>
      </c>
      <c r="V95" s="1" cm="1">
        <f t="array" ref="V95">[1]!unf_pvt_dZdp($D48,V$36,gg,zcor)*100</f>
        <v>-0.16355514526500414</v>
      </c>
      <c r="W95" s="1" cm="1">
        <f t="array" ref="W95">[1]!unf_pvt_dZdp($D48,W$36,gg,zcor)*100</f>
        <v>-5.8412551879882813E-2</v>
      </c>
      <c r="X95" s="1" cm="1">
        <f t="array" ref="X95">[1]!unf_pvt_dZdp($D48,X$36,gg,zcor)*100</f>
        <v>2.3365020751509036E-2</v>
      </c>
      <c r="Y95" s="1" cm="1">
        <f t="array" ref="Y95">[1]!unf_pvt_dZdp($D48,Y$36,gg,zcor)*100</f>
        <v>0.11682510375976563</v>
      </c>
      <c r="Z95" s="1" cm="1">
        <f t="array" ref="Z95">[1]!unf_pvt_dZdp($D48,Z$36,gg,zcor)*100</f>
        <v>0.22196769714488696</v>
      </c>
      <c r="AA95" s="1" cm="1">
        <f t="array" ref="AA95">[1]!unf_pvt_dZdp($D48,AA$36,gg,zcor)*100</f>
        <v>0.3037452697762788</v>
      </c>
      <c r="AB95" s="1" cm="1">
        <f t="array" ref="AB95">[1]!unf_pvt_dZdp($D48,AB$36,gg,zcor)*100</f>
        <v>0.38552284240767065</v>
      </c>
      <c r="AC95" s="1" cm="1">
        <f t="array" ref="AC95">[1]!unf_pvt_dZdp($D48,AC$36,gg,zcor)*100</f>
        <v>0.46730041503684205</v>
      </c>
      <c r="AD95" s="1" cm="1">
        <f t="array" ref="AD95">[1]!unf_pvt_dZdp($D48,AD$36,gg,zcor)*100</f>
        <v>0.52571296691894531</v>
      </c>
      <c r="AE95" s="1" cm="1">
        <f t="array" ref="AE95">[1]!unf_pvt_dZdp($D48,AE$36,gg,zcor)*100</f>
        <v>0.59580802917347242</v>
      </c>
      <c r="AF95" s="1" cm="1">
        <f t="array" ref="AF95">[1]!unf_pvt_dZdp($D48,AF$36,gg,zcor)*100</f>
        <v>0.65422058105557568</v>
      </c>
      <c r="AG95" s="1" cm="1">
        <f t="array" ref="AG95">[1]!unf_pvt_dZdp($D48,AG$36,gg,zcor)*100</f>
        <v>0.71263313293323804</v>
      </c>
      <c r="AH95" s="1" cm="1">
        <f t="array" ref="AH95">[1]!unf_pvt_dZdp($D48,AH$36,gg,zcor)*100</f>
        <v>0.7710456848153413</v>
      </c>
      <c r="AI95" s="1" cm="1">
        <f t="array" ref="AI95">[1]!unf_pvt_dZdp($D48,AI$36,gg,zcor)*100</f>
        <v>0.81777572631835938</v>
      </c>
      <c r="AJ95" s="1" cm="1">
        <f t="array" ref="AJ95">[1]!unf_pvt_dZdp($D48,AJ$36,gg,zcor)*100</f>
        <v>0.85282325744673315</v>
      </c>
      <c r="AK95" s="1" cm="1">
        <f t="array" ref="AK95">[1]!unf_pvt_dZdp($D48,AK$36,gg,zcor)*100</f>
        <v>0.89955329894975122</v>
      </c>
    </row>
    <row r="96" spans="5:37" x14ac:dyDescent="0.3">
      <c r="E96" t="str">
        <f t="shared" si="4"/>
        <v>t=110 C</v>
      </c>
      <c r="F96" s="1" cm="1">
        <f t="array" ref="F96">[1]!unf_pvt_dZdp($D49,F$36,gg,zcor)*100</f>
        <v>-1.2383460998544038</v>
      </c>
      <c r="G96" s="1" cm="1">
        <f t="array" ref="G96">[1]!unf_pvt_dZdp($D49,G$36,gg,zcor)*100</f>
        <v>-1.2149810791028948</v>
      </c>
      <c r="H96" s="1" cm="1">
        <f t="array" ref="H96">[1]!unf_pvt_dZdp($D49,H$36,gg,zcor)*100</f>
        <v>-1.1799335479723005</v>
      </c>
      <c r="I96" s="1" cm="1">
        <f t="array" ref="I96">[1]!unf_pvt_dZdp($D49,I$36,gg,zcor)*100</f>
        <v>-1.1215209960946382</v>
      </c>
      <c r="J96" s="1" cm="1">
        <f t="array" ref="J96">[1]!unf_pvt_dZdp($D49,J$36,gg,zcor)*100</f>
        <v>-1.0747909545871792</v>
      </c>
      <c r="K96" s="1" cm="1">
        <f t="array" ref="K96">[1]!unf_pvt_dZdp($D49,K$36,gg,zcor)*100</f>
        <v>-1.0280609130863816</v>
      </c>
      <c r="L96" s="1" cm="1">
        <f t="array" ref="L96">[1]!unf_pvt_dZdp($D49,L$36,gg,zcor)*100</f>
        <v>-0.95796585082963404</v>
      </c>
      <c r="M96" s="1" cm="1">
        <f t="array" ref="M96">[1]!unf_pvt_dZdp($D49,M$36,gg,zcor)*100</f>
        <v>-0.88787078857510693</v>
      </c>
      <c r="N96" s="1" cm="1">
        <f t="array" ref="N96">[1]!unf_pvt_dZdp($D49,N$36,gg,zcor)*100</f>
        <v>-0.82945823669300367</v>
      </c>
      <c r="O96" s="1" cm="1">
        <f t="array" ref="O96">[1]!unf_pvt_dZdp($D49,O$36,gg,zcor)*100</f>
        <v>-0.74768066406161182</v>
      </c>
      <c r="P96" s="1" cm="1">
        <f t="array" ref="P96">[1]!unf_pvt_dZdp($D49,P$36,gg,zcor)*100</f>
        <v>-0.66590309143021997</v>
      </c>
      <c r="Q96" s="1" cm="1">
        <f t="array" ref="Q96">[1]!unf_pvt_dZdp($D49,Q$36,gg,zcor)*100</f>
        <v>-0.57244300842196338</v>
      </c>
      <c r="R96" s="1" cm="1">
        <f t="array" ref="R96">[1]!unf_pvt_dZdp($D49,R$36,gg,zcor)*100</f>
        <v>-0.49066543579057154</v>
      </c>
      <c r="S96" s="1" cm="1">
        <f t="array" ref="S96">[1]!unf_pvt_dZdp($D49,S$36,gg,zcor)*100</f>
        <v>-0.39720535278453539</v>
      </c>
      <c r="T96" s="1" cm="1">
        <f t="array" ref="T96">[1]!unf_pvt_dZdp($D49,T$36,gg,zcor)*100</f>
        <v>-0.3037452697762788</v>
      </c>
      <c r="U96" s="1" cm="1">
        <f t="array" ref="U96">[1]!unf_pvt_dZdp($D49,U$36,gg,zcor)*100</f>
        <v>-0.22196769714488696</v>
      </c>
      <c r="V96" s="1" cm="1">
        <f t="array" ref="V96">[1]!unf_pvt_dZdp($D49,V$36,gg,zcor)*100</f>
        <v>-0.12850761413440992</v>
      </c>
      <c r="W96" s="1" cm="1">
        <f t="array" ref="W96">[1]!unf_pvt_dZdp($D49,W$36,gg,zcor)*100</f>
        <v>-3.5047531126153331E-2</v>
      </c>
      <c r="X96" s="1" cm="1">
        <f t="array" ref="X96">[1]!unf_pvt_dZdp($D49,X$36,gg,zcor)*100</f>
        <v>4.6730041503018072E-2</v>
      </c>
      <c r="Y96" s="1" cm="1">
        <f t="array" ref="Y96">[1]!unf_pvt_dZdp($D49,Y$36,gg,zcor)*100</f>
        <v>0.12850761413663037</v>
      </c>
      <c r="Z96" s="1" cm="1">
        <f t="array" ref="Z96">[1]!unf_pvt_dZdp($D49,Z$36,gg,zcor)*100</f>
        <v>0.22196769714266651</v>
      </c>
      <c r="AA96" s="1" cm="1">
        <f t="array" ref="AA96">[1]!unf_pvt_dZdp($D49,AA$36,gg,zcor)*100</f>
        <v>0.29206275940163451</v>
      </c>
      <c r="AB96" s="1" cm="1">
        <f t="array" ref="AB96">[1]!unf_pvt_dZdp($D49,AB$36,gg,zcor)*100</f>
        <v>0.36215782165394117</v>
      </c>
      <c r="AC96" s="1" cm="1">
        <f t="array" ref="AC96">[1]!unf_pvt_dZdp($D49,AC$36,gg,zcor)*100</f>
        <v>0.43225288391068872</v>
      </c>
      <c r="AD96" s="1" cm="1">
        <f t="array" ref="AD96">[1]!unf_pvt_dZdp($D49,AD$36,gg,zcor)*100</f>
        <v>0.50234794616521583</v>
      </c>
      <c r="AE96" s="1" cm="1">
        <f t="array" ref="AE96">[1]!unf_pvt_dZdp($D49,AE$36,gg,zcor)*100</f>
        <v>0.56076049804509864</v>
      </c>
      <c r="AF96" s="1" cm="1">
        <f t="array" ref="AF96">[1]!unf_pvt_dZdp($D49,AF$36,gg,zcor)*100</f>
        <v>0.61917304992942235</v>
      </c>
      <c r="AG96" s="1" cm="1">
        <f t="array" ref="AG96">[1]!unf_pvt_dZdp($D49,AG$36,gg,zcor)*100</f>
        <v>0.66590309143021997</v>
      </c>
      <c r="AH96" s="1" cm="1">
        <f t="array" ref="AH96">[1]!unf_pvt_dZdp($D49,AH$36,gg,zcor)*100</f>
        <v>0.71263313293323804</v>
      </c>
      <c r="AI96" s="1" cm="1">
        <f t="array" ref="AI96">[1]!unf_pvt_dZdp($D49,AI$36,gg,zcor)*100</f>
        <v>0.75936317443847656</v>
      </c>
      <c r="AJ96" s="1" cm="1">
        <f t="array" ref="AJ96">[1]!unf_pvt_dZdp($D49,AJ$36,gg,zcor)*100</f>
        <v>0.80609321594149463</v>
      </c>
      <c r="AK96" s="1" cm="1">
        <f t="array" ref="AK96">[1]!unf_pvt_dZdp($D49,AK$36,gg,zcor)*100</f>
        <v>0.84114074706764796</v>
      </c>
    </row>
    <row r="97" spans="5:37" x14ac:dyDescent="0.3">
      <c r="E97" t="str">
        <f t="shared" si="4"/>
        <v>t=120 C</v>
      </c>
      <c r="F97" s="1" cm="1">
        <f t="array" ref="F97">[1]!unf_pvt_dZdp($D50,F$36,gg,zcor)*100</f>
        <v>-1.1448860168439268</v>
      </c>
      <c r="G97" s="1" cm="1">
        <f t="array" ref="G97">[1]!unf_pvt_dZdp($D50,G$36,gg,zcor)*100</f>
        <v>-1.0981559753409087</v>
      </c>
      <c r="H97" s="1" cm="1">
        <f t="array" ref="H97">[1]!unf_pvt_dZdp($D50,H$36,gg,zcor)*100</f>
        <v>-1.0631084442125349</v>
      </c>
      <c r="I97" s="1" cm="1">
        <f t="array" ref="I97">[1]!unf_pvt_dZdp($D50,I$36,gg,zcor)*100</f>
        <v>-1.0163784027072964</v>
      </c>
      <c r="J97" s="1" cm="1">
        <f t="array" ref="J97">[1]!unf_pvt_dZdp($D50,J$36,gg,zcor)*100</f>
        <v>-0.96964836120649878</v>
      </c>
      <c r="K97" s="1" cm="1">
        <f t="array" ref="K97">[1]!unf_pvt_dZdp($D50,K$36,gg,zcor)*100</f>
        <v>-0.91123580932439552</v>
      </c>
      <c r="L97" s="1" cm="1">
        <f t="array" ref="L97">[1]!unf_pvt_dZdp($D50,L$36,gg,zcor)*100</f>
        <v>-0.86450576782137745</v>
      </c>
      <c r="M97" s="1" cm="1">
        <f t="array" ref="M97">[1]!unf_pvt_dZdp($D50,M$36,gg,zcor)*100</f>
        <v>-0.79441070556685034</v>
      </c>
      <c r="N97" s="1" cm="1">
        <f t="array" ref="N97">[1]!unf_pvt_dZdp($D50,N$36,gg,zcor)*100</f>
        <v>-0.72431564331010279</v>
      </c>
      <c r="O97" s="1" cm="1">
        <f t="array" ref="O97">[1]!unf_pvt_dZdp($D50,O$36,gg,zcor)*100</f>
        <v>-0.65422058105557568</v>
      </c>
      <c r="P97" s="1" cm="1">
        <f t="array" ref="P97">[1]!unf_pvt_dZdp($D50,P$36,gg,zcor)*100</f>
        <v>-0.58412551879882813</v>
      </c>
      <c r="Q97" s="1" cm="1">
        <f t="array" ref="Q97">[1]!unf_pvt_dZdp($D50,Q$36,gg,zcor)*100</f>
        <v>-0.51403045654430102</v>
      </c>
      <c r="R97" s="1" cm="1">
        <f t="array" ref="R97">[1]!unf_pvt_dZdp($D50,R$36,gg,zcor)*100</f>
        <v>-0.42057037353604443</v>
      </c>
      <c r="S97" s="1" cm="1">
        <f t="array" ref="S97">[1]!unf_pvt_dZdp($D50,S$36,gg,zcor)*100</f>
        <v>-0.33879280090465258</v>
      </c>
      <c r="T97" s="1" cm="1">
        <f t="array" ref="T97">[1]!unf_pvt_dZdp($D50,T$36,gg,zcor)*100</f>
        <v>-0.25701522827104029</v>
      </c>
      <c r="U97" s="1" cm="1">
        <f t="array" ref="U97">[1]!unf_pvt_dZdp($D50,U$36,gg,zcor)*100</f>
        <v>-0.17523765563964844</v>
      </c>
      <c r="V97" s="1" cm="1">
        <f t="array" ref="V97">[1]!unf_pvt_dZdp($D50,V$36,gg,zcor)*100</f>
        <v>-0.10514259338512133</v>
      </c>
      <c r="W97" s="1" cm="1">
        <f t="array" ref="W97">[1]!unf_pvt_dZdp($D50,W$36,gg,zcor)*100</f>
        <v>-2.3365020751509036E-2</v>
      </c>
      <c r="X97" s="1" cm="1">
        <f t="array" ref="X97">[1]!unf_pvt_dZdp($D50,X$36,gg,zcor)*100</f>
        <v>7.0095062256747553E-2</v>
      </c>
      <c r="Y97" s="1" cm="1">
        <f t="array" ref="Y97">[1]!unf_pvt_dZdp($D50,Y$36,gg,zcor)*100</f>
        <v>0.14019012451127466</v>
      </c>
      <c r="Z97" s="1" cm="1">
        <f t="array" ref="Z97">[1]!unf_pvt_dZdp($D50,Z$36,gg,zcor)*100</f>
        <v>0.21028518676802221</v>
      </c>
      <c r="AA97" s="1" cm="1">
        <f t="array" ref="AA97">[1]!unf_pvt_dZdp($D50,AA$36,gg,zcor)*100</f>
        <v>0.28038024902254932</v>
      </c>
      <c r="AB97" s="1" cm="1">
        <f t="array" ref="AB97">[1]!unf_pvt_dZdp($D50,AB$36,gg,zcor)*100</f>
        <v>0.35047531127929688</v>
      </c>
      <c r="AC97" s="1" cm="1">
        <f t="array" ref="AC97">[1]!unf_pvt_dZdp($D50,AC$36,gg,zcor)*100</f>
        <v>0.40888786315917969</v>
      </c>
      <c r="AD97" s="1" cm="1">
        <f t="array" ref="AD97">[1]!unf_pvt_dZdp($D50,AD$36,gg,zcor)*100</f>
        <v>0.47898292541370679</v>
      </c>
      <c r="AE97" s="1" cm="1">
        <f t="array" ref="AE97">[1]!unf_pvt_dZdp($D50,AE$36,gg,zcor)*100</f>
        <v>0.52571296691894531</v>
      </c>
      <c r="AF97" s="1" cm="1">
        <f t="array" ref="AF97">[1]!unf_pvt_dZdp($D50,AF$36,gg,zcor)*100</f>
        <v>0.58412551879882813</v>
      </c>
      <c r="AG97" s="1" cm="1">
        <f t="array" ref="AG97">[1]!unf_pvt_dZdp($D50,AG$36,gg,zcor)*100</f>
        <v>0.63085556030406664</v>
      </c>
      <c r="AH97" s="1" cm="1">
        <f t="array" ref="AH97">[1]!unf_pvt_dZdp($D50,AH$36,gg,zcor)*100</f>
        <v>0.67758560180486427</v>
      </c>
      <c r="AI97" s="1" cm="1">
        <f t="array" ref="AI97">[1]!unf_pvt_dZdp($D50,AI$36,gg,zcor)*100</f>
        <v>0.72431564331010279</v>
      </c>
      <c r="AJ97" s="1" cm="1">
        <f t="array" ref="AJ97">[1]!unf_pvt_dZdp($D50,AJ$36,gg,zcor)*100</f>
        <v>0.75936317444069701</v>
      </c>
      <c r="AK97" s="1" cm="1">
        <f t="array" ref="AK97">[1]!unf_pvt_dZdp($D50,AK$36,gg,zcor)*100</f>
        <v>0.80609321594371508</v>
      </c>
    </row>
    <row r="98" spans="5:37" x14ac:dyDescent="0.3">
      <c r="E98" t="str">
        <f t="shared" si="4"/>
        <v>t=130 C</v>
      </c>
      <c r="F98" s="1" cm="1">
        <f t="array" ref="F98">[1]!unf_pvt_dZdp($D51,F$36,gg,zcor)*100</f>
        <v>-1.0397434234632463</v>
      </c>
      <c r="G98" s="1" cm="1">
        <f t="array" ref="G98">[1]!unf_pvt_dZdp($D51,G$36,gg,zcor)*100</f>
        <v>-1.0163784027095168</v>
      </c>
      <c r="H98" s="1" cm="1">
        <f t="array" ref="H98">[1]!unf_pvt_dZdp($D51,H$36,gg,zcor)*100</f>
        <v>-0.96964836120871922</v>
      </c>
      <c r="I98" s="1" cm="1">
        <f t="array" ref="I98">[1]!unf_pvt_dZdp($D51,I$36,gg,zcor)*100</f>
        <v>-0.92291831970348071</v>
      </c>
      <c r="J98" s="1" cm="1">
        <f t="array" ref="J98">[1]!unf_pvt_dZdp($D51,J$36,gg,zcor)*100</f>
        <v>-0.87618827819824219</v>
      </c>
      <c r="K98" s="1" cm="1">
        <f t="array" ref="K98">[1]!unf_pvt_dZdp($D51,K$36,gg,zcor)*100</f>
        <v>-0.81777572631613893</v>
      </c>
      <c r="L98" s="1" cm="1">
        <f t="array" ref="L98">[1]!unf_pvt_dZdp($D51,L$36,gg,zcor)*100</f>
        <v>-0.7710456848153413</v>
      </c>
      <c r="M98" s="1" cm="1">
        <f t="array" ref="M98">[1]!unf_pvt_dZdp($D51,M$36,gg,zcor)*100</f>
        <v>-0.71263313293545849</v>
      </c>
      <c r="N98" s="1" cm="1">
        <f t="array" ref="N98">[1]!unf_pvt_dZdp($D51,N$36,gg,zcor)*100</f>
        <v>-0.64253807068093138</v>
      </c>
      <c r="O98" s="1" cm="1">
        <f t="array" ref="O98">[1]!unf_pvt_dZdp($D51,O$36,gg,zcor)*100</f>
        <v>-0.57244300842196338</v>
      </c>
      <c r="P98" s="1" cm="1">
        <f t="array" ref="P98">[1]!unf_pvt_dZdp($D51,P$36,gg,zcor)*100</f>
        <v>-0.51403045654208057</v>
      </c>
      <c r="Q98" s="1" cm="1">
        <f t="array" ref="Q98">[1]!unf_pvt_dZdp($D51,Q$36,gg,zcor)*100</f>
        <v>-0.43225288391068872</v>
      </c>
      <c r="R98" s="1" cm="1">
        <f t="array" ref="R98">[1]!unf_pvt_dZdp($D51,R$36,gg,zcor)*100</f>
        <v>-0.36215782165616162</v>
      </c>
      <c r="S98" s="1" cm="1">
        <f t="array" ref="S98">[1]!unf_pvt_dZdp($D51,S$36,gg,zcor)*100</f>
        <v>-0.29206275939941406</v>
      </c>
      <c r="T98" s="1" cm="1">
        <f t="array" ref="T98">[1]!unf_pvt_dZdp($D51,T$36,gg,zcor)*100</f>
        <v>-0.22196769714488696</v>
      </c>
      <c r="U98" s="1" cm="1">
        <f t="array" ref="U98">[1]!unf_pvt_dZdp($D51,U$36,gg,zcor)*100</f>
        <v>-0.14019012451349511</v>
      </c>
      <c r="V98" s="1" cm="1">
        <f t="array" ref="V98">[1]!unf_pvt_dZdp($D51,V$36,gg,zcor)*100</f>
        <v>-5.8412551879882813E-2</v>
      </c>
      <c r="W98" s="1" cm="1">
        <f t="array" ref="W98">[1]!unf_pvt_dZdp($D51,W$36,gg,zcor)*100</f>
        <v>1.1682510374644295E-2</v>
      </c>
      <c r="X98" s="1" cm="1">
        <f t="array" ref="X98">[1]!unf_pvt_dZdp($D51,X$36,gg,zcor)*100</f>
        <v>8.1777572633612294E-2</v>
      </c>
      <c r="Y98" s="1" cm="1">
        <f t="array" ref="Y98">[1]!unf_pvt_dZdp($D51,Y$36,gg,zcor)*100</f>
        <v>0.1518726348881394</v>
      </c>
      <c r="Z98" s="1" cm="1">
        <f t="array" ref="Z98">[1]!unf_pvt_dZdp($D51,Z$36,gg,zcor)*100</f>
        <v>0.22196769714488696</v>
      </c>
      <c r="AA98" s="1" cm="1">
        <f t="array" ref="AA98">[1]!unf_pvt_dZdp($D51,AA$36,gg,zcor)*100</f>
        <v>0.29206275939941406</v>
      </c>
      <c r="AB98" s="1" cm="1">
        <f t="array" ref="AB98">[1]!unf_pvt_dZdp($D51,AB$36,gg,zcor)*100</f>
        <v>0.35047531127929688</v>
      </c>
      <c r="AC98" s="1" cm="1">
        <f t="array" ref="AC98">[1]!unf_pvt_dZdp($D51,AC$36,gg,zcor)*100</f>
        <v>0.40888786316140013</v>
      </c>
      <c r="AD98" s="1" cm="1">
        <f t="array" ref="AD98">[1]!unf_pvt_dZdp($D51,AD$36,gg,zcor)*100</f>
        <v>0.4673004150390625</v>
      </c>
      <c r="AE98" s="1" cm="1">
        <f t="array" ref="AE98">[1]!unf_pvt_dZdp($D51,AE$36,gg,zcor)*100</f>
        <v>0.50234794616743628</v>
      </c>
      <c r="AF98" s="1" cm="1">
        <f t="array" ref="AF98">[1]!unf_pvt_dZdp($D51,AF$36,gg,zcor)*100</f>
        <v>0.57244300842196338</v>
      </c>
      <c r="AG98" s="1" cm="1">
        <f t="array" ref="AG98">[1]!unf_pvt_dZdp($D51,AG$36,gg,zcor)*100</f>
        <v>0.60749053955033716</v>
      </c>
      <c r="AH98" s="1" cm="1">
        <f t="array" ref="AH98">[1]!unf_pvt_dZdp($D51,AH$36,gg,zcor)*100</f>
        <v>0.65422058105335523</v>
      </c>
      <c r="AI98" s="1" cm="1">
        <f t="array" ref="AI98">[1]!unf_pvt_dZdp($D51,AI$36,gg,zcor)*100</f>
        <v>0.68926811218394946</v>
      </c>
      <c r="AJ98" s="1" cm="1">
        <f t="array" ref="AJ98">[1]!unf_pvt_dZdp($D51,AJ$36,gg,zcor)*100</f>
        <v>0.73599815368696753</v>
      </c>
      <c r="AK98" s="1" cm="1">
        <f t="array" ref="AK98">[1]!unf_pvt_dZdp($D51,AK$36,gg,zcor)*100</f>
        <v>0.75936317443847656</v>
      </c>
    </row>
    <row r="99" spans="5:37" x14ac:dyDescent="0.3">
      <c r="E99" t="str">
        <f t="shared" si="4"/>
        <v>t=140 C</v>
      </c>
      <c r="F99" s="1" cm="1">
        <f t="array" ref="F99">[1]!unf_pvt_dZdp($D52,F$36,gg,zcor)*100</f>
        <v>-0.95796585082963404</v>
      </c>
      <c r="G99" s="1" cm="1">
        <f t="array" ref="G99">[1]!unf_pvt_dZdp($D52,G$36,gg,zcor)*100</f>
        <v>-0.92291831970126026</v>
      </c>
      <c r="H99" s="1" cm="1">
        <f t="array" ref="H99">[1]!unf_pvt_dZdp($D52,H$36,gg,zcor)*100</f>
        <v>-0.87618827819602174</v>
      </c>
      <c r="I99" s="1" cm="1">
        <f t="array" ref="I99">[1]!unf_pvt_dZdp($D52,I$36,gg,zcor)*100</f>
        <v>-0.82945823669300367</v>
      </c>
      <c r="J99" s="1" cm="1">
        <f t="array" ref="J99">[1]!unf_pvt_dZdp($D52,J$36,gg,zcor)*100</f>
        <v>-0.79441070556685034</v>
      </c>
      <c r="K99" s="1" cm="1">
        <f t="array" ref="K99">[1]!unf_pvt_dZdp($D52,K$36,gg,zcor)*100</f>
        <v>-0.73599815368696753</v>
      </c>
      <c r="L99" s="1" cm="1">
        <f t="array" ref="L99">[1]!unf_pvt_dZdp($D52,L$36,gg,zcor)*100</f>
        <v>-0.67758560180930516</v>
      </c>
      <c r="M99" s="1" cm="1">
        <f t="array" ref="M99">[1]!unf_pvt_dZdp($D52,M$36,gg,zcor)*100</f>
        <v>-0.6308555603018462</v>
      </c>
      <c r="N99" s="1" cm="1">
        <f t="array" ref="N99">[1]!unf_pvt_dZdp($D52,N$36,gg,zcor)*100</f>
        <v>-0.56076049804731909</v>
      </c>
      <c r="O99" s="1" cm="1">
        <f t="array" ref="O99">[1]!unf_pvt_dZdp($D52,O$36,gg,zcor)*100</f>
        <v>-0.50234794616521583</v>
      </c>
      <c r="P99" s="1" cm="1">
        <f t="array" ref="P99">[1]!unf_pvt_dZdp($D52,P$36,gg,zcor)*100</f>
        <v>-0.43225288390846828</v>
      </c>
      <c r="Q99" s="1" cm="1">
        <f t="array" ref="Q99">[1]!unf_pvt_dZdp($D52,Q$36,gg,zcor)*100</f>
        <v>-0.37384033203080591</v>
      </c>
      <c r="R99" s="1" cm="1">
        <f t="array" ref="R99">[1]!unf_pvt_dZdp($D52,R$36,gg,zcor)*100</f>
        <v>-0.30374526977849925</v>
      </c>
      <c r="S99" s="1" cm="1">
        <f t="array" ref="S99">[1]!unf_pvt_dZdp($D52,S$36,gg,zcor)*100</f>
        <v>-0.24533271789639599</v>
      </c>
      <c r="T99" s="1" cm="1">
        <f t="array" ref="T99">[1]!unf_pvt_dZdp($D52,T$36,gg,zcor)*100</f>
        <v>-0.16355514526500414</v>
      </c>
      <c r="U99" s="1" cm="1">
        <f t="array" ref="U99">[1]!unf_pvt_dZdp($D52,U$36,gg,zcor)*100</f>
        <v>-0.10514259338512133</v>
      </c>
      <c r="V99" s="1" cm="1">
        <f t="array" ref="V99">[1]!unf_pvt_dZdp($D52,V$36,gg,zcor)*100</f>
        <v>-3.5047531128373777E-2</v>
      </c>
      <c r="W99" s="1" cm="1">
        <f t="array" ref="W99">[1]!unf_pvt_dZdp($D52,W$36,gg,zcor)*100</f>
        <v>3.5047531128373777E-2</v>
      </c>
      <c r="X99" s="1" cm="1">
        <f t="array" ref="X99">[1]!unf_pvt_dZdp($D52,X$36,gg,zcor)*100</f>
        <v>0.10514259338512133</v>
      </c>
      <c r="Y99" s="1" cm="1">
        <f t="array" ref="Y99">[1]!unf_pvt_dZdp($D52,Y$36,gg,zcor)*100</f>
        <v>0.1635551452627837</v>
      </c>
      <c r="Z99" s="1" cm="1">
        <f t="array" ref="Z99">[1]!unf_pvt_dZdp($D52,Z$36,gg,zcor)*100</f>
        <v>0.22196769714488696</v>
      </c>
      <c r="AA99" s="1" cm="1">
        <f t="array" ref="AA99">[1]!unf_pvt_dZdp($D52,AA$36,gg,zcor)*100</f>
        <v>0.29206275939719362</v>
      </c>
      <c r="AB99" s="1" cm="1">
        <f t="array" ref="AB99">[1]!unf_pvt_dZdp($D52,AB$36,gg,zcor)*100</f>
        <v>0.35047531127929688</v>
      </c>
      <c r="AC99" s="1" cm="1">
        <f t="array" ref="AC99">[1]!unf_pvt_dZdp($D52,AC$36,gg,zcor)*100</f>
        <v>0.39720535278231495</v>
      </c>
      <c r="AD99" s="1" cm="1">
        <f t="array" ref="AD99">[1]!unf_pvt_dZdp($D52,AD$36,gg,zcor)*100</f>
        <v>0.44393539428533302</v>
      </c>
      <c r="AE99" s="1" cm="1">
        <f t="array" ref="AE99">[1]!unf_pvt_dZdp($D52,AE$36,gg,zcor)*100</f>
        <v>0.49066543579057154</v>
      </c>
      <c r="AF99" s="1" cm="1">
        <f t="array" ref="AF99">[1]!unf_pvt_dZdp($D52,AF$36,gg,zcor)*100</f>
        <v>0.54907798767267479</v>
      </c>
      <c r="AG99" s="1" cm="1">
        <f t="array" ref="AG99">[1]!unf_pvt_dZdp($D52,AG$36,gg,zcor)*100</f>
        <v>0.58412551879882813</v>
      </c>
      <c r="AH99" s="1" cm="1">
        <f t="array" ref="AH99">[1]!unf_pvt_dZdp($D52,AH$36,gg,zcor)*100</f>
        <v>0.6191730499272019</v>
      </c>
      <c r="AI99" s="1" cm="1">
        <f t="array" ref="AI99">[1]!unf_pvt_dZdp($D52,AI$36,gg,zcor)*100</f>
        <v>0.66590309143021997</v>
      </c>
      <c r="AJ99" s="1" cm="1">
        <f t="array" ref="AJ99">[1]!unf_pvt_dZdp($D52,AJ$36,gg,zcor)*100</f>
        <v>0.70095062255859375</v>
      </c>
      <c r="AK99" s="1" cm="1">
        <f t="array" ref="AK99">[1]!unf_pvt_dZdp($D52,AK$36,gg,zcor)*100</f>
        <v>0.73599815368918797</v>
      </c>
    </row>
    <row r="100" spans="5:37" x14ac:dyDescent="0.3">
      <c r="E100" t="str">
        <f t="shared" si="4"/>
        <v>t=150 C</v>
      </c>
      <c r="F100" s="1" cm="1">
        <f t="array" ref="F100">[1]!unf_pvt_dZdp($D53,F$36,gg,zcor)*100</f>
        <v>-0.87618827819824219</v>
      </c>
      <c r="G100" s="1" cm="1">
        <f t="array" ref="G100">[1]!unf_pvt_dZdp($D53,G$36,gg,zcor)*100</f>
        <v>-0.84114074706986841</v>
      </c>
      <c r="H100" s="1" cm="1">
        <f t="array" ref="H100">[1]!unf_pvt_dZdp($D53,H$36,gg,zcor)*100</f>
        <v>-0.80609321594149463</v>
      </c>
      <c r="I100" s="1" cm="1">
        <f t="array" ref="I100">[1]!unf_pvt_dZdp($D53,I$36,gg,zcor)*100</f>
        <v>-0.75936317444069701</v>
      </c>
      <c r="J100" s="1" cm="1">
        <f t="array" ref="J100">[1]!unf_pvt_dZdp($D53,J$36,gg,zcor)*100</f>
        <v>-0.71263313293323804</v>
      </c>
      <c r="K100" s="1" cm="1">
        <f t="array" ref="K100">[1]!unf_pvt_dZdp($D53,K$36,gg,zcor)*100</f>
        <v>-0.65422058105335523</v>
      </c>
      <c r="L100" s="1" cm="1">
        <f t="array" ref="L100">[1]!unf_pvt_dZdp($D53,L$36,gg,zcor)*100</f>
        <v>-0.60749053955255761</v>
      </c>
      <c r="M100" s="1" cm="1">
        <f t="array" ref="M100">[1]!unf_pvt_dZdp($D53,M$36,gg,zcor)*100</f>
        <v>-0.56076049804731909</v>
      </c>
      <c r="N100" s="1" cm="1">
        <f t="array" ref="N100">[1]!unf_pvt_dZdp($D53,N$36,gg,zcor)*100</f>
        <v>-0.50234794616743628</v>
      </c>
      <c r="O100" s="1" cm="1">
        <f t="array" ref="O100">[1]!unf_pvt_dZdp($D53,O$36,gg,zcor)*100</f>
        <v>-0.44393539428533302</v>
      </c>
      <c r="P100" s="1" cm="1">
        <f t="array" ref="P100">[1]!unf_pvt_dZdp($D53,P$36,gg,zcor)*100</f>
        <v>-0.37384033203080591</v>
      </c>
      <c r="Q100" s="1" cm="1">
        <f t="array" ref="Q100">[1]!unf_pvt_dZdp($D53,Q$36,gg,zcor)*100</f>
        <v>-0.32711029052556739</v>
      </c>
      <c r="R100" s="1" cm="1">
        <f t="array" ref="R100">[1]!unf_pvt_dZdp($D53,R$36,gg,zcor)*100</f>
        <v>-0.25701522827326073</v>
      </c>
      <c r="S100" s="1" cm="1">
        <f t="array" ref="S100">[1]!unf_pvt_dZdp($D53,S$36,gg,zcor)*100</f>
        <v>-0.19860267638893703</v>
      </c>
      <c r="T100" s="1" cm="1">
        <f t="array" ref="T100">[1]!unf_pvt_dZdp($D53,T$36,gg,zcor)*100</f>
        <v>-0.12850761413663037</v>
      </c>
      <c r="U100" s="1" cm="1">
        <f t="array" ref="U100">[1]!unf_pvt_dZdp($D53,U$36,gg,zcor)*100</f>
        <v>-7.0095062254527107E-2</v>
      </c>
      <c r="V100" s="1" cm="1">
        <f t="array" ref="V100">[1]!unf_pvt_dZdp($D53,V$36,gg,zcor)*100</f>
        <v>0</v>
      </c>
      <c r="W100" s="1" cm="1">
        <f t="array" ref="W100">[1]!unf_pvt_dZdp($D53,W$36,gg,zcor)*100</f>
        <v>5.8412551879882813E-2</v>
      </c>
      <c r="X100" s="1" cm="1">
        <f t="array" ref="X100">[1]!unf_pvt_dZdp($D53,X$36,gg,zcor)*100</f>
        <v>0.12850761413663037</v>
      </c>
      <c r="Y100" s="1" cm="1">
        <f t="array" ref="Y100">[1]!unf_pvt_dZdp($D53,Y$36,gg,zcor)*100</f>
        <v>0.17523765563964844</v>
      </c>
      <c r="Z100" s="1" cm="1">
        <f t="array" ref="Z100">[1]!unf_pvt_dZdp($D53,Z$36,gg,zcor)*100</f>
        <v>0.24533271789417554</v>
      </c>
      <c r="AA100" s="1" cm="1">
        <f t="array" ref="AA100">[1]!unf_pvt_dZdp($D53,AA$36,gg,zcor)*100</f>
        <v>0.29206275940163451</v>
      </c>
      <c r="AB100" s="1" cm="1">
        <f t="array" ref="AB100">[1]!unf_pvt_dZdp($D53,AB$36,gg,zcor)*100</f>
        <v>0.33879280090243213</v>
      </c>
      <c r="AC100" s="1" cm="1">
        <f t="array" ref="AC100">[1]!unf_pvt_dZdp($D53,AC$36,gg,zcor)*100</f>
        <v>0.38552284240545021</v>
      </c>
      <c r="AD100" s="1" cm="1">
        <f t="array" ref="AD100">[1]!unf_pvt_dZdp($D53,AD$36,gg,zcor)*100</f>
        <v>0.43225288391068872</v>
      </c>
      <c r="AE100" s="1" cm="1">
        <f t="array" ref="AE100">[1]!unf_pvt_dZdp($D53,AE$36,gg,zcor)*100</f>
        <v>0.47898292541370679</v>
      </c>
      <c r="AF100" s="1" cm="1">
        <f t="array" ref="AF100">[1]!unf_pvt_dZdp($D53,AF$36,gg,zcor)*100</f>
        <v>0.52571296691672487</v>
      </c>
      <c r="AG100" s="1" cm="1">
        <f t="array" ref="AG100">[1]!unf_pvt_dZdp($D53,AG$36,gg,zcor)*100</f>
        <v>0.57244300842418383</v>
      </c>
      <c r="AH100" s="1" cm="1">
        <f t="array" ref="AH100">[1]!unf_pvt_dZdp($D53,AH$36,gg,zcor)*100</f>
        <v>0.60749053955033716</v>
      </c>
      <c r="AI100" s="1" cm="1">
        <f t="array" ref="AI100">[1]!unf_pvt_dZdp($D53,AI$36,gg,zcor)*100</f>
        <v>0.64253807067871094</v>
      </c>
      <c r="AJ100" s="1" cm="1">
        <f t="array" ref="AJ100">[1]!unf_pvt_dZdp($D53,AJ$36,gg,zcor)*100</f>
        <v>0.67758560180708471</v>
      </c>
      <c r="AK100" s="1" cm="1">
        <f t="array" ref="AK100">[1]!unf_pvt_dZdp($D53,AK$36,gg,zcor)*100</f>
        <v>0.70095062255859375</v>
      </c>
    </row>
    <row r="101" spans="5:37" x14ac:dyDescent="0.3">
      <c r="E101" t="str">
        <f t="shared" si="4"/>
        <v>t=160 C</v>
      </c>
      <c r="F101" s="1" cm="1">
        <f t="array" ref="F101">[1]!unf_pvt_dZdp($D54,F$36,gg,zcor)*100</f>
        <v>-0.80609321594149463</v>
      </c>
      <c r="G101" s="1" cm="1">
        <f t="array" ref="G101">[1]!unf_pvt_dZdp($D54,G$36,gg,zcor)*100</f>
        <v>-0.75936317443847656</v>
      </c>
      <c r="H101" s="1" cm="1">
        <f t="array" ref="H101">[1]!unf_pvt_dZdp($D54,H$36,gg,zcor)*100</f>
        <v>-0.72431564330788234</v>
      </c>
      <c r="I101" s="1" cm="1">
        <f t="array" ref="I101">[1]!unf_pvt_dZdp($D54,I$36,gg,zcor)*100</f>
        <v>-0.68926811218394946</v>
      </c>
      <c r="J101" s="1" cm="1">
        <f t="array" ref="J101">[1]!unf_pvt_dZdp($D54,J$36,gg,zcor)*100</f>
        <v>-0.64253807068093138</v>
      </c>
      <c r="K101" s="1" cm="1">
        <f t="array" ref="K101">[1]!unf_pvt_dZdp($D54,K$36,gg,zcor)*100</f>
        <v>-0.59580802917347242</v>
      </c>
      <c r="L101" s="1" cm="1">
        <f t="array" ref="L101">[1]!unf_pvt_dZdp($D54,L$36,gg,zcor)*100</f>
        <v>-0.53739547729581005</v>
      </c>
      <c r="M101" s="1" cm="1">
        <f t="array" ref="M101">[1]!unf_pvt_dZdp($D54,M$36,gg,zcor)*100</f>
        <v>-0.49066543579057154</v>
      </c>
      <c r="N101" s="1" cm="1">
        <f t="array" ref="N101">[1]!unf_pvt_dZdp($D54,N$36,gg,zcor)*100</f>
        <v>-0.43225288391290917</v>
      </c>
      <c r="O101" s="1" cm="1">
        <f t="array" ref="O101">[1]!unf_pvt_dZdp($D54,O$36,gg,zcor)*100</f>
        <v>-0.37384033203080591</v>
      </c>
      <c r="P101" s="1" cm="1">
        <f t="array" ref="P101">[1]!unf_pvt_dZdp($D54,P$36,gg,zcor)*100</f>
        <v>-0.32711029052778784</v>
      </c>
      <c r="Q101" s="1" cm="1">
        <f t="array" ref="Q101">[1]!unf_pvt_dZdp($D54,Q$36,gg,zcor)*100</f>
        <v>-0.26869773864790503</v>
      </c>
      <c r="R101" s="1" cm="1">
        <f t="array" ref="R101">[1]!unf_pvt_dZdp($D54,R$36,gg,zcor)*100</f>
        <v>-0.21028518676802221</v>
      </c>
      <c r="S101" s="1" cm="1">
        <f t="array" ref="S101">[1]!unf_pvt_dZdp($D54,S$36,gg,zcor)*100</f>
        <v>-0.15187263488591896</v>
      </c>
      <c r="T101" s="1" cm="1">
        <f t="array" ref="T101">[1]!unf_pvt_dZdp($D54,T$36,gg,zcor)*100</f>
        <v>-8.1777572631391848E-2</v>
      </c>
      <c r="U101" s="1" cm="1">
        <f t="array" ref="U101">[1]!unf_pvt_dZdp($D54,U$36,gg,zcor)*100</f>
        <v>-3.5047531128373777E-2</v>
      </c>
      <c r="V101" s="1" cm="1">
        <f t="array" ref="V101">[1]!unf_pvt_dZdp($D54,V$36,gg,zcor)*100</f>
        <v>3.5047531128373777E-2</v>
      </c>
      <c r="W101" s="1" cm="1">
        <f t="array" ref="W101">[1]!unf_pvt_dZdp($D54,W$36,gg,zcor)*100</f>
        <v>9.3460083008256589E-2</v>
      </c>
      <c r="X101" s="1" cm="1">
        <f t="array" ref="X101">[1]!unf_pvt_dZdp($D54,X$36,gg,zcor)*100</f>
        <v>0.14019012451127466</v>
      </c>
      <c r="Y101" s="1" cm="1">
        <f t="array" ref="Y101">[1]!unf_pvt_dZdp($D54,Y$36,gg,zcor)*100</f>
        <v>0.19860267639115747</v>
      </c>
      <c r="Z101" s="1" cm="1">
        <f t="array" ref="Z101">[1]!unf_pvt_dZdp($D54,Z$36,gg,zcor)*100</f>
        <v>0.24533271789417554</v>
      </c>
      <c r="AA101" s="1" cm="1">
        <f t="array" ref="AA101">[1]!unf_pvt_dZdp($D54,AA$36,gg,zcor)*100</f>
        <v>0.3037452697762788</v>
      </c>
      <c r="AB101" s="1" cm="1">
        <f t="array" ref="AB101">[1]!unf_pvt_dZdp($D54,AB$36,gg,zcor)*100</f>
        <v>0.33879280090243213</v>
      </c>
      <c r="AC101" s="1" cm="1">
        <f t="array" ref="AC101">[1]!unf_pvt_dZdp($D54,AC$36,gg,zcor)*100</f>
        <v>0.39720535278453539</v>
      </c>
      <c r="AD101" s="1" cm="1">
        <f t="array" ref="AD101">[1]!unf_pvt_dZdp($D54,AD$36,gg,zcor)*100</f>
        <v>0.44393539428755346</v>
      </c>
      <c r="AE101" s="1" cm="1">
        <f t="array" ref="AE101">[1]!unf_pvt_dZdp($D54,AE$36,gg,zcor)*100</f>
        <v>0.46730041503684205</v>
      </c>
      <c r="AF101" s="1" cm="1">
        <f t="array" ref="AF101">[1]!unf_pvt_dZdp($D54,AF$36,gg,zcor)*100</f>
        <v>0.51403045654208057</v>
      </c>
      <c r="AG101" s="1" cm="1">
        <f t="array" ref="AG101">[1]!unf_pvt_dZdp($D54,AG$36,gg,zcor)*100</f>
        <v>0.56076049804731909</v>
      </c>
      <c r="AH101" s="1" cm="1">
        <f t="array" ref="AH101">[1]!unf_pvt_dZdp($D54,AH$36,gg,zcor)*100</f>
        <v>0.58412551879882813</v>
      </c>
      <c r="AI101" s="1" cm="1">
        <f t="array" ref="AI101">[1]!unf_pvt_dZdp($D54,AI$36,gg,zcor)*100</f>
        <v>0.6191730499272019</v>
      </c>
      <c r="AJ101" s="1" cm="1">
        <f t="array" ref="AJ101">[1]!unf_pvt_dZdp($D54,AJ$36,gg,zcor)*100</f>
        <v>0.66590309143021997</v>
      </c>
      <c r="AK101" s="1" cm="1">
        <f t="array" ref="AK101">[1]!unf_pvt_dZdp($D54,AK$36,gg,zcor)*100</f>
        <v>0.68926811218394946</v>
      </c>
    </row>
    <row r="102" spans="5:37" x14ac:dyDescent="0.3">
      <c r="E102" t="str">
        <f t="shared" si="4"/>
        <v>t=170 C</v>
      </c>
      <c r="F102" s="1" cm="1">
        <f t="array" ref="F102">[1]!unf_pvt_dZdp($D55,F$36,gg,zcor)*100</f>
        <v>-0.74768066406383227</v>
      </c>
      <c r="G102" s="1" cm="1">
        <f t="array" ref="G102">[1]!unf_pvt_dZdp($D55,G$36,gg,zcor)*100</f>
        <v>-0.70095062255859375</v>
      </c>
      <c r="H102" s="1" cm="1">
        <f t="array" ref="H102">[1]!unf_pvt_dZdp($D55,H$36,gg,zcor)*100</f>
        <v>-0.66590309143021997</v>
      </c>
      <c r="I102" s="1" cm="1">
        <f t="array" ref="I102">[1]!unf_pvt_dZdp($D55,I$36,gg,zcor)*100</f>
        <v>-0.63085556030406664</v>
      </c>
      <c r="J102" s="1" cm="1">
        <f t="array" ref="J102">[1]!unf_pvt_dZdp($D55,J$36,gg,zcor)*100</f>
        <v>-0.57244300842196338</v>
      </c>
      <c r="K102" s="1" cm="1">
        <f t="array" ref="K102">[1]!unf_pvt_dZdp($D55,K$36,gg,zcor)*100</f>
        <v>-0.53739547729581005</v>
      </c>
      <c r="L102" s="1" cm="1">
        <f t="array" ref="L102">[1]!unf_pvt_dZdp($D55,L$36,gg,zcor)*100</f>
        <v>-0.47898292541592724</v>
      </c>
      <c r="M102" s="1" cm="1">
        <f t="array" ref="M102">[1]!unf_pvt_dZdp($D55,M$36,gg,zcor)*100</f>
        <v>-0.43225288391068872</v>
      </c>
      <c r="N102" s="1" cm="1">
        <f t="array" ref="N102">[1]!unf_pvt_dZdp($D55,N$36,gg,zcor)*100</f>
        <v>-0.38552284240767065</v>
      </c>
      <c r="O102" s="1" cm="1">
        <f t="array" ref="O102">[1]!unf_pvt_dZdp($D55,O$36,gg,zcor)*100</f>
        <v>-0.32711029052778784</v>
      </c>
      <c r="P102" s="1" cm="1">
        <f t="array" ref="P102">[1]!unf_pvt_dZdp($D55,P$36,gg,zcor)*100</f>
        <v>-0.26869773864790503</v>
      </c>
      <c r="Q102" s="1" cm="1">
        <f t="array" ref="Q102">[1]!unf_pvt_dZdp($D55,Q$36,gg,zcor)*100</f>
        <v>-0.22196769714488696</v>
      </c>
      <c r="R102" s="1" cm="1">
        <f t="array" ref="R102">[1]!unf_pvt_dZdp($D55,R$36,gg,zcor)*100</f>
        <v>-0.1635551452627837</v>
      </c>
      <c r="S102" s="1" cm="1">
        <f t="array" ref="S102">[1]!unf_pvt_dZdp($D55,S$36,gg,zcor)*100</f>
        <v>-0.11682510375976563</v>
      </c>
      <c r="T102" s="1" cm="1">
        <f t="array" ref="T102">[1]!unf_pvt_dZdp($D55,T$36,gg,zcor)*100</f>
        <v>-5.8412551879882813E-2</v>
      </c>
      <c r="U102" s="1" cm="1">
        <f t="array" ref="U102">[1]!unf_pvt_dZdp($D55,U$36,gg,zcor)*100</f>
        <v>0</v>
      </c>
      <c r="V102" s="1" cm="1">
        <f t="array" ref="V102">[1]!unf_pvt_dZdp($D55,V$36,gg,zcor)*100</f>
        <v>5.8412551882103259E-2</v>
      </c>
      <c r="W102" s="1" cm="1">
        <f t="array" ref="W102">[1]!unf_pvt_dZdp($D55,W$36,gg,zcor)*100</f>
        <v>0.10514259338290088</v>
      </c>
      <c r="X102" s="1" cm="1">
        <f t="array" ref="X102">[1]!unf_pvt_dZdp($D55,X$36,gg,zcor)*100</f>
        <v>0.16355514526500414</v>
      </c>
      <c r="Y102" s="1" cm="1">
        <f t="array" ref="Y102">[1]!unf_pvt_dZdp($D55,Y$36,gg,zcor)*100</f>
        <v>0.19860267638893703</v>
      </c>
      <c r="Z102" s="1" cm="1">
        <f t="array" ref="Z102">[1]!unf_pvt_dZdp($D55,Z$36,gg,zcor)*100</f>
        <v>0.25701522826881984</v>
      </c>
      <c r="AA102" s="1" cm="1">
        <f t="array" ref="AA102">[1]!unf_pvt_dZdp($D55,AA$36,gg,zcor)*100</f>
        <v>0.3037452697762788</v>
      </c>
      <c r="AB102" s="1" cm="1">
        <f t="array" ref="AB102">[1]!unf_pvt_dZdp($D55,AB$36,gg,zcor)*100</f>
        <v>0.35047531127929688</v>
      </c>
      <c r="AC102" s="1" cm="1">
        <f t="array" ref="AC102">[1]!unf_pvt_dZdp($D55,AC$36,gg,zcor)*100</f>
        <v>0.39720535278231495</v>
      </c>
      <c r="AD102" s="1" cm="1">
        <f t="array" ref="AD102">[1]!unf_pvt_dZdp($D55,AD$36,gg,zcor)*100</f>
        <v>0.43225288391068872</v>
      </c>
      <c r="AE102" s="1" cm="1">
        <f t="array" ref="AE102">[1]!unf_pvt_dZdp($D55,AE$36,gg,zcor)*100</f>
        <v>0.4673004150390625</v>
      </c>
      <c r="AF102" s="1" cm="1">
        <f t="array" ref="AF102">[1]!unf_pvt_dZdp($D55,AF$36,gg,zcor)*100</f>
        <v>0.50234794616743628</v>
      </c>
      <c r="AG102" s="1" cm="1">
        <f t="array" ref="AG102">[1]!unf_pvt_dZdp($D55,AG$36,gg,zcor)*100</f>
        <v>0.5490779876682339</v>
      </c>
      <c r="AH102" s="1" cm="1">
        <f t="array" ref="AH102">[1]!unf_pvt_dZdp($D55,AH$36,gg,zcor)*100</f>
        <v>0.57244300842196338</v>
      </c>
      <c r="AI102" s="1" cm="1">
        <f t="array" ref="AI102">[1]!unf_pvt_dZdp($D55,AI$36,gg,zcor)*100</f>
        <v>0.60749053955255761</v>
      </c>
      <c r="AJ102" s="1" cm="1">
        <f t="array" ref="AJ102">[1]!unf_pvt_dZdp($D55,AJ$36,gg,zcor)*100</f>
        <v>0.64253807067871094</v>
      </c>
      <c r="AK102" s="1" cm="1">
        <f t="array" ref="AK102">[1]!unf_pvt_dZdp($D55,AK$36,gg,zcor)*100</f>
        <v>0.65422058105557568</v>
      </c>
    </row>
    <row r="103" spans="5:37" x14ac:dyDescent="0.3">
      <c r="E103" t="str">
        <f t="shared" si="4"/>
        <v>t=180 C</v>
      </c>
      <c r="F103" s="1" cm="1">
        <f t="array" ref="F103">[1]!unf_pvt_dZdp($D56,F$36,gg,zcor)*100</f>
        <v>-0.67758560180930516</v>
      </c>
      <c r="G103" s="1" cm="1">
        <f t="array" ref="G103">[1]!unf_pvt_dZdp($D56,G$36,gg,zcor)*100</f>
        <v>-0.64253807067871094</v>
      </c>
      <c r="H103" s="1" cm="1">
        <f t="array" ref="H103">[1]!unf_pvt_dZdp($D56,H$36,gg,zcor)*100</f>
        <v>-0.59580802917569287</v>
      </c>
      <c r="I103" s="1" cm="1">
        <f t="array" ref="I103">[1]!unf_pvt_dZdp($D56,I$36,gg,zcor)*100</f>
        <v>-0.57244300842196338</v>
      </c>
      <c r="J103" s="1" cm="1">
        <f t="array" ref="J103">[1]!unf_pvt_dZdp($D56,J$36,gg,zcor)*100</f>
        <v>-0.52571296692116576</v>
      </c>
      <c r="K103" s="1" cm="1">
        <f t="array" ref="K103">[1]!unf_pvt_dZdp($D56,K$36,gg,zcor)*100</f>
        <v>-0.4673004150390625</v>
      </c>
      <c r="L103" s="1" cm="1">
        <f t="array" ref="L103">[1]!unf_pvt_dZdp($D56,L$36,gg,zcor)*100</f>
        <v>-0.43225288391290917</v>
      </c>
      <c r="M103" s="1" cm="1">
        <f t="array" ref="M103">[1]!unf_pvt_dZdp($D56,M$36,gg,zcor)*100</f>
        <v>-0.38552284240767065</v>
      </c>
      <c r="N103" s="1" cm="1">
        <f t="array" ref="N103">[1]!unf_pvt_dZdp($D56,N$36,gg,zcor)*100</f>
        <v>-0.33879280090243213</v>
      </c>
      <c r="O103" s="1" cm="1">
        <f t="array" ref="O103">[1]!unf_pvt_dZdp($D56,O$36,gg,zcor)*100</f>
        <v>-0.29206275940163451</v>
      </c>
      <c r="P103" s="1" cm="1">
        <f t="array" ref="P103">[1]!unf_pvt_dZdp($D56,P$36,gg,zcor)*100</f>
        <v>-0.2336502075173108</v>
      </c>
      <c r="Q103" s="1" cm="1">
        <f t="array" ref="Q103">[1]!unf_pvt_dZdp($D56,Q$36,gg,zcor)*100</f>
        <v>-0.18692016601429273</v>
      </c>
      <c r="R103" s="1" cm="1">
        <f t="array" ref="R103">[1]!unf_pvt_dZdp($D56,R$36,gg,zcor)*100</f>
        <v>-0.12850761413440992</v>
      </c>
      <c r="S103" s="1" cm="1">
        <f t="array" ref="S103">[1]!unf_pvt_dZdp($D56,S$36,gg,zcor)*100</f>
        <v>-8.1777572629171402E-2</v>
      </c>
      <c r="T103" s="1" cm="1">
        <f t="array" ref="T103">[1]!unf_pvt_dZdp($D56,T$36,gg,zcor)*100</f>
        <v>-2.3365020751509036E-2</v>
      </c>
      <c r="U103" s="1" cm="1">
        <f t="array" ref="U103">[1]!unf_pvt_dZdp($D56,U$36,gg,zcor)*100</f>
        <v>3.5047531128373777E-2</v>
      </c>
      <c r="V103" s="1" cm="1">
        <f t="array" ref="V103">[1]!unf_pvt_dZdp($D56,V$36,gg,zcor)*100</f>
        <v>8.1777572631391848E-2</v>
      </c>
      <c r="W103" s="1" cm="1">
        <f t="array" ref="W103">[1]!unf_pvt_dZdp($D56,W$36,gg,zcor)*100</f>
        <v>0.11682510375976563</v>
      </c>
      <c r="X103" s="1" cm="1">
        <f t="array" ref="X103">[1]!unf_pvt_dZdp($D56,X$36,gg,zcor)*100</f>
        <v>0.17523765563964844</v>
      </c>
      <c r="Y103" s="1" cm="1">
        <f t="array" ref="Y103">[1]!unf_pvt_dZdp($D56,Y$36,gg,zcor)*100</f>
        <v>0.22196769714488696</v>
      </c>
      <c r="Z103" s="1" cm="1">
        <f t="array" ref="Z103">[1]!unf_pvt_dZdp($D56,Z$36,gg,zcor)*100</f>
        <v>0.25701522827104029</v>
      </c>
      <c r="AA103" s="1" cm="1">
        <f t="array" ref="AA103">[1]!unf_pvt_dZdp($D56,AA$36,gg,zcor)*100</f>
        <v>0.30374526977405836</v>
      </c>
      <c r="AB103" s="1" cm="1">
        <f t="array" ref="AB103">[1]!unf_pvt_dZdp($D56,AB$36,gg,zcor)*100</f>
        <v>0.33879280090465258</v>
      </c>
      <c r="AC103" s="1" cm="1">
        <f t="array" ref="AC103">[1]!unf_pvt_dZdp($D56,AC$36,gg,zcor)*100</f>
        <v>0.38552284240767065</v>
      </c>
      <c r="AD103" s="1" cm="1">
        <f t="array" ref="AD103">[1]!unf_pvt_dZdp($D56,AD$36,gg,zcor)*100</f>
        <v>0.43225288391068872</v>
      </c>
      <c r="AE103" s="1" cm="1">
        <f t="array" ref="AE103">[1]!unf_pvt_dZdp($D56,AE$36,gg,zcor)*100</f>
        <v>0.46730041504128295</v>
      </c>
      <c r="AF103" s="1" cm="1">
        <f t="array" ref="AF103">[1]!unf_pvt_dZdp($D56,AF$36,gg,zcor)*100</f>
        <v>0.49066543579279198</v>
      </c>
      <c r="AG103" s="1" cm="1">
        <f t="array" ref="AG103">[1]!unf_pvt_dZdp($D56,AG$36,gg,zcor)*100</f>
        <v>0.52571296691894531</v>
      </c>
      <c r="AH103" s="1" cm="1">
        <f t="array" ref="AH103">[1]!unf_pvt_dZdp($D56,AH$36,gg,zcor)*100</f>
        <v>0.56076049804731909</v>
      </c>
      <c r="AI103" s="1" cm="1">
        <f t="array" ref="AI103">[1]!unf_pvt_dZdp($D56,AI$36,gg,zcor)*100</f>
        <v>0.59580802917347242</v>
      </c>
      <c r="AJ103" s="1" cm="1">
        <f t="array" ref="AJ103">[1]!unf_pvt_dZdp($D56,AJ$36,gg,zcor)*100</f>
        <v>0.61917304992498146</v>
      </c>
      <c r="AK103" s="1" cm="1">
        <f t="array" ref="AK103">[1]!unf_pvt_dZdp($D56,AK$36,gg,zcor)*100</f>
        <v>0.65422058105557568</v>
      </c>
    </row>
    <row r="104" spans="5:37" x14ac:dyDescent="0.3">
      <c r="E104" t="str">
        <f t="shared" si="4"/>
        <v>t=190 C</v>
      </c>
      <c r="F104" s="1" cm="1">
        <f t="array" ref="F104">[1]!unf_pvt_dZdp($D57,F$36,gg,zcor)*100</f>
        <v>-0.63085556030406664</v>
      </c>
      <c r="G104" s="1" cm="1">
        <f t="array" ref="G104">[1]!unf_pvt_dZdp($D57,G$36,gg,zcor)*100</f>
        <v>-0.58412551879882813</v>
      </c>
      <c r="H104" s="1" cm="1">
        <f t="array" ref="H104">[1]!unf_pvt_dZdp($D57,H$36,gg,zcor)*100</f>
        <v>-0.54907798767045435</v>
      </c>
      <c r="I104" s="1" cm="1">
        <f t="array" ref="I104">[1]!unf_pvt_dZdp($D57,I$36,gg,zcor)*100</f>
        <v>-0.51403045654430102</v>
      </c>
      <c r="J104" s="1" cm="1">
        <f t="array" ref="J104">[1]!unf_pvt_dZdp($D57,J$36,gg,zcor)*100</f>
        <v>-0.46730041504128295</v>
      </c>
      <c r="K104" s="1" cm="1">
        <f t="array" ref="K104">[1]!unf_pvt_dZdp($D57,K$36,gg,zcor)*100</f>
        <v>-0.42057037353604443</v>
      </c>
      <c r="L104" s="1" cm="1">
        <f t="array" ref="L104">[1]!unf_pvt_dZdp($D57,L$36,gg,zcor)*100</f>
        <v>-0.38552284240545021</v>
      </c>
      <c r="M104" s="1" cm="1">
        <f t="array" ref="M104">[1]!unf_pvt_dZdp($D57,M$36,gg,zcor)*100</f>
        <v>-0.33879280090465258</v>
      </c>
      <c r="N104" s="1" cm="1">
        <f t="array" ref="N104">[1]!unf_pvt_dZdp($D57,N$36,gg,zcor)*100</f>
        <v>-0.29206275939941406</v>
      </c>
      <c r="O104" s="1" cm="1">
        <f t="array" ref="O104">[1]!unf_pvt_dZdp($D57,O$36,gg,zcor)*100</f>
        <v>-0.2336502075173108</v>
      </c>
      <c r="P104" s="1" cm="1">
        <f t="array" ref="P104">[1]!unf_pvt_dZdp($D57,P$36,gg,zcor)*100</f>
        <v>-0.18692016601651318</v>
      </c>
      <c r="Q104" s="1" cm="1">
        <f t="array" ref="Q104">[1]!unf_pvt_dZdp($D57,Q$36,gg,zcor)*100</f>
        <v>-0.14019012451127466</v>
      </c>
      <c r="R104" s="1" cm="1">
        <f t="array" ref="R104">[1]!unf_pvt_dZdp($D57,R$36,gg,zcor)*100</f>
        <v>-9.3460083006036143E-2</v>
      </c>
      <c r="S104" s="1" cm="1">
        <f t="array" ref="S104">[1]!unf_pvt_dZdp($D57,S$36,gg,zcor)*100</f>
        <v>-3.5047531128373777E-2</v>
      </c>
      <c r="T104" s="1" cm="1">
        <f t="array" ref="T104">[1]!unf_pvt_dZdp($D57,T$36,gg,zcor)*100</f>
        <v>0</v>
      </c>
      <c r="U104" s="1" cm="1">
        <f t="array" ref="U104">[1]!unf_pvt_dZdp($D57,U$36,gg,zcor)*100</f>
        <v>4.6730041505238518E-2</v>
      </c>
      <c r="V104" s="1" cm="1">
        <f t="array" ref="V104">[1]!unf_pvt_dZdp($D57,V$36,gg,zcor)*100</f>
        <v>9.3460083008256589E-2</v>
      </c>
      <c r="W104" s="1" cm="1">
        <f t="array" ref="W104">[1]!unf_pvt_dZdp($D57,W$36,gg,zcor)*100</f>
        <v>0.1518726348881394</v>
      </c>
      <c r="X104" s="1" cm="1">
        <f t="array" ref="X104">[1]!unf_pvt_dZdp($D57,X$36,gg,zcor)*100</f>
        <v>0.18692016601651318</v>
      </c>
      <c r="Y104" s="1" cm="1">
        <f t="array" ref="Y104">[1]!unf_pvt_dZdp($D57,Y$36,gg,zcor)*100</f>
        <v>0.23365020751953125</v>
      </c>
      <c r="Z104" s="1" cm="1">
        <f t="array" ref="Z104">[1]!unf_pvt_dZdp($D57,Z$36,gg,zcor)*100</f>
        <v>0.28038024902476977</v>
      </c>
      <c r="AA104" s="1" cm="1">
        <f t="array" ref="AA104">[1]!unf_pvt_dZdp($D57,AA$36,gg,zcor)*100</f>
        <v>0.3154277801509231</v>
      </c>
      <c r="AB104" s="1" cm="1">
        <f t="array" ref="AB104">[1]!unf_pvt_dZdp($D57,AB$36,gg,zcor)*100</f>
        <v>0.35047531127929688</v>
      </c>
      <c r="AC104" s="1" cm="1">
        <f t="array" ref="AC104">[1]!unf_pvt_dZdp($D57,AC$36,gg,zcor)*100</f>
        <v>0.39720535278453539</v>
      </c>
      <c r="AD104" s="1" cm="1">
        <f t="array" ref="AD104">[1]!unf_pvt_dZdp($D57,AD$36,gg,zcor)*100</f>
        <v>0.43225288391068872</v>
      </c>
      <c r="AE104" s="1" cm="1">
        <f t="array" ref="AE104">[1]!unf_pvt_dZdp($D57,AE$36,gg,zcor)*100</f>
        <v>0.45561790466219776</v>
      </c>
      <c r="AF104" s="1" cm="1">
        <f t="array" ref="AF104">[1]!unf_pvt_dZdp($D57,AF$36,gg,zcor)*100</f>
        <v>0.49066543579279198</v>
      </c>
      <c r="AG104" s="1" cm="1">
        <f t="array" ref="AG104">[1]!unf_pvt_dZdp($D57,AG$36,gg,zcor)*100</f>
        <v>0.52571296691672487</v>
      </c>
      <c r="AH104" s="1" cm="1">
        <f t="array" ref="AH104">[1]!unf_pvt_dZdp($D57,AH$36,gg,zcor)*100</f>
        <v>0.56076049804731909</v>
      </c>
      <c r="AI104" s="1" cm="1">
        <f t="array" ref="AI104">[1]!unf_pvt_dZdp($D57,AI$36,gg,zcor)*100</f>
        <v>0.58412551880326902</v>
      </c>
      <c r="AJ104" s="1" cm="1">
        <f t="array" ref="AJ104">[1]!unf_pvt_dZdp($D57,AJ$36,gg,zcor)*100</f>
        <v>0.60749053954811671</v>
      </c>
      <c r="AK104" s="1" cm="1">
        <f t="array" ref="AK104">[1]!unf_pvt_dZdp($D57,AK$36,gg,zcor)*100</f>
        <v>0.63085556030406664</v>
      </c>
    </row>
    <row r="105" spans="5:37" x14ac:dyDescent="0.3">
      <c r="E105" t="str">
        <f t="shared" si="4"/>
        <v>t=200 C</v>
      </c>
      <c r="F105" s="1" cm="1">
        <f t="array" ref="F105">[1]!unf_pvt_dZdp($D58,F$36,gg,zcor)*100</f>
        <v>-0.57244300842418383</v>
      </c>
      <c r="G105" s="1" cm="1">
        <f t="array" ref="G105">[1]!unf_pvt_dZdp($D58,G$36,gg,zcor)*100</f>
        <v>-0.53739547729358961</v>
      </c>
      <c r="H105" s="1" cm="1">
        <f t="array" ref="H105">[1]!unf_pvt_dZdp($D58,H$36,gg,zcor)*100</f>
        <v>-0.50234794616743628</v>
      </c>
      <c r="I105" s="1" cm="1">
        <f t="array" ref="I105">[1]!unf_pvt_dZdp($D58,I$36,gg,zcor)*100</f>
        <v>-0.46730041503684205</v>
      </c>
      <c r="J105" s="1" cm="1">
        <f t="array" ref="J105">[1]!unf_pvt_dZdp($D58,J$36,gg,zcor)*100</f>
        <v>-0.42057037353382398</v>
      </c>
      <c r="K105" s="1" cm="1">
        <f t="array" ref="K105">[1]!unf_pvt_dZdp($D58,K$36,gg,zcor)*100</f>
        <v>-0.38552284240767065</v>
      </c>
      <c r="L105" s="1" cm="1">
        <f t="array" ref="L105">[1]!unf_pvt_dZdp($D58,L$36,gg,zcor)*100</f>
        <v>-0.32711029052778784</v>
      </c>
      <c r="M105" s="1" cm="1">
        <f t="array" ref="M105">[1]!unf_pvt_dZdp($D58,M$36,gg,zcor)*100</f>
        <v>-0.29206275939719362</v>
      </c>
      <c r="N105" s="1" cm="1">
        <f t="array" ref="N105">[1]!unf_pvt_dZdp($D58,N$36,gg,zcor)*100</f>
        <v>-0.25701522827326073</v>
      </c>
      <c r="O105" s="1" cm="1">
        <f t="array" ref="O105">[1]!unf_pvt_dZdp($D58,O$36,gg,zcor)*100</f>
        <v>-0.21028518676802221</v>
      </c>
      <c r="P105" s="1" cm="1">
        <f t="array" ref="P105">[1]!unf_pvt_dZdp($D58,P$36,gg,zcor)*100</f>
        <v>-0.16355514526500414</v>
      </c>
      <c r="Q105" s="1" cm="1">
        <f t="array" ref="Q105">[1]!unf_pvt_dZdp($D58,Q$36,gg,zcor)*100</f>
        <v>-0.10514259338512133</v>
      </c>
      <c r="R105" s="1" cm="1">
        <f t="array" ref="R105">[1]!unf_pvt_dZdp($D58,R$36,gg,zcor)*100</f>
        <v>-5.8412551877662366E-2</v>
      </c>
      <c r="S105" s="1" cm="1">
        <f t="array" ref="S105">[1]!unf_pvt_dZdp($D58,S$36,gg,zcor)*100</f>
        <v>-2.3365020753729482E-2</v>
      </c>
      <c r="T105" s="1" cm="1">
        <f t="array" ref="T105">[1]!unf_pvt_dZdp($D58,T$36,gg,zcor)*100</f>
        <v>2.3365020753729482E-2</v>
      </c>
      <c r="U105" s="1" cm="1">
        <f t="array" ref="U105">[1]!unf_pvt_dZdp($D58,U$36,gg,zcor)*100</f>
        <v>7.0095062254527107E-2</v>
      </c>
      <c r="V105" s="1" cm="1">
        <f t="array" ref="V105">[1]!unf_pvt_dZdp($D58,V$36,gg,zcor)*100</f>
        <v>0.11682510376198607</v>
      </c>
      <c r="W105" s="1" cm="1">
        <f t="array" ref="W105">[1]!unf_pvt_dZdp($D58,W$36,gg,zcor)*100</f>
        <v>0.15187263488591896</v>
      </c>
      <c r="X105" s="1" cm="1">
        <f t="array" ref="X105">[1]!unf_pvt_dZdp($D58,X$36,gg,zcor)*100</f>
        <v>0.19860267639115747</v>
      </c>
      <c r="Y105" s="1" cm="1">
        <f t="array" ref="Y105">[1]!unf_pvt_dZdp($D58,Y$36,gg,zcor)*100</f>
        <v>0.24533271789639599</v>
      </c>
      <c r="Z105" s="1" cm="1">
        <f t="array" ref="Z105">[1]!unf_pvt_dZdp($D58,Z$36,gg,zcor)*100</f>
        <v>0.28038024902254932</v>
      </c>
      <c r="AA105" s="1" cm="1">
        <f t="array" ref="AA105">[1]!unf_pvt_dZdp($D58,AA$36,gg,zcor)*100</f>
        <v>0.3154277801509231</v>
      </c>
      <c r="AB105" s="1" cm="1">
        <f t="array" ref="AB105">[1]!unf_pvt_dZdp($D58,AB$36,gg,zcor)*100</f>
        <v>0.36215782165616162</v>
      </c>
      <c r="AC105" s="1" cm="1">
        <f t="array" ref="AC105">[1]!unf_pvt_dZdp($D58,AC$36,gg,zcor)*100</f>
        <v>0.38552284240545021</v>
      </c>
      <c r="AD105" s="1" cm="1">
        <f t="array" ref="AD105">[1]!unf_pvt_dZdp($D58,AD$36,gg,zcor)*100</f>
        <v>0.42057037353604443</v>
      </c>
      <c r="AE105" s="1" cm="1">
        <f t="array" ref="AE105">[1]!unf_pvt_dZdp($D58,AE$36,gg,zcor)*100</f>
        <v>0.45561790466219776</v>
      </c>
      <c r="AF105" s="1" cm="1">
        <f t="array" ref="AF105">[1]!unf_pvt_dZdp($D58,AF$36,gg,zcor)*100</f>
        <v>0.49066543579057154</v>
      </c>
      <c r="AG105" s="1" cm="1">
        <f t="array" ref="AG105">[1]!unf_pvt_dZdp($D58,AG$36,gg,zcor)*100</f>
        <v>0.51403045654430102</v>
      </c>
      <c r="AH105" s="1" cm="1">
        <f t="array" ref="AH105">[1]!unf_pvt_dZdp($D58,AH$36,gg,zcor)*100</f>
        <v>0.54907798767045435</v>
      </c>
      <c r="AI105" s="1" cm="1">
        <f t="array" ref="AI105">[1]!unf_pvt_dZdp($D58,AI$36,gg,zcor)*100</f>
        <v>0.57244300842418383</v>
      </c>
      <c r="AJ105" s="1" cm="1">
        <f t="array" ref="AJ105">[1]!unf_pvt_dZdp($D58,AJ$36,gg,zcor)*100</f>
        <v>0.59580802918013376</v>
      </c>
      <c r="AK105" s="1" cm="1">
        <f t="array" ref="AK105">[1]!unf_pvt_dZdp($D58,AK$36,gg,zcor)*100</f>
        <v>0.61917304992498146</v>
      </c>
    </row>
    <row r="106" spans="5:37" x14ac:dyDescent="0.3"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</row>
    <row r="107" spans="5:37" x14ac:dyDescent="0.3"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</row>
  </sheetData>
  <conditionalFormatting sqref="F38:AK10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ime_compare">
                <anchor moveWithCells="1" sizeWithCells="1">
                  <from>
                    <xdr:col>26</xdr:col>
                    <xdr:colOff>289560</xdr:colOff>
                    <xdr:row>1</xdr:row>
                    <xdr:rowOff>190500</xdr:rowOff>
                  </from>
                  <to>
                    <xdr:col>29</xdr:col>
                    <xdr:colOff>342900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</vt:i4>
      </vt:variant>
    </vt:vector>
  </HeadingPairs>
  <TitlesOfParts>
    <vt:vector size="3" baseType="lpstr">
      <vt:lpstr>z</vt:lpstr>
      <vt:lpstr>gg</vt:lpstr>
      <vt:lpstr>zcor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2020-04-28T06:34:49Z</dcterms:created>
  <dcterms:modified xsi:type="dcterms:W3CDTF">2020-12-08T06:11:01Z</dcterms:modified>
</cp:coreProperties>
</file>