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7817747F-5459-4D06-8633-B8DE41E06C0B}" xr6:coauthVersionLast="45" xr6:coauthVersionMax="45" xr10:uidLastSave="{00000000-0000-0000-0000-000000000000}"/>
  <bookViews>
    <workbookView xWindow="-32475" yWindow="3180" windowWidth="23655" windowHeight="11595" xr2:uid="{FF088AEC-2D6A-4BCA-937C-EA8B49A23D3A}"/>
  </bookViews>
  <sheets>
    <sheet name="z" sheetId="1" r:id="rId1"/>
  </sheets>
  <externalReferences>
    <externalReference r:id="rId2"/>
  </externalReferences>
  <definedNames>
    <definedName name="gg">z!$L$3</definedName>
    <definedName name="zcor">z!$L$4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9" i="1" l="1"/>
  <c r="E40" i="1"/>
  <c r="E41" i="1"/>
  <c r="E65" i="1" s="1"/>
  <c r="E88" i="1" s="1"/>
  <c r="E42" i="1"/>
  <c r="E66" i="1" s="1"/>
  <c r="E89" i="1" s="1"/>
  <c r="E43" i="1"/>
  <c r="E44" i="1"/>
  <c r="E68" i="1" s="1"/>
  <c r="E91" i="1" s="1"/>
  <c r="E45" i="1"/>
  <c r="E69" i="1" s="1"/>
  <c r="E92" i="1" s="1"/>
  <c r="E46" i="1"/>
  <c r="E47" i="1"/>
  <c r="E48" i="1"/>
  <c r="E49" i="1"/>
  <c r="E50" i="1"/>
  <c r="E74" i="1" s="1"/>
  <c r="E97" i="1" s="1"/>
  <c r="E51" i="1"/>
  <c r="E52" i="1"/>
  <c r="E53" i="1"/>
  <c r="E77" i="1" s="1"/>
  <c r="E100" i="1" s="1"/>
  <c r="E54" i="1"/>
  <c r="E78" i="1" s="1"/>
  <c r="E101" i="1" s="1"/>
  <c r="E55" i="1"/>
  <c r="E56" i="1"/>
  <c r="E80" i="1" s="1"/>
  <c r="E103" i="1" s="1"/>
  <c r="E57" i="1"/>
  <c r="E81" i="1" s="1"/>
  <c r="E104" i="1" s="1"/>
  <c r="E58" i="1"/>
  <c r="E38" i="1"/>
  <c r="E62" i="1" s="1"/>
  <c r="E85" i="1" s="1"/>
  <c r="E90" i="1"/>
  <c r="E102" i="1"/>
  <c r="E63" i="1"/>
  <c r="E86" i="1" s="1"/>
  <c r="E64" i="1"/>
  <c r="E87" i="1" s="1"/>
  <c r="E67" i="1"/>
  <c r="E70" i="1"/>
  <c r="E93" i="1" s="1"/>
  <c r="E71" i="1"/>
  <c r="E94" i="1" s="1"/>
  <c r="E72" i="1"/>
  <c r="E95" i="1" s="1"/>
  <c r="E73" i="1"/>
  <c r="E96" i="1" s="1"/>
  <c r="E75" i="1"/>
  <c r="E98" i="1" s="1"/>
  <c r="E76" i="1"/>
  <c r="E99" i="1" s="1"/>
  <c r="E79" i="1"/>
  <c r="E82" i="1"/>
  <c r="E105" i="1" s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F36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38" i="1"/>
  <c r="AK105" i="1" a="1"/>
  <c r="AE105" i="1" a="1"/>
  <c r="Y105" i="1" a="1"/>
  <c r="S105" i="1" a="1"/>
  <c r="M105" i="1" a="1"/>
  <c r="G105" i="1" a="1"/>
  <c r="AG104" i="1" a="1"/>
  <c r="AA104" i="1" a="1"/>
  <c r="U104" i="1" a="1"/>
  <c r="O104" i="1" a="1"/>
  <c r="I104" i="1" a="1"/>
  <c r="AI103" i="1" a="1"/>
  <c r="AC103" i="1" a="1"/>
  <c r="W103" i="1" a="1"/>
  <c r="Q103" i="1" a="1"/>
  <c r="K103" i="1" a="1"/>
  <c r="AK102" i="1" a="1"/>
  <c r="AE102" i="1" a="1"/>
  <c r="Y102" i="1" a="1"/>
  <c r="S102" i="1" a="1"/>
  <c r="M102" i="1" a="1"/>
  <c r="G102" i="1" a="1"/>
  <c r="AG101" i="1" a="1"/>
  <c r="AA101" i="1" a="1"/>
  <c r="U101" i="1" a="1"/>
  <c r="O101" i="1" a="1"/>
  <c r="I101" i="1" a="1"/>
  <c r="AI100" i="1" a="1"/>
  <c r="AC100" i="1" a="1"/>
  <c r="W100" i="1" a="1"/>
  <c r="Q100" i="1" a="1"/>
  <c r="K100" i="1" a="1"/>
  <c r="AK99" i="1" a="1"/>
  <c r="AE99" i="1" a="1"/>
  <c r="Y99" i="1" a="1"/>
  <c r="AJ105" i="1" a="1"/>
  <c r="AD105" i="1" a="1"/>
  <c r="X105" i="1" a="1"/>
  <c r="R105" i="1" a="1"/>
  <c r="L105" i="1" a="1"/>
  <c r="F105" i="1" a="1"/>
  <c r="AF104" i="1" a="1"/>
  <c r="Z104" i="1" a="1"/>
  <c r="T104" i="1" a="1"/>
  <c r="N104" i="1" a="1"/>
  <c r="H104" i="1" a="1"/>
  <c r="AH103" i="1" a="1"/>
  <c r="AB103" i="1" a="1"/>
  <c r="V103" i="1" a="1"/>
  <c r="P103" i="1" a="1"/>
  <c r="J103" i="1" a="1"/>
  <c r="AJ102" i="1" a="1"/>
  <c r="AD102" i="1" a="1"/>
  <c r="X102" i="1" a="1"/>
  <c r="R102" i="1" a="1"/>
  <c r="L102" i="1" a="1"/>
  <c r="F102" i="1" a="1"/>
  <c r="AF101" i="1" a="1"/>
  <c r="Z101" i="1" a="1"/>
  <c r="T101" i="1" a="1"/>
  <c r="AI105" i="1" a="1"/>
  <c r="AC105" i="1" a="1"/>
  <c r="W105" i="1" a="1"/>
  <c r="Q105" i="1" a="1"/>
  <c r="K105" i="1" a="1"/>
  <c r="AK104" i="1" a="1"/>
  <c r="AE104" i="1" a="1"/>
  <c r="Y104" i="1" a="1"/>
  <c r="S104" i="1" a="1"/>
  <c r="M104" i="1" a="1"/>
  <c r="G104" i="1" a="1"/>
  <c r="AG103" i="1" a="1"/>
  <c r="AA103" i="1" a="1"/>
  <c r="U103" i="1" a="1"/>
  <c r="O103" i="1" a="1"/>
  <c r="I103" i="1" a="1"/>
  <c r="AI102" i="1" a="1"/>
  <c r="AC102" i="1" a="1"/>
  <c r="W102" i="1" a="1"/>
  <c r="Q102" i="1" a="1"/>
  <c r="K102" i="1" a="1"/>
  <c r="AH105" i="1" a="1"/>
  <c r="AB105" i="1" a="1"/>
  <c r="V105" i="1" a="1"/>
  <c r="P105" i="1" a="1"/>
  <c r="J105" i="1" a="1"/>
  <c r="AJ104" i="1" a="1"/>
  <c r="AD104" i="1" a="1"/>
  <c r="X104" i="1" a="1"/>
  <c r="R104" i="1" a="1"/>
  <c r="L104" i="1" a="1"/>
  <c r="F104" i="1" a="1"/>
  <c r="AF103" i="1" a="1"/>
  <c r="Z103" i="1" a="1"/>
  <c r="T103" i="1" a="1"/>
  <c r="AG105" i="1" a="1"/>
  <c r="AA105" i="1" a="1"/>
  <c r="U105" i="1" a="1"/>
  <c r="O105" i="1" a="1"/>
  <c r="I105" i="1" a="1"/>
  <c r="AI104" i="1" a="1"/>
  <c r="AC104" i="1" a="1"/>
  <c r="W104" i="1" a="1"/>
  <c r="Q104" i="1" a="1"/>
  <c r="K104" i="1" a="1"/>
  <c r="AK103" i="1" a="1"/>
  <c r="AE103" i="1" a="1"/>
  <c r="Y103" i="1" a="1"/>
  <c r="S103" i="1" a="1"/>
  <c r="M103" i="1" a="1"/>
  <c r="G103" i="1" a="1"/>
  <c r="AG102" i="1" a="1"/>
  <c r="AA102" i="1" a="1"/>
  <c r="U102" i="1" a="1"/>
  <c r="AF105" i="1" a="1"/>
  <c r="X103" i="1" a="1"/>
  <c r="P102" i="1" a="1"/>
  <c r="AC101" i="1" a="1"/>
  <c r="L101" i="1" a="1"/>
  <c r="AD100" i="1" a="1"/>
  <c r="O100" i="1" a="1"/>
  <c r="AG99" i="1" a="1"/>
  <c r="S99" i="1" a="1"/>
  <c r="G99" i="1" a="1"/>
  <c r="AA98" i="1" a="1"/>
  <c r="O98" i="1" a="1"/>
  <c r="AI97" i="1" a="1"/>
  <c r="W97" i="1" a="1"/>
  <c r="K97" i="1" a="1"/>
  <c r="AE96" i="1" a="1"/>
  <c r="J96" i="1" a="1"/>
  <c r="AF95" i="1" a="1"/>
  <c r="V95" i="1" a="1"/>
  <c r="K95" i="1" a="1"/>
  <c r="AG94" i="1" a="1"/>
  <c r="W94" i="1" a="1"/>
  <c r="I96" i="1" a="1"/>
  <c r="L94" i="1" a="1"/>
  <c r="Q93" i="1" a="1"/>
  <c r="AE92" i="1" a="1"/>
  <c r="AJ91" i="1" a="1"/>
  <c r="I91" i="1" a="1"/>
  <c r="W90" i="1" a="1"/>
  <c r="AF89" i="1" a="1"/>
  <c r="N89" i="1" a="1"/>
  <c r="AH88" i="1" a="1"/>
  <c r="P88" i="1" a="1"/>
  <c r="AD87" i="1" a="1"/>
  <c r="L87" i="1" a="1"/>
  <c r="Z86" i="1" a="1"/>
  <c r="H86" i="1" a="1"/>
  <c r="V85" i="1" a="1"/>
  <c r="O88" i="1" a="1"/>
  <c r="AE86" i="1" a="1"/>
  <c r="G86" i="1" a="1"/>
  <c r="I85" i="1" a="1"/>
  <c r="R85" i="1" a="1"/>
  <c r="F85" i="1" a="1"/>
  <c r="V102" i="1" a="1"/>
  <c r="AK97" i="1" a="1"/>
  <c r="W95" i="1" a="1"/>
  <c r="J93" i="1" a="1"/>
  <c r="Y90" i="1" a="1"/>
  <c r="Z105" i="1" a="1"/>
  <c r="R103" i="1" a="1"/>
  <c r="O102" i="1" a="1"/>
  <c r="AB101" i="1" a="1"/>
  <c r="K101" i="1" a="1"/>
  <c r="AB100" i="1" a="1"/>
  <c r="N100" i="1" a="1"/>
  <c r="AF99" i="1" a="1"/>
  <c r="R99" i="1" a="1"/>
  <c r="F99" i="1" a="1"/>
  <c r="Z98" i="1" a="1"/>
  <c r="N98" i="1" a="1"/>
  <c r="AH97" i="1" a="1"/>
  <c r="V97" i="1" a="1"/>
  <c r="J97" i="1" a="1"/>
  <c r="AD96" i="1" a="1"/>
  <c r="AE95" i="1" a="1"/>
  <c r="U95" i="1" a="1"/>
  <c r="AF94" i="1" a="1"/>
  <c r="V94" i="1" a="1"/>
  <c r="AI93" i="1" a="1"/>
  <c r="H93" i="1" a="1"/>
  <c r="M92" i="1" a="1"/>
  <c r="R91" i="1" a="1"/>
  <c r="N90" i="1" a="1"/>
  <c r="T89" i="1" a="1"/>
  <c r="AB88" i="1" a="1"/>
  <c r="J88" i="1" a="1"/>
  <c r="X87" i="1" a="1"/>
  <c r="F87" i="1" a="1"/>
  <c r="N86" i="1" a="1"/>
  <c r="AB85" i="1" a="1"/>
  <c r="J85" i="1" a="1"/>
  <c r="I88" i="1" a="1"/>
  <c r="Q87" i="1" a="1"/>
  <c r="M86" i="1" a="1"/>
  <c r="O85" i="1" a="1"/>
  <c r="V86" i="1" a="1"/>
  <c r="AF100" i="1" a="1"/>
  <c r="L96" i="1" a="1"/>
  <c r="O92" i="1" a="1"/>
  <c r="T105" i="1" a="1"/>
  <c r="N103" i="1" a="1"/>
  <c r="N102" i="1" a="1"/>
  <c r="Y101" i="1" a="1"/>
  <c r="J101" i="1" a="1"/>
  <c r="AA100" i="1" a="1"/>
  <c r="M100" i="1" a="1"/>
  <c r="AD99" i="1" a="1"/>
  <c r="Q99" i="1" a="1"/>
  <c r="AK98" i="1" a="1"/>
  <c r="Y98" i="1" a="1"/>
  <c r="M98" i="1" a="1"/>
  <c r="AG97" i="1" a="1"/>
  <c r="U97" i="1" a="1"/>
  <c r="I97" i="1" a="1"/>
  <c r="AC96" i="1" a="1"/>
  <c r="S96" i="1" a="1"/>
  <c r="AD95" i="1" a="1"/>
  <c r="T95" i="1" a="1"/>
  <c r="J95" i="1" a="1"/>
  <c r="AE94" i="1" a="1"/>
  <c r="U94" i="1" a="1"/>
  <c r="K94" i="1" a="1"/>
  <c r="AH93" i="1" a="1"/>
  <c r="Y93" i="1" a="1"/>
  <c r="P93" i="1" a="1"/>
  <c r="G93" i="1" a="1"/>
  <c r="AD92" i="1" a="1"/>
  <c r="U92" i="1" a="1"/>
  <c r="L92" i="1" a="1"/>
  <c r="AI91" i="1" a="1"/>
  <c r="Z91" i="1" a="1"/>
  <c r="Q91" i="1" a="1"/>
  <c r="H91" i="1" a="1"/>
  <c r="AE90" i="1" a="1"/>
  <c r="V90" i="1" a="1"/>
  <c r="M90" i="1" a="1"/>
  <c r="AC87" i="1" a="1"/>
  <c r="Y86" i="1" a="1"/>
  <c r="AA85" i="1" a="1"/>
  <c r="AB86" i="1" a="1"/>
  <c r="AI99" i="1" a="1"/>
  <c r="V96" i="1" a="1"/>
  <c r="AK93" i="1" a="1"/>
  <c r="K91" i="1" a="1"/>
  <c r="N105" i="1" a="1"/>
  <c r="L103" i="1" a="1"/>
  <c r="J102" i="1" a="1"/>
  <c r="X101" i="1" a="1"/>
  <c r="H101" i="1" a="1"/>
  <c r="Z100" i="1" a="1"/>
  <c r="L100" i="1" a="1"/>
  <c r="AC99" i="1" a="1"/>
  <c r="P99" i="1" a="1"/>
  <c r="AJ98" i="1" a="1"/>
  <c r="X98" i="1" a="1"/>
  <c r="L98" i="1" a="1"/>
  <c r="AF97" i="1" a="1"/>
  <c r="T97" i="1" a="1"/>
  <c r="H97" i="1" a="1"/>
  <c r="AB96" i="1" a="1"/>
  <c r="R96" i="1" a="1"/>
  <c r="H96" i="1" a="1"/>
  <c r="AC95" i="1" a="1"/>
  <c r="S95" i="1" a="1"/>
  <c r="I95" i="1" a="1"/>
  <c r="T94" i="1" a="1"/>
  <c r="J94" i="1" a="1"/>
  <c r="AG93" i="1" a="1"/>
  <c r="X93" i="1" a="1"/>
  <c r="O93" i="1" a="1"/>
  <c r="F93" i="1" a="1"/>
  <c r="AC92" i="1" a="1"/>
  <c r="T92" i="1" a="1"/>
  <c r="K92" i="1" a="1"/>
  <c r="AH91" i="1" a="1"/>
  <c r="Y91" i="1" a="1"/>
  <c r="P91" i="1" a="1"/>
  <c r="G91" i="1" a="1"/>
  <c r="AD90" i="1" a="1"/>
  <c r="U90" i="1" a="1"/>
  <c r="L90" i="1" a="1"/>
  <c r="AK89" i="1" a="1"/>
  <c r="AE89" i="1" a="1"/>
  <c r="Y89" i="1" a="1"/>
  <c r="S89" i="1" a="1"/>
  <c r="M89" i="1" a="1"/>
  <c r="G89" i="1" a="1"/>
  <c r="AG88" i="1" a="1"/>
  <c r="AA88" i="1" a="1"/>
  <c r="AI87" i="1" a="1"/>
  <c r="W87" i="1" a="1"/>
  <c r="K87" i="1" a="1"/>
  <c r="S86" i="1" a="1"/>
  <c r="U85" i="1" a="1"/>
  <c r="AJ85" i="1" a="1"/>
  <c r="AJ103" i="1" a="1"/>
  <c r="F92" i="1" a="1"/>
  <c r="H105" i="1" a="1"/>
  <c r="H103" i="1" a="1"/>
  <c r="I102" i="1" a="1"/>
  <c r="W101" i="1" a="1"/>
  <c r="G101" i="1" a="1"/>
  <c r="Y100" i="1" a="1"/>
  <c r="J100" i="1" a="1"/>
  <c r="AB99" i="1" a="1"/>
  <c r="O99" i="1" a="1"/>
  <c r="AI98" i="1" a="1"/>
  <c r="W98" i="1" a="1"/>
  <c r="K98" i="1" a="1"/>
  <c r="AE97" i="1" a="1"/>
  <c r="S97" i="1" a="1"/>
  <c r="G97" i="1" a="1"/>
  <c r="AA96" i="1" a="1"/>
  <c r="Q96" i="1" a="1"/>
  <c r="G96" i="1" a="1"/>
  <c r="R95" i="1" a="1"/>
  <c r="H95" i="1" a="1"/>
  <c r="AD94" i="1" a="1"/>
  <c r="S94" i="1" a="1"/>
  <c r="O94" i="1" a="1"/>
  <c r="H90" i="1" a="1"/>
  <c r="X88" i="1" a="1"/>
  <c r="H87" i="1" a="1"/>
  <c r="L85" i="1" a="1"/>
  <c r="U99" i="1" a="1"/>
  <c r="AG96" i="1" a="1"/>
  <c r="N94" i="1" a="1"/>
  <c r="AC91" i="1" a="1"/>
  <c r="AH104" i="1" a="1"/>
  <c r="F103" i="1" a="1"/>
  <c r="H102" i="1" a="1"/>
  <c r="V101" i="1" a="1"/>
  <c r="F101" i="1" a="1"/>
  <c r="X100" i="1" a="1"/>
  <c r="I100" i="1" a="1"/>
  <c r="AA99" i="1" a="1"/>
  <c r="N99" i="1" a="1"/>
  <c r="AH98" i="1" a="1"/>
  <c r="V98" i="1" a="1"/>
  <c r="J98" i="1" a="1"/>
  <c r="AD97" i="1" a="1"/>
  <c r="R97" i="1" a="1"/>
  <c r="F97" i="1" a="1"/>
  <c r="P96" i="1" a="1"/>
  <c r="F96" i="1" a="1"/>
  <c r="AB95" i="1" a="1"/>
  <c r="Q95" i="1" a="1"/>
  <c r="G95" i="1" a="1"/>
  <c r="AC94" i="1" a="1"/>
  <c r="I94" i="1" a="1"/>
  <c r="AF93" i="1" a="1"/>
  <c r="W93" i="1" a="1"/>
  <c r="N93" i="1" a="1"/>
  <c r="AK92" i="1" a="1"/>
  <c r="AB92" i="1" a="1"/>
  <c r="S92" i="1" a="1"/>
  <c r="J92" i="1" a="1"/>
  <c r="AG91" i="1" a="1"/>
  <c r="X91" i="1" a="1"/>
  <c r="O91" i="1" a="1"/>
  <c r="F91" i="1" a="1"/>
  <c r="AC90" i="1" a="1"/>
  <c r="T90" i="1" a="1"/>
  <c r="K90" i="1" a="1"/>
  <c r="AJ89" i="1" a="1"/>
  <c r="AD89" i="1" a="1"/>
  <c r="X89" i="1" a="1"/>
  <c r="R89" i="1" a="1"/>
  <c r="L89" i="1" a="1"/>
  <c r="F89" i="1" a="1"/>
  <c r="AF88" i="1" a="1"/>
  <c r="Z88" i="1" a="1"/>
  <c r="T88" i="1" a="1"/>
  <c r="N88" i="1" a="1"/>
  <c r="H88" i="1" a="1"/>
  <c r="AH87" i="1" a="1"/>
  <c r="AB87" i="1" a="1"/>
  <c r="V87" i="1" a="1"/>
  <c r="P87" i="1" a="1"/>
  <c r="J87" i="1" a="1"/>
  <c r="AJ86" i="1" a="1"/>
  <c r="AD86" i="1" a="1"/>
  <c r="X86" i="1" a="1"/>
  <c r="R86" i="1" a="1"/>
  <c r="L86" i="1" a="1"/>
  <c r="F86" i="1" a="1"/>
  <c r="AF85" i="1" a="1"/>
  <c r="Z85" i="1" a="1"/>
  <c r="T85" i="1" a="1"/>
  <c r="N85" i="1" a="1"/>
  <c r="H85" i="1" a="1"/>
  <c r="AG87" i="1" a="1"/>
  <c r="AI86" i="1" a="1"/>
  <c r="Q86" i="1" a="1"/>
  <c r="AE85" i="1" a="1"/>
  <c r="M85" i="1" a="1"/>
  <c r="S100" i="1" a="1"/>
  <c r="AJ94" i="1" a="1"/>
  <c r="AH92" i="1" a="1"/>
  <c r="G92" i="1" a="1"/>
  <c r="AI90" i="1" a="1"/>
  <c r="AH89" i="1" a="1"/>
  <c r="J89" i="1" a="1"/>
  <c r="R88" i="1" a="1"/>
  <c r="Z87" i="1" a="1"/>
  <c r="AD85" i="1" a="1"/>
  <c r="I99" i="1" a="1"/>
  <c r="AB93" i="1" a="1"/>
  <c r="AB104" i="1" a="1"/>
  <c r="AH102" i="1" a="1"/>
  <c r="AK101" i="1" a="1"/>
  <c r="S101" i="1" a="1"/>
  <c r="AK100" i="1" a="1"/>
  <c r="V100" i="1" a="1"/>
  <c r="H100" i="1" a="1"/>
  <c r="Z99" i="1" a="1"/>
  <c r="M99" i="1" a="1"/>
  <c r="AG98" i="1" a="1"/>
  <c r="U98" i="1" a="1"/>
  <c r="I98" i="1" a="1"/>
  <c r="AC97" i="1" a="1"/>
  <c r="Q97" i="1" a="1"/>
  <c r="AK96" i="1" a="1"/>
  <c r="Z96" i="1" a="1"/>
  <c r="O96" i="1" a="1"/>
  <c r="AK95" i="1" a="1"/>
  <c r="AA95" i="1" a="1"/>
  <c r="F95" i="1" a="1"/>
  <c r="AB94" i="1" a="1"/>
  <c r="R94" i="1" a="1"/>
  <c r="H94" i="1" a="1"/>
  <c r="AE93" i="1" a="1"/>
  <c r="V93" i="1" a="1"/>
  <c r="M93" i="1" a="1"/>
  <c r="AJ92" i="1" a="1"/>
  <c r="AA92" i="1" a="1"/>
  <c r="R92" i="1" a="1"/>
  <c r="I92" i="1" a="1"/>
  <c r="AF91" i="1" a="1"/>
  <c r="W91" i="1" a="1"/>
  <c r="N91" i="1" a="1"/>
  <c r="AK90" i="1" a="1"/>
  <c r="AB90" i="1" a="1"/>
  <c r="S90" i="1" a="1"/>
  <c r="J90" i="1" a="1"/>
  <c r="V91" i="1" a="1"/>
  <c r="R90" i="1" a="1"/>
  <c r="AI89" i="1" a="1"/>
  <c r="AC89" i="1" a="1"/>
  <c r="W89" i="1" a="1"/>
  <c r="K89" i="1" a="1"/>
  <c r="AK88" i="1" a="1"/>
  <c r="Y88" i="1" a="1"/>
  <c r="M88" i="1" a="1"/>
  <c r="G88" i="1" a="1"/>
  <c r="U87" i="1" a="1"/>
  <c r="O87" i="1" a="1"/>
  <c r="AC86" i="1" a="1"/>
  <c r="W86" i="1" a="1"/>
  <c r="AK85" i="1" a="1"/>
  <c r="Y85" i="1" a="1"/>
  <c r="G85" i="1" a="1"/>
  <c r="AJ99" i="1" a="1"/>
  <c r="X95" i="1" a="1"/>
  <c r="F94" i="1" a="1"/>
  <c r="Y92" i="1" a="1"/>
  <c r="AD91" i="1" a="1"/>
  <c r="Z90" i="1" a="1"/>
  <c r="AB89" i="1" a="1"/>
  <c r="AJ88" i="1" a="1"/>
  <c r="L88" i="1" a="1"/>
  <c r="T87" i="1" a="1"/>
  <c r="J86" i="1" a="1"/>
  <c r="R100" i="1" a="1"/>
  <c r="Y97" i="1" a="1"/>
  <c r="M95" i="1" a="1"/>
  <c r="AG92" i="1" a="1"/>
  <c r="V104" i="1" a="1"/>
  <c r="AF102" i="1" a="1"/>
  <c r="AJ101" i="1" a="1"/>
  <c r="R101" i="1" a="1"/>
  <c r="AJ100" i="1" a="1"/>
  <c r="U100" i="1" a="1"/>
  <c r="G100" i="1" a="1"/>
  <c r="X99" i="1" a="1"/>
  <c r="L99" i="1" a="1"/>
  <c r="AF98" i="1" a="1"/>
  <c r="T98" i="1" a="1"/>
  <c r="H98" i="1" a="1"/>
  <c r="AB97" i="1" a="1"/>
  <c r="P97" i="1" a="1"/>
  <c r="AJ96" i="1" a="1"/>
  <c r="Y96" i="1" a="1"/>
  <c r="AJ95" i="1" a="1"/>
  <c r="Z95" i="1" a="1"/>
  <c r="P95" i="1" a="1"/>
  <c r="AK94" i="1" a="1"/>
  <c r="AA94" i="1" a="1"/>
  <c r="Q94" i="1" a="1"/>
  <c r="G94" i="1" a="1"/>
  <c r="AD93" i="1" a="1"/>
  <c r="U93" i="1" a="1"/>
  <c r="L93" i="1" a="1"/>
  <c r="AI92" i="1" a="1"/>
  <c r="Z92" i="1" a="1"/>
  <c r="Q92" i="1" a="1"/>
  <c r="H92" i="1" a="1"/>
  <c r="AE91" i="1" a="1"/>
  <c r="M91" i="1" a="1"/>
  <c r="AJ90" i="1" a="1"/>
  <c r="AA90" i="1" a="1"/>
  <c r="I90" i="1" a="1"/>
  <c r="Q89" i="1" a="1"/>
  <c r="AE88" i="1" a="1"/>
  <c r="S88" i="1" a="1"/>
  <c r="AA87" i="1" a="1"/>
  <c r="I87" i="1" a="1"/>
  <c r="K86" i="1" a="1"/>
  <c r="S85" i="1" a="1"/>
  <c r="J99" i="1" a="1"/>
  <c r="T93" i="1" a="1"/>
  <c r="L91" i="1" a="1"/>
  <c r="V89" i="1" a="1"/>
  <c r="F88" i="1" a="1"/>
  <c r="X85" i="1" a="1"/>
  <c r="AC98" i="1" a="1"/>
  <c r="T91" i="1" a="1"/>
  <c r="P104" i="1" a="1"/>
  <c r="AB102" i="1" a="1"/>
  <c r="AI101" i="1" a="1"/>
  <c r="Q101" i="1" a="1"/>
  <c r="AH100" i="1" a="1"/>
  <c r="T100" i="1" a="1"/>
  <c r="F100" i="1" a="1"/>
  <c r="W99" i="1" a="1"/>
  <c r="K99" i="1" a="1"/>
  <c r="AE98" i="1" a="1"/>
  <c r="S98" i="1" a="1"/>
  <c r="G98" i="1" a="1"/>
  <c r="AA97" i="1" a="1"/>
  <c r="O97" i="1" a="1"/>
  <c r="AI96" i="1" a="1"/>
  <c r="X96" i="1" a="1"/>
  <c r="N96" i="1" a="1"/>
  <c r="AI95" i="1" a="1"/>
  <c r="Y95" i="1" a="1"/>
  <c r="O95" i="1" a="1"/>
  <c r="Z94" i="1" a="1"/>
  <c r="P94" i="1" a="1"/>
  <c r="J104" i="1" a="1"/>
  <c r="Z102" i="1" a="1"/>
  <c r="AH101" i="1" a="1"/>
  <c r="P101" i="1" a="1"/>
  <c r="AG100" i="1" a="1"/>
  <c r="V99" i="1" a="1"/>
  <c r="AD98" i="1" a="1"/>
  <c r="R98" i="1" a="1"/>
  <c r="F98" i="1" a="1"/>
  <c r="Z97" i="1" a="1"/>
  <c r="N97" i="1" a="1"/>
  <c r="AH96" i="1" a="1"/>
  <c r="W96" i="1" a="1"/>
  <c r="M96" i="1" a="1"/>
  <c r="N95" i="1" a="1"/>
  <c r="Y94" i="1" a="1"/>
  <c r="AC93" i="1" a="1"/>
  <c r="K93" i="1" a="1"/>
  <c r="P92" i="1" a="1"/>
  <c r="U91" i="1" a="1"/>
  <c r="Q90" i="1" a="1"/>
  <c r="P89" i="1" a="1"/>
  <c r="AD88" i="1" a="1"/>
  <c r="AF87" i="1" a="1"/>
  <c r="N87" i="1" a="1"/>
  <c r="P86" i="1" a="1"/>
  <c r="AE101" i="1" a="1"/>
  <c r="Q98" i="1" a="1"/>
  <c r="AH95" i="1" a="1"/>
  <c r="S93" i="1" a="1"/>
  <c r="AH90" i="1" a="1"/>
  <c r="AD103" i="1" a="1"/>
  <c r="T102" i="1" a="1"/>
  <c r="AD101" i="1" a="1"/>
  <c r="M101" i="1" a="1"/>
  <c r="AE100" i="1" a="1"/>
  <c r="P100" i="1" a="1"/>
  <c r="AH99" i="1" a="1"/>
  <c r="T99" i="1" a="1"/>
  <c r="H99" i="1" a="1"/>
  <c r="AB98" i="1" a="1"/>
  <c r="P98" i="1" a="1"/>
  <c r="AJ97" i="1" a="1"/>
  <c r="X97" i="1" a="1"/>
  <c r="L97" i="1" a="1"/>
  <c r="AF96" i="1" a="1"/>
  <c r="U96" i="1" a="1"/>
  <c r="K96" i="1" a="1"/>
  <c r="AG95" i="1" a="1"/>
  <c r="L95" i="1" a="1"/>
  <c r="AH94" i="1" a="1"/>
  <c r="X94" i="1" a="1"/>
  <c r="M94" i="1" a="1"/>
  <c r="AJ93" i="1" a="1"/>
  <c r="AA93" i="1" a="1"/>
  <c r="R93" i="1" a="1"/>
  <c r="I93" i="1" a="1"/>
  <c r="AF92" i="1" a="1"/>
  <c r="W92" i="1" a="1"/>
  <c r="N92" i="1" a="1"/>
  <c r="AK91" i="1" a="1"/>
  <c r="AB91" i="1" a="1"/>
  <c r="S91" i="1" a="1"/>
  <c r="J91" i="1" a="1"/>
  <c r="AG90" i="1" a="1"/>
  <c r="X90" i="1" a="1"/>
  <c r="O90" i="1" a="1"/>
  <c r="G90" i="1" a="1"/>
  <c r="AG89" i="1" a="1"/>
  <c r="AA89" i="1" a="1"/>
  <c r="U89" i="1" a="1"/>
  <c r="O89" i="1" a="1"/>
  <c r="I89" i="1" a="1"/>
  <c r="AI88" i="1" a="1"/>
  <c r="AC88" i="1" a="1"/>
  <c r="W88" i="1" a="1"/>
  <c r="Q88" i="1" a="1"/>
  <c r="K88" i="1" a="1"/>
  <c r="AK87" i="1" a="1"/>
  <c r="AE87" i="1" a="1"/>
  <c r="Y87" i="1" a="1"/>
  <c r="S87" i="1" a="1"/>
  <c r="M87" i="1" a="1"/>
  <c r="G87" i="1" a="1"/>
  <c r="AG86" i="1" a="1"/>
  <c r="AA86" i="1" a="1"/>
  <c r="U86" i="1" a="1"/>
  <c r="O86" i="1" a="1"/>
  <c r="I86" i="1" a="1"/>
  <c r="AI85" i="1" a="1"/>
  <c r="AC85" i="1" a="1"/>
  <c r="W85" i="1" a="1"/>
  <c r="Q85" i="1" a="1"/>
  <c r="K85" i="1" a="1"/>
  <c r="T96" i="1" a="1"/>
  <c r="Z93" i="1" a="1"/>
  <c r="V92" i="1" a="1"/>
  <c r="AA91" i="1" a="1"/>
  <c r="AF90" i="1" a="1"/>
  <c r="F90" i="1" a="1"/>
  <c r="Z89" i="1" a="1"/>
  <c r="H89" i="1" a="1"/>
  <c r="V88" i="1" a="1"/>
  <c r="AJ87" i="1" a="1"/>
  <c r="R87" i="1" a="1"/>
  <c r="AF86" i="1" a="1"/>
  <c r="T86" i="1" a="1"/>
  <c r="AH85" i="1" a="1"/>
  <c r="P85" i="1" a="1"/>
  <c r="U88" i="1" a="1"/>
  <c r="AK86" i="1" a="1"/>
  <c r="AG85" i="1" a="1"/>
  <c r="AH86" i="1" a="1"/>
  <c r="N101" i="1" a="1"/>
  <c r="M97" i="1" a="1"/>
  <c r="AI94" i="1" a="1"/>
  <c r="X92" i="1" a="1"/>
  <c r="P90" i="1" a="1"/>
  <c r="AK82" i="1" a="1"/>
  <c r="AE82" i="1" a="1"/>
  <c r="Y82" i="1" a="1"/>
  <c r="S82" i="1" a="1"/>
  <c r="M82" i="1" a="1"/>
  <c r="G82" i="1" a="1"/>
  <c r="AG81" i="1" a="1"/>
  <c r="AA81" i="1" a="1"/>
  <c r="U81" i="1" a="1"/>
  <c r="O81" i="1" a="1"/>
  <c r="I81" i="1" a="1"/>
  <c r="AI80" i="1" a="1"/>
  <c r="AC80" i="1" a="1"/>
  <c r="W80" i="1" a="1"/>
  <c r="Q80" i="1" a="1"/>
  <c r="K80" i="1" a="1"/>
  <c r="AK79" i="1" a="1"/>
  <c r="AE79" i="1" a="1"/>
  <c r="Y79" i="1" a="1"/>
  <c r="S79" i="1" a="1"/>
  <c r="M79" i="1" a="1"/>
  <c r="G79" i="1" a="1"/>
  <c r="AG78" i="1" a="1"/>
  <c r="AA78" i="1" a="1"/>
  <c r="U78" i="1" a="1"/>
  <c r="O78" i="1" a="1"/>
  <c r="I78" i="1" a="1"/>
  <c r="AI77" i="1" a="1"/>
  <c r="AC77" i="1" a="1"/>
  <c r="W77" i="1" a="1"/>
  <c r="Q77" i="1" a="1"/>
  <c r="K77" i="1" a="1"/>
  <c r="AK76" i="1" a="1"/>
  <c r="AJ82" i="1" a="1"/>
  <c r="AD82" i="1" a="1"/>
  <c r="X82" i="1" a="1"/>
  <c r="R82" i="1" a="1"/>
  <c r="L82" i="1" a="1"/>
  <c r="F82" i="1" a="1"/>
  <c r="AF81" i="1" a="1"/>
  <c r="Z81" i="1" a="1"/>
  <c r="T81" i="1" a="1"/>
  <c r="N81" i="1" a="1"/>
  <c r="H81" i="1" a="1"/>
  <c r="AH80" i="1" a="1"/>
  <c r="AB80" i="1" a="1"/>
  <c r="V80" i="1" a="1"/>
  <c r="P80" i="1" a="1"/>
  <c r="J80" i="1" a="1"/>
  <c r="AJ79" i="1" a="1"/>
  <c r="AD79" i="1" a="1"/>
  <c r="X79" i="1" a="1"/>
  <c r="R79" i="1" a="1"/>
  <c r="L79" i="1" a="1"/>
  <c r="F79" i="1" a="1"/>
  <c r="AF78" i="1" a="1"/>
  <c r="Z78" i="1" a="1"/>
  <c r="T78" i="1" a="1"/>
  <c r="N78" i="1" a="1"/>
  <c r="H78" i="1" a="1"/>
  <c r="AH77" i="1" a="1"/>
  <c r="AB77" i="1" a="1"/>
  <c r="V77" i="1" a="1"/>
  <c r="P77" i="1" a="1"/>
  <c r="J77" i="1" a="1"/>
  <c r="AJ76" i="1" a="1"/>
  <c r="AD76" i="1" a="1"/>
  <c r="X76" i="1" a="1"/>
  <c r="R76" i="1" a="1"/>
  <c r="L76" i="1" a="1"/>
  <c r="F76" i="1" a="1"/>
  <c r="AF75" i="1" a="1"/>
  <c r="Z75" i="1" a="1"/>
  <c r="T75" i="1" a="1"/>
  <c r="N75" i="1" a="1"/>
  <c r="H75" i="1" a="1"/>
  <c r="AH74" i="1" a="1"/>
  <c r="AB74" i="1" a="1"/>
  <c r="V74" i="1" a="1"/>
  <c r="P74" i="1" a="1"/>
  <c r="J74" i="1" a="1"/>
  <c r="AJ73" i="1" a="1"/>
  <c r="AI82" i="1" a="1"/>
  <c r="AC82" i="1" a="1"/>
  <c r="W82" i="1" a="1"/>
  <c r="Q82" i="1" a="1"/>
  <c r="K82" i="1" a="1"/>
  <c r="AK81" i="1" a="1"/>
  <c r="AE81" i="1" a="1"/>
  <c r="Y81" i="1" a="1"/>
  <c r="S81" i="1" a="1"/>
  <c r="M81" i="1" a="1"/>
  <c r="G81" i="1" a="1"/>
  <c r="AG80" i="1" a="1"/>
  <c r="AA80" i="1" a="1"/>
  <c r="U80" i="1" a="1"/>
  <c r="O80" i="1" a="1"/>
  <c r="I80" i="1" a="1"/>
  <c r="AI79" i="1" a="1"/>
  <c r="AC79" i="1" a="1"/>
  <c r="W79" i="1" a="1"/>
  <c r="Q79" i="1" a="1"/>
  <c r="K79" i="1" a="1"/>
  <c r="AK78" i="1" a="1"/>
  <c r="AE78" i="1" a="1"/>
  <c r="Y78" i="1" a="1"/>
  <c r="S78" i="1" a="1"/>
  <c r="M78" i="1" a="1"/>
  <c r="G78" i="1" a="1"/>
  <c r="AG77" i="1" a="1"/>
  <c r="AA77" i="1" a="1"/>
  <c r="U77" i="1" a="1"/>
  <c r="O77" i="1" a="1"/>
  <c r="I77" i="1" a="1"/>
  <c r="AI76" i="1" a="1"/>
  <c r="AC76" i="1" a="1"/>
  <c r="W76" i="1" a="1"/>
  <c r="Q76" i="1" a="1"/>
  <c r="K76" i="1" a="1"/>
  <c r="AK75" i="1" a="1"/>
  <c r="AE75" i="1" a="1"/>
  <c r="AH82" i="1" a="1"/>
  <c r="AB82" i="1" a="1"/>
  <c r="V82" i="1" a="1"/>
  <c r="P82" i="1" a="1"/>
  <c r="J82" i="1" a="1"/>
  <c r="AJ81" i="1" a="1"/>
  <c r="AD81" i="1" a="1"/>
  <c r="X81" i="1" a="1"/>
  <c r="R81" i="1" a="1"/>
  <c r="L81" i="1" a="1"/>
  <c r="F81" i="1" a="1"/>
  <c r="AF80" i="1" a="1"/>
  <c r="Z80" i="1" a="1"/>
  <c r="T80" i="1" a="1"/>
  <c r="N80" i="1" a="1"/>
  <c r="H80" i="1" a="1"/>
  <c r="AH79" i="1" a="1"/>
  <c r="AB79" i="1" a="1"/>
  <c r="V79" i="1" a="1"/>
  <c r="P79" i="1" a="1"/>
  <c r="J79" i="1" a="1"/>
  <c r="AJ78" i="1" a="1"/>
  <c r="AD78" i="1" a="1"/>
  <c r="X78" i="1" a="1"/>
  <c r="R78" i="1" a="1"/>
  <c r="L78" i="1" a="1"/>
  <c r="F78" i="1" a="1"/>
  <c r="AF77" i="1" a="1"/>
  <c r="Z77" i="1" a="1"/>
  <c r="T77" i="1" a="1"/>
  <c r="N77" i="1" a="1"/>
  <c r="H77" i="1" a="1"/>
  <c r="AG82" i="1" a="1"/>
  <c r="AA82" i="1" a="1"/>
  <c r="U82" i="1" a="1"/>
  <c r="O82" i="1" a="1"/>
  <c r="I82" i="1" a="1"/>
  <c r="AI81" i="1" a="1"/>
  <c r="AC81" i="1" a="1"/>
  <c r="W81" i="1" a="1"/>
  <c r="Q81" i="1" a="1"/>
  <c r="K81" i="1" a="1"/>
  <c r="AK80" i="1" a="1"/>
  <c r="AE80" i="1" a="1"/>
  <c r="Y80" i="1" a="1"/>
  <c r="S80" i="1" a="1"/>
  <c r="M80" i="1" a="1"/>
  <c r="G80" i="1" a="1"/>
  <c r="AG79" i="1" a="1"/>
  <c r="AA79" i="1" a="1"/>
  <c r="U79" i="1" a="1"/>
  <c r="O79" i="1" a="1"/>
  <c r="I79" i="1" a="1"/>
  <c r="AI78" i="1" a="1"/>
  <c r="AF82" i="1" a="1"/>
  <c r="X80" i="1" a="1"/>
  <c r="W78" i="1" a="1"/>
  <c r="S77" i="1" a="1"/>
  <c r="Z76" i="1" a="1"/>
  <c r="H76" i="1" a="1"/>
  <c r="W75" i="1" a="1"/>
  <c r="I75" i="1" a="1"/>
  <c r="Z74" i="1" a="1"/>
  <c r="L74" i="1" a="1"/>
  <c r="AD73" i="1" a="1"/>
  <c r="R73" i="1" a="1"/>
  <c r="F73" i="1" a="1"/>
  <c r="Z72" i="1" a="1"/>
  <c r="N72" i="1" a="1"/>
  <c r="AH71" i="1" a="1"/>
  <c r="V71" i="1" a="1"/>
  <c r="J71" i="1" a="1"/>
  <c r="AD70" i="1" a="1"/>
  <c r="R70" i="1" a="1"/>
  <c r="F70" i="1" a="1"/>
  <c r="Z69" i="1" a="1"/>
  <c r="N69" i="1" a="1"/>
  <c r="AH68" i="1" a="1"/>
  <c r="V68" i="1" a="1"/>
  <c r="J68" i="1" a="1"/>
  <c r="AD67" i="1" a="1"/>
  <c r="R67" i="1" a="1"/>
  <c r="G67" i="1" a="1"/>
  <c r="AG66" i="1" a="1"/>
  <c r="AA66" i="1" a="1"/>
  <c r="U66" i="1" a="1"/>
  <c r="O66" i="1" a="1"/>
  <c r="I66" i="1" a="1"/>
  <c r="AI65" i="1" a="1"/>
  <c r="AC65" i="1" a="1"/>
  <c r="W65" i="1" a="1"/>
  <c r="Q65" i="1" a="1"/>
  <c r="K65" i="1" a="1"/>
  <c r="AK64" i="1" a="1"/>
  <c r="AE64" i="1" a="1"/>
  <c r="Y64" i="1" a="1"/>
  <c r="S64" i="1" a="1"/>
  <c r="M64" i="1" a="1"/>
  <c r="AG63" i="1" a="1"/>
  <c r="U63" i="1" a="1"/>
  <c r="I63" i="1" a="1"/>
  <c r="AC62" i="1" a="1"/>
  <c r="Q62" i="1" a="1"/>
  <c r="AD64" i="1" a="1"/>
  <c r="F64" i="1" a="1"/>
  <c r="N63" i="1" a="1"/>
  <c r="V62" i="1" a="1"/>
  <c r="K75" i="1" a="1"/>
  <c r="L71" i="1" a="1"/>
  <c r="AB66" i="1" a="1"/>
  <c r="Z64" i="1" a="1"/>
  <c r="X62" i="1" a="1"/>
  <c r="Z82" i="1" a="1"/>
  <c r="R80" i="1" a="1"/>
  <c r="V78" i="1" a="1"/>
  <c r="R77" i="1" a="1"/>
  <c r="Y76" i="1" a="1"/>
  <c r="G76" i="1" a="1"/>
  <c r="V75" i="1" a="1"/>
  <c r="G75" i="1" a="1"/>
  <c r="Y74" i="1" a="1"/>
  <c r="K74" i="1" a="1"/>
  <c r="AC73" i="1" a="1"/>
  <c r="Q73" i="1" a="1"/>
  <c r="AK72" i="1" a="1"/>
  <c r="Y72" i="1" a="1"/>
  <c r="M72" i="1" a="1"/>
  <c r="AG71" i="1" a="1"/>
  <c r="U71" i="1" a="1"/>
  <c r="I71" i="1" a="1"/>
  <c r="AC70" i="1" a="1"/>
  <c r="Q70" i="1" a="1"/>
  <c r="AK69" i="1" a="1"/>
  <c r="Y69" i="1" a="1"/>
  <c r="M69" i="1" a="1"/>
  <c r="AG68" i="1" a="1"/>
  <c r="U68" i="1" a="1"/>
  <c r="I68" i="1" a="1"/>
  <c r="AC67" i="1" a="1"/>
  <c r="Q67" i="1" a="1"/>
  <c r="R64" i="1" a="1"/>
  <c r="AF63" i="1" a="1"/>
  <c r="H63" i="1" a="1"/>
  <c r="P62" i="1" a="1"/>
  <c r="N74" i="1" a="1"/>
  <c r="X71" i="1" a="1"/>
  <c r="T67" i="1" a="1"/>
  <c r="F65" i="1" a="1"/>
  <c r="AJ62" i="1" a="1"/>
  <c r="T82" i="1" a="1"/>
  <c r="L80" i="1" a="1"/>
  <c r="Q78" i="1" a="1"/>
  <c r="M77" i="1" a="1"/>
  <c r="V76" i="1" a="1"/>
  <c r="AJ75" i="1" a="1"/>
  <c r="U75" i="1" a="1"/>
  <c r="F75" i="1" a="1"/>
  <c r="X74" i="1" a="1"/>
  <c r="I74" i="1" a="1"/>
  <c r="AB73" i="1" a="1"/>
  <c r="P73" i="1" a="1"/>
  <c r="AJ72" i="1" a="1"/>
  <c r="X72" i="1" a="1"/>
  <c r="L72" i="1" a="1"/>
  <c r="AF71" i="1" a="1"/>
  <c r="T71" i="1" a="1"/>
  <c r="H71" i="1" a="1"/>
  <c r="AB70" i="1" a="1"/>
  <c r="P70" i="1" a="1"/>
  <c r="AJ69" i="1" a="1"/>
  <c r="X69" i="1" a="1"/>
  <c r="L69" i="1" a="1"/>
  <c r="AF68" i="1" a="1"/>
  <c r="T68" i="1" a="1"/>
  <c r="H68" i="1" a="1"/>
  <c r="AB67" i="1" a="1"/>
  <c r="P67" i="1" a="1"/>
  <c r="F67" i="1" a="1"/>
  <c r="AF66" i="1" a="1"/>
  <c r="Z66" i="1" a="1"/>
  <c r="T66" i="1" a="1"/>
  <c r="N66" i="1" a="1"/>
  <c r="H66" i="1" a="1"/>
  <c r="AH65" i="1" a="1"/>
  <c r="AB65" i="1" a="1"/>
  <c r="V65" i="1" a="1"/>
  <c r="P65" i="1" a="1"/>
  <c r="J65" i="1" a="1"/>
  <c r="X64" i="1" a="1"/>
  <c r="L64" i="1" a="1"/>
  <c r="Z63" i="1" a="1"/>
  <c r="AH62" i="1" a="1"/>
  <c r="J62" i="1" a="1"/>
  <c r="J76" i="1" a="1"/>
  <c r="H70" i="1" a="1"/>
  <c r="J66" i="1" a="1"/>
  <c r="AB63" i="1" a="1"/>
  <c r="N82" i="1" a="1"/>
  <c r="F80" i="1" a="1"/>
  <c r="P78" i="1" a="1"/>
  <c r="L77" i="1" a="1"/>
  <c r="U76" i="1" a="1"/>
  <c r="AI75" i="1" a="1"/>
  <c r="S75" i="1" a="1"/>
  <c r="AK74" i="1" a="1"/>
  <c r="W74" i="1" a="1"/>
  <c r="H74" i="1" a="1"/>
  <c r="AA73" i="1" a="1"/>
  <c r="O73" i="1" a="1"/>
  <c r="AI72" i="1" a="1"/>
  <c r="W72" i="1" a="1"/>
  <c r="K72" i="1" a="1"/>
  <c r="AE71" i="1" a="1"/>
  <c r="S71" i="1" a="1"/>
  <c r="G71" i="1" a="1"/>
  <c r="AA70" i="1" a="1"/>
  <c r="O70" i="1" a="1"/>
  <c r="AI69" i="1" a="1"/>
  <c r="W69" i="1" a="1"/>
  <c r="K69" i="1" a="1"/>
  <c r="AE68" i="1" a="1"/>
  <c r="S68" i="1" a="1"/>
  <c r="G68" i="1" a="1"/>
  <c r="AA67" i="1" a="1"/>
  <c r="O67" i="1" a="1"/>
  <c r="AF73" i="1" a="1"/>
  <c r="H73" i="1" a="1"/>
  <c r="P72" i="1" a="1"/>
  <c r="AF70" i="1" a="1"/>
  <c r="H67" i="1" a="1"/>
  <c r="X65" i="1" a="1"/>
  <c r="N64" i="1" a="1"/>
  <c r="L62" i="1" a="1"/>
  <c r="H82" i="1" a="1"/>
  <c r="AF79" i="1" a="1"/>
  <c r="K78" i="1" a="1"/>
  <c r="G77" i="1" a="1"/>
  <c r="T76" i="1" a="1"/>
  <c r="AH75" i="1" a="1"/>
  <c r="R75" i="1" a="1"/>
  <c r="AJ74" i="1" a="1"/>
  <c r="U74" i="1" a="1"/>
  <c r="G74" i="1" a="1"/>
  <c r="Z73" i="1" a="1"/>
  <c r="N73" i="1" a="1"/>
  <c r="AH72" i="1" a="1"/>
  <c r="V72" i="1" a="1"/>
  <c r="J72" i="1" a="1"/>
  <c r="AD71" i="1" a="1"/>
  <c r="R71" i="1" a="1"/>
  <c r="F71" i="1" a="1"/>
  <c r="Z70" i="1" a="1"/>
  <c r="N70" i="1" a="1"/>
  <c r="AH69" i="1" a="1"/>
  <c r="V69" i="1" a="1"/>
  <c r="J69" i="1" a="1"/>
  <c r="AD68" i="1" a="1"/>
  <c r="R68" i="1" a="1"/>
  <c r="F68" i="1" a="1"/>
  <c r="Z67" i="1" a="1"/>
  <c r="N67" i="1" a="1"/>
  <c r="AK66" i="1" a="1"/>
  <c r="AE66" i="1" a="1"/>
  <c r="Y66" i="1" a="1"/>
  <c r="S66" i="1" a="1"/>
  <c r="M66" i="1" a="1"/>
  <c r="G66" i="1" a="1"/>
  <c r="AG65" i="1" a="1"/>
  <c r="AA65" i="1" a="1"/>
  <c r="U65" i="1" a="1"/>
  <c r="O65" i="1" a="1"/>
  <c r="I65" i="1" a="1"/>
  <c r="AI64" i="1" a="1"/>
  <c r="AC64" i="1" a="1"/>
  <c r="W64" i="1" a="1"/>
  <c r="Q64" i="1" a="1"/>
  <c r="K64" i="1" a="1"/>
  <c r="AK63" i="1" a="1"/>
  <c r="AE63" i="1" a="1"/>
  <c r="Y63" i="1" a="1"/>
  <c r="S63" i="1" a="1"/>
  <c r="M63" i="1" a="1"/>
  <c r="G63" i="1" a="1"/>
  <c r="AG62" i="1" a="1"/>
  <c r="AA62" i="1" a="1"/>
  <c r="U62" i="1" a="1"/>
  <c r="O62" i="1" a="1"/>
  <c r="I62" i="1" a="1"/>
  <c r="AC63" i="1" a="1"/>
  <c r="AE62" i="1" a="1"/>
  <c r="T73" i="1" a="1"/>
  <c r="AJ68" i="1" a="1"/>
  <c r="P66" i="1" a="1"/>
  <c r="H64" i="1" a="1"/>
  <c r="AH81" i="1" a="1"/>
  <c r="Z79" i="1" a="1"/>
  <c r="J78" i="1" a="1"/>
  <c r="F77" i="1" a="1"/>
  <c r="S76" i="1" a="1"/>
  <c r="AG75" i="1" a="1"/>
  <c r="Q75" i="1" a="1"/>
  <c r="AI74" i="1" a="1"/>
  <c r="T74" i="1" a="1"/>
  <c r="F74" i="1" a="1"/>
  <c r="Y73" i="1" a="1"/>
  <c r="M73" i="1" a="1"/>
  <c r="AG72" i="1" a="1"/>
  <c r="U72" i="1" a="1"/>
  <c r="I72" i="1" a="1"/>
  <c r="AC71" i="1" a="1"/>
  <c r="Q71" i="1" a="1"/>
  <c r="AK70" i="1" a="1"/>
  <c r="Y70" i="1" a="1"/>
  <c r="M70" i="1" a="1"/>
  <c r="AG69" i="1" a="1"/>
  <c r="U69" i="1" a="1"/>
  <c r="I69" i="1" a="1"/>
  <c r="AC68" i="1" a="1"/>
  <c r="Q68" i="1" a="1"/>
  <c r="AK67" i="1" a="1"/>
  <c r="Y67" i="1" a="1"/>
  <c r="M67" i="1" a="1"/>
  <c r="W63" i="1" a="1"/>
  <c r="S62" i="1" a="1"/>
  <c r="AJ80" i="1" a="1"/>
  <c r="L68" i="1" a="1"/>
  <c r="L65" i="1" a="1"/>
  <c r="J63" i="1" a="1"/>
  <c r="AB81" i="1" a="1"/>
  <c r="T79" i="1" a="1"/>
  <c r="AK77" i="1" a="1"/>
  <c r="AH76" i="1" a="1"/>
  <c r="P76" i="1" a="1"/>
  <c r="AD75" i="1" a="1"/>
  <c r="P75" i="1" a="1"/>
  <c r="AG74" i="1" a="1"/>
  <c r="S74" i="1" a="1"/>
  <c r="AK73" i="1" a="1"/>
  <c r="X73" i="1" a="1"/>
  <c r="L73" i="1" a="1"/>
  <c r="AF72" i="1" a="1"/>
  <c r="T72" i="1" a="1"/>
  <c r="H72" i="1" a="1"/>
  <c r="AB71" i="1" a="1"/>
  <c r="P71" i="1" a="1"/>
  <c r="AJ70" i="1" a="1"/>
  <c r="X70" i="1" a="1"/>
  <c r="L70" i="1" a="1"/>
  <c r="AF69" i="1" a="1"/>
  <c r="T69" i="1" a="1"/>
  <c r="H69" i="1" a="1"/>
  <c r="AB68" i="1" a="1"/>
  <c r="P68" i="1" a="1"/>
  <c r="AJ67" i="1" a="1"/>
  <c r="X67" i="1" a="1"/>
  <c r="L67" i="1" a="1"/>
  <c r="AJ66" i="1" a="1"/>
  <c r="AD66" i="1" a="1"/>
  <c r="X66" i="1" a="1"/>
  <c r="R66" i="1" a="1"/>
  <c r="L66" i="1" a="1"/>
  <c r="F66" i="1" a="1"/>
  <c r="AF65" i="1" a="1"/>
  <c r="Z65" i="1" a="1"/>
  <c r="T65" i="1" a="1"/>
  <c r="N65" i="1" a="1"/>
  <c r="H65" i="1" a="1"/>
  <c r="AH64" i="1" a="1"/>
  <c r="AB64" i="1" a="1"/>
  <c r="V64" i="1" a="1"/>
  <c r="P64" i="1" a="1"/>
  <c r="J64" i="1" a="1"/>
  <c r="AJ63" i="1" a="1"/>
  <c r="AD63" i="1" a="1"/>
  <c r="X63" i="1" a="1"/>
  <c r="R63" i="1" a="1"/>
  <c r="L63" i="1" a="1"/>
  <c r="F63" i="1" a="1"/>
  <c r="AF62" i="1" a="1"/>
  <c r="Z62" i="1" a="1"/>
  <c r="T62" i="1" a="1"/>
  <c r="N62" i="1" a="1"/>
  <c r="H62" i="1" a="1"/>
  <c r="O64" i="1" a="1"/>
  <c r="K63" i="1" a="1"/>
  <c r="M62" i="1" a="1"/>
  <c r="Y77" i="1" a="1"/>
  <c r="X68" i="1" a="1"/>
  <c r="AD65" i="1" a="1"/>
  <c r="AH63" i="1" a="1"/>
  <c r="F62" i="1" a="1"/>
  <c r="V81" i="1" a="1"/>
  <c r="N79" i="1" a="1"/>
  <c r="AJ77" i="1" a="1"/>
  <c r="AG76" i="1" a="1"/>
  <c r="O76" i="1" a="1"/>
  <c r="AC75" i="1" a="1"/>
  <c r="O75" i="1" a="1"/>
  <c r="AF74" i="1" a="1"/>
  <c r="R74" i="1" a="1"/>
  <c r="AI73" i="1" a="1"/>
  <c r="W73" i="1" a="1"/>
  <c r="K73" i="1" a="1"/>
  <c r="AE72" i="1" a="1"/>
  <c r="S72" i="1" a="1"/>
  <c r="G72" i="1" a="1"/>
  <c r="AA71" i="1" a="1"/>
  <c r="O71" i="1" a="1"/>
  <c r="AI70" i="1" a="1"/>
  <c r="W70" i="1" a="1"/>
  <c r="K70" i="1" a="1"/>
  <c r="AE69" i="1" a="1"/>
  <c r="S69" i="1" a="1"/>
  <c r="G69" i="1" a="1"/>
  <c r="AA68" i="1" a="1"/>
  <c r="O68" i="1" a="1"/>
  <c r="AI67" i="1" a="1"/>
  <c r="W67" i="1" a="1"/>
  <c r="K67" i="1" a="1"/>
  <c r="Z68" i="1" a="1"/>
  <c r="AI66" i="1" a="1"/>
  <c r="Q66" i="1" a="1"/>
  <c r="AK65" i="1" a="1"/>
  <c r="Y65" i="1" a="1"/>
  <c r="M65" i="1" a="1"/>
  <c r="AG64" i="1" a="1"/>
  <c r="U64" i="1" a="1"/>
  <c r="I64" i="1" a="1"/>
  <c r="Q63" i="1" a="1"/>
  <c r="Y62" i="1" a="1"/>
  <c r="AC78" i="1" a="1"/>
  <c r="AF67" i="1" a="1"/>
  <c r="AF64" i="1" a="1"/>
  <c r="AD62" i="1" a="1"/>
  <c r="P81" i="1" a="1"/>
  <c r="H79" i="1" a="1"/>
  <c r="AE77" i="1" a="1"/>
  <c r="AF76" i="1" a="1"/>
  <c r="N76" i="1" a="1"/>
  <c r="AB75" i="1" a="1"/>
  <c r="M75" i="1" a="1"/>
  <c r="AE74" i="1" a="1"/>
  <c r="Q74" i="1" a="1"/>
  <c r="AH73" i="1" a="1"/>
  <c r="V73" i="1" a="1"/>
  <c r="J73" i="1" a="1"/>
  <c r="AD72" i="1" a="1"/>
  <c r="R72" i="1" a="1"/>
  <c r="F72" i="1" a="1"/>
  <c r="Z71" i="1" a="1"/>
  <c r="N71" i="1" a="1"/>
  <c r="AH70" i="1" a="1"/>
  <c r="V70" i="1" a="1"/>
  <c r="J70" i="1" a="1"/>
  <c r="AD69" i="1" a="1"/>
  <c r="R69" i="1" a="1"/>
  <c r="F69" i="1" a="1"/>
  <c r="N68" i="1" a="1"/>
  <c r="AH67" i="1" a="1"/>
  <c r="V67" i="1" a="1"/>
  <c r="J67" i="1" a="1"/>
  <c r="AC66" i="1" a="1"/>
  <c r="W66" i="1" a="1"/>
  <c r="K66" i="1" a="1"/>
  <c r="AE65" i="1" a="1"/>
  <c r="S65" i="1" a="1"/>
  <c r="G65" i="1" a="1"/>
  <c r="AA64" i="1" a="1"/>
  <c r="AI63" i="1" a="1"/>
  <c r="AK62" i="1" a="1"/>
  <c r="G62" i="1" a="1"/>
  <c r="AB76" i="1" a="1"/>
  <c r="P69" i="1" a="1"/>
  <c r="AJ65" i="1" a="1"/>
  <c r="P63" i="1" a="1"/>
  <c r="J81" i="1" a="1"/>
  <c r="AH78" i="1" a="1"/>
  <c r="AD77" i="1" a="1"/>
  <c r="AE76" i="1" a="1"/>
  <c r="M76" i="1" a="1"/>
  <c r="AA75" i="1" a="1"/>
  <c r="L75" i="1" a="1"/>
  <c r="AD74" i="1" a="1"/>
  <c r="O74" i="1" a="1"/>
  <c r="AG73" i="1" a="1"/>
  <c r="U73" i="1" a="1"/>
  <c r="I73" i="1" a="1"/>
  <c r="AC72" i="1" a="1"/>
  <c r="Q72" i="1" a="1"/>
  <c r="AK71" i="1" a="1"/>
  <c r="Y71" i="1" a="1"/>
  <c r="M71" i="1" a="1"/>
  <c r="AG70" i="1" a="1"/>
  <c r="U70" i="1" a="1"/>
  <c r="I70" i="1" a="1"/>
  <c r="AC69" i="1" a="1"/>
  <c r="Q69" i="1" a="1"/>
  <c r="AK68" i="1" a="1"/>
  <c r="Y68" i="1" a="1"/>
  <c r="M68" i="1" a="1"/>
  <c r="AG67" i="1" a="1"/>
  <c r="U67" i="1" a="1"/>
  <c r="I67" i="1" a="1"/>
  <c r="AC74" i="1" a="1"/>
  <c r="AB72" i="1" a="1"/>
  <c r="AJ71" i="1" a="1"/>
  <c r="AB69" i="1" a="1"/>
  <c r="AH66" i="1" a="1"/>
  <c r="R65" i="1" a="1"/>
  <c r="V63" i="1" a="1"/>
  <c r="AD80" i="1" a="1"/>
  <c r="AB78" i="1" a="1"/>
  <c r="X77" i="1" a="1"/>
  <c r="AA76" i="1" a="1"/>
  <c r="I76" i="1" a="1"/>
  <c r="X75" i="1" a="1"/>
  <c r="J75" i="1" a="1"/>
  <c r="AA74" i="1" a="1"/>
  <c r="M74" i="1" a="1"/>
  <c r="AE73" i="1" a="1"/>
  <c r="S73" i="1" a="1"/>
  <c r="G73" i="1" a="1"/>
  <c r="AA72" i="1" a="1"/>
  <c r="O72" i="1" a="1"/>
  <c r="AI71" i="1" a="1"/>
  <c r="W71" i="1" a="1"/>
  <c r="K71" i="1" a="1"/>
  <c r="AE70" i="1" a="1"/>
  <c r="S70" i="1" a="1"/>
  <c r="G70" i="1" a="1"/>
  <c r="AA69" i="1" a="1"/>
  <c r="O69" i="1" a="1"/>
  <c r="AI68" i="1" a="1"/>
  <c r="W68" i="1" a="1"/>
  <c r="K68" i="1" a="1"/>
  <c r="AE67" i="1" a="1"/>
  <c r="S67" i="1" a="1"/>
  <c r="G64" i="1" a="1"/>
  <c r="AA63" i="1" a="1"/>
  <c r="O63" i="1" a="1"/>
  <c r="AI62" i="1" a="1"/>
  <c r="W62" i="1" a="1"/>
  <c r="K62" i="1" a="1"/>
  <c r="AJ64" i="1" a="1"/>
  <c r="T63" i="1" a="1"/>
  <c r="AB62" i="1" a="1"/>
  <c r="Y75" i="1" a="1"/>
  <c r="T70" i="1" a="1"/>
  <c r="V66" i="1" a="1"/>
  <c r="T64" i="1" a="1"/>
  <c r="R62" i="1" a="1"/>
  <c r="AK58" i="1" a="1"/>
  <c r="AE58" i="1" a="1"/>
  <c r="Y58" i="1" a="1"/>
  <c r="S58" i="1" a="1"/>
  <c r="M58" i="1" a="1"/>
  <c r="G58" i="1" a="1"/>
  <c r="AG57" i="1" a="1"/>
  <c r="AA57" i="1" a="1"/>
  <c r="U57" i="1" a="1"/>
  <c r="O57" i="1" a="1"/>
  <c r="I57" i="1" a="1"/>
  <c r="AI56" i="1" a="1"/>
  <c r="AC56" i="1" a="1"/>
  <c r="W56" i="1" a="1"/>
  <c r="Q56" i="1" a="1"/>
  <c r="K56" i="1" a="1"/>
  <c r="AK55" i="1" a="1"/>
  <c r="AE55" i="1" a="1"/>
  <c r="Y55" i="1" a="1"/>
  <c r="S55" i="1" a="1"/>
  <c r="M55" i="1" a="1"/>
  <c r="G55" i="1" a="1"/>
  <c r="AG54" i="1" a="1"/>
  <c r="AA54" i="1" a="1"/>
  <c r="U54" i="1" a="1"/>
  <c r="O54" i="1" a="1"/>
  <c r="I54" i="1" a="1"/>
  <c r="AI53" i="1" a="1"/>
  <c r="AC53" i="1" a="1"/>
  <c r="W53" i="1" a="1"/>
  <c r="Q53" i="1" a="1"/>
  <c r="K53" i="1" a="1"/>
  <c r="AK52" i="1" a="1"/>
  <c r="AJ58" i="1" a="1"/>
  <c r="AD58" i="1" a="1"/>
  <c r="X58" i="1" a="1"/>
  <c r="R58" i="1" a="1"/>
  <c r="L58" i="1" a="1"/>
  <c r="F58" i="1" a="1"/>
  <c r="AF57" i="1" a="1"/>
  <c r="Z57" i="1" a="1"/>
  <c r="T57" i="1" a="1"/>
  <c r="N57" i="1" a="1"/>
  <c r="H57" i="1" a="1"/>
  <c r="AH56" i="1" a="1"/>
  <c r="AB56" i="1" a="1"/>
  <c r="V56" i="1" a="1"/>
  <c r="P56" i="1" a="1"/>
  <c r="J56" i="1" a="1"/>
  <c r="AJ55" i="1" a="1"/>
  <c r="AD55" i="1" a="1"/>
  <c r="X55" i="1" a="1"/>
  <c r="R55" i="1" a="1"/>
  <c r="L55" i="1" a="1"/>
  <c r="F55" i="1" a="1"/>
  <c r="AF54" i="1" a="1"/>
  <c r="Z54" i="1" a="1"/>
  <c r="T54" i="1" a="1"/>
  <c r="N54" i="1" a="1"/>
  <c r="H54" i="1" a="1"/>
  <c r="AH53" i="1" a="1"/>
  <c r="AB53" i="1" a="1"/>
  <c r="V53" i="1" a="1"/>
  <c r="P53" i="1" a="1"/>
  <c r="J53" i="1" a="1"/>
  <c r="AJ52" i="1" a="1"/>
  <c r="AD52" i="1" a="1"/>
  <c r="X52" i="1" a="1"/>
  <c r="R52" i="1" a="1"/>
  <c r="L52" i="1" a="1"/>
  <c r="F52" i="1" a="1"/>
  <c r="AF51" i="1" a="1"/>
  <c r="Z51" i="1" a="1"/>
  <c r="T51" i="1" a="1"/>
  <c r="N51" i="1" a="1"/>
  <c r="H51" i="1" a="1"/>
  <c r="AH50" i="1" a="1"/>
  <c r="AB50" i="1" a="1"/>
  <c r="V50" i="1" a="1"/>
  <c r="P50" i="1" a="1"/>
  <c r="J50" i="1" a="1"/>
  <c r="AJ49" i="1" a="1"/>
  <c r="AD49" i="1" a="1"/>
  <c r="X49" i="1" a="1"/>
  <c r="AI58" i="1" a="1"/>
  <c r="AC58" i="1" a="1"/>
  <c r="W58" i="1" a="1"/>
  <c r="Q58" i="1" a="1"/>
  <c r="K58" i="1" a="1"/>
  <c r="AK57" i="1" a="1"/>
  <c r="AE57" i="1" a="1"/>
  <c r="Y57" i="1" a="1"/>
  <c r="S57" i="1" a="1"/>
  <c r="M57" i="1" a="1"/>
  <c r="G57" i="1" a="1"/>
  <c r="AG56" i="1" a="1"/>
  <c r="AA56" i="1" a="1"/>
  <c r="U56" i="1" a="1"/>
  <c r="O56" i="1" a="1"/>
  <c r="I56" i="1" a="1"/>
  <c r="AI55" i="1" a="1"/>
  <c r="AC55" i="1" a="1"/>
  <c r="W55" i="1" a="1"/>
  <c r="Q55" i="1" a="1"/>
  <c r="K55" i="1" a="1"/>
  <c r="AK54" i="1" a="1"/>
  <c r="AE54" i="1" a="1"/>
  <c r="Y54" i="1" a="1"/>
  <c r="S54" i="1" a="1"/>
  <c r="M54" i="1" a="1"/>
  <c r="G54" i="1" a="1"/>
  <c r="AG53" i="1" a="1"/>
  <c r="AA53" i="1" a="1"/>
  <c r="U53" i="1" a="1"/>
  <c r="O53" i="1" a="1"/>
  <c r="AH58" i="1" a="1"/>
  <c r="AB58" i="1" a="1"/>
  <c r="V58" i="1" a="1"/>
  <c r="P58" i="1" a="1"/>
  <c r="J58" i="1" a="1"/>
  <c r="AJ57" i="1" a="1"/>
  <c r="AD57" i="1" a="1"/>
  <c r="X57" i="1" a="1"/>
  <c r="R57" i="1" a="1"/>
  <c r="L57" i="1" a="1"/>
  <c r="F57" i="1" a="1"/>
  <c r="AF56" i="1" a="1"/>
  <c r="Z56" i="1" a="1"/>
  <c r="T56" i="1" a="1"/>
  <c r="N56" i="1" a="1"/>
  <c r="H56" i="1" a="1"/>
  <c r="AH55" i="1" a="1"/>
  <c r="AB55" i="1" a="1"/>
  <c r="V55" i="1" a="1"/>
  <c r="P55" i="1" a="1"/>
  <c r="J55" i="1" a="1"/>
  <c r="AJ54" i="1" a="1"/>
  <c r="AD54" i="1" a="1"/>
  <c r="X54" i="1" a="1"/>
  <c r="R54" i="1" a="1"/>
  <c r="L54" i="1" a="1"/>
  <c r="F54" i="1" a="1"/>
  <c r="AF53" i="1" a="1"/>
  <c r="Z53" i="1" a="1"/>
  <c r="T53" i="1" a="1"/>
  <c r="N53" i="1" a="1"/>
  <c r="H53" i="1" a="1"/>
  <c r="AG58" i="1" a="1"/>
  <c r="AA58" i="1" a="1"/>
  <c r="U58" i="1" a="1"/>
  <c r="O58" i="1" a="1"/>
  <c r="I58" i="1" a="1"/>
  <c r="AI57" i="1" a="1"/>
  <c r="AC57" i="1" a="1"/>
  <c r="W57" i="1" a="1"/>
  <c r="Q57" i="1" a="1"/>
  <c r="K57" i="1" a="1"/>
  <c r="AK56" i="1" a="1"/>
  <c r="AE56" i="1" a="1"/>
  <c r="Y56" i="1" a="1"/>
  <c r="S56" i="1" a="1"/>
  <c r="M56" i="1" a="1"/>
  <c r="G56" i="1" a="1"/>
  <c r="AG55" i="1" a="1"/>
  <c r="AA55" i="1" a="1"/>
  <c r="U55" i="1" a="1"/>
  <c r="O55" i="1" a="1"/>
  <c r="I55" i="1" a="1"/>
  <c r="AI54" i="1" a="1"/>
  <c r="AC54" i="1" a="1"/>
  <c r="W54" i="1" a="1"/>
  <c r="Q54" i="1" a="1"/>
  <c r="K54" i="1" a="1"/>
  <c r="AK53" i="1" a="1"/>
  <c r="AE53" i="1" a="1"/>
  <c r="Y53" i="1" a="1"/>
  <c r="S53" i="1" a="1"/>
  <c r="M53" i="1" a="1"/>
  <c r="G53" i="1" a="1"/>
  <c r="AC52" i="1" a="1"/>
  <c r="Q52" i="1" a="1"/>
  <c r="AK51" i="1" a="1"/>
  <c r="Y51" i="1" a="1"/>
  <c r="M51" i="1" a="1"/>
  <c r="AG50" i="1" a="1"/>
  <c r="U50" i="1" a="1"/>
  <c r="I50" i="1" a="1"/>
  <c r="AC49" i="1" a="1"/>
  <c r="R49" i="1" a="1"/>
  <c r="G49" i="1" a="1"/>
  <c r="AC48" i="1" a="1"/>
  <c r="S48" i="1" a="1"/>
  <c r="AD47" i="1" a="1"/>
  <c r="T47" i="1" a="1"/>
  <c r="J47" i="1" a="1"/>
  <c r="AE46" i="1" a="1"/>
  <c r="U46" i="1" a="1"/>
  <c r="K46" i="1" a="1"/>
  <c r="V45" i="1" a="1"/>
  <c r="L45" i="1" a="1"/>
  <c r="AH44" i="1" a="1"/>
  <c r="W44" i="1" a="1"/>
  <c r="M44" i="1" a="1"/>
  <c r="AI43" i="1" a="1"/>
  <c r="AF45" i="1" a="1"/>
  <c r="AH43" i="1" a="1"/>
  <c r="AK42" i="1" a="1"/>
  <c r="S42" i="1" a="1"/>
  <c r="AG41" i="1" a="1"/>
  <c r="I41" i="1" a="1"/>
  <c r="W40" i="1" a="1"/>
  <c r="AK39" i="1" a="1"/>
  <c r="S39" i="1" a="1"/>
  <c r="AG38" i="1" a="1"/>
  <c r="O38" i="1" a="1"/>
  <c r="N41" i="1" a="1"/>
  <c r="AJ39" i="1" a="1"/>
  <c r="F39" i="1" a="1"/>
  <c r="H38" i="1" a="1"/>
  <c r="AI50" i="1" a="1"/>
  <c r="S49" i="1" a="1"/>
  <c r="AH45" i="1" a="1"/>
  <c r="AF58" i="1" a="1"/>
  <c r="AB57" i="1" a="1"/>
  <c r="X56" i="1" a="1"/>
  <c r="T55" i="1" a="1"/>
  <c r="P54" i="1" a="1"/>
  <c r="L53" i="1" a="1"/>
  <c r="AB52" i="1" a="1"/>
  <c r="P52" i="1" a="1"/>
  <c r="AJ51" i="1" a="1"/>
  <c r="X51" i="1" a="1"/>
  <c r="L51" i="1" a="1"/>
  <c r="AF50" i="1" a="1"/>
  <c r="T50" i="1" a="1"/>
  <c r="H50" i="1" a="1"/>
  <c r="AB49" i="1" a="1"/>
  <c r="Q49" i="1" a="1"/>
  <c r="AB48" i="1" a="1"/>
  <c r="R48" i="1" a="1"/>
  <c r="H48" i="1" a="1"/>
  <c r="AC47" i="1" a="1"/>
  <c r="S47" i="1" a="1"/>
  <c r="I47" i="1" a="1"/>
  <c r="T46" i="1" a="1"/>
  <c r="U45" i="1" a="1"/>
  <c r="K45" i="1" a="1"/>
  <c r="AG44" i="1" a="1"/>
  <c r="L44" i="1" a="1"/>
  <c r="M43" i="1" a="1"/>
  <c r="Y42" i="1" a="1"/>
  <c r="G42" i="1" a="1"/>
  <c r="U41" i="1" a="1"/>
  <c r="AI40" i="1" a="1"/>
  <c r="Q40" i="1" a="1"/>
  <c r="AE39" i="1" a="1"/>
  <c r="M39" i="1" a="1"/>
  <c r="AA38" i="1" a="1"/>
  <c r="Z41" i="1" a="1"/>
  <c r="V40" i="1" a="1"/>
  <c r="X39" i="1" a="1"/>
  <c r="Z38" i="1" a="1"/>
  <c r="G52" i="1" a="1"/>
  <c r="O44" i="1" a="1"/>
  <c r="AA52" i="1" a="1"/>
  <c r="O52" i="1" a="1"/>
  <c r="AI51" i="1" a="1"/>
  <c r="W51" i="1" a="1"/>
  <c r="K51" i="1" a="1"/>
  <c r="AE50" i="1" a="1"/>
  <c r="S50" i="1" a="1"/>
  <c r="G50" i="1" a="1"/>
  <c r="AA49" i="1" a="1"/>
  <c r="P49" i="1" a="1"/>
  <c r="F49" i="1" a="1"/>
  <c r="AA48" i="1" a="1"/>
  <c r="Q48" i="1" a="1"/>
  <c r="G48" i="1" a="1"/>
  <c r="R47" i="1" a="1"/>
  <c r="H47" i="1" a="1"/>
  <c r="AD46" i="1" a="1"/>
  <c r="S46" i="1" a="1"/>
  <c r="I46" i="1" a="1"/>
  <c r="AE45" i="1" a="1"/>
  <c r="J45" i="1" a="1"/>
  <c r="AF44" i="1" a="1"/>
  <c r="V44" i="1" a="1"/>
  <c r="K44" i="1" a="1"/>
  <c r="AG43" i="1" a="1"/>
  <c r="W43" i="1" a="1"/>
  <c r="R42" i="1" a="1"/>
  <c r="AH40" i="1" a="1"/>
  <c r="P40" i="1" a="1"/>
  <c r="R39" i="1" a="1"/>
  <c r="T38" i="1" a="1"/>
  <c r="AA51" i="1" a="1"/>
  <c r="AE48" i="1" a="1"/>
  <c r="X45" i="1" a="1"/>
  <c r="Z58" i="1" a="1"/>
  <c r="V57" i="1" a="1"/>
  <c r="R56" i="1" a="1"/>
  <c r="N55" i="1" a="1"/>
  <c r="J54" i="1" a="1"/>
  <c r="I53" i="1" a="1"/>
  <c r="Z52" i="1" a="1"/>
  <c r="N52" i="1" a="1"/>
  <c r="AH51" i="1" a="1"/>
  <c r="V51" i="1" a="1"/>
  <c r="J51" i="1" a="1"/>
  <c r="AD50" i="1" a="1"/>
  <c r="R50" i="1" a="1"/>
  <c r="F50" i="1" a="1"/>
  <c r="Z49" i="1" a="1"/>
  <c r="O49" i="1" a="1"/>
  <c r="AK48" i="1" a="1"/>
  <c r="P48" i="1" a="1"/>
  <c r="F48" i="1" a="1"/>
  <c r="AB47" i="1" a="1"/>
  <c r="Q47" i="1" a="1"/>
  <c r="G47" i="1" a="1"/>
  <c r="AC46" i="1" a="1"/>
  <c r="H46" i="1" a="1"/>
  <c r="AD45" i="1" a="1"/>
  <c r="T45" i="1" a="1"/>
  <c r="I45" i="1" a="1"/>
  <c r="AE44" i="1" a="1"/>
  <c r="U44" i="1" a="1"/>
  <c r="AF43" i="1" a="1"/>
  <c r="V43" i="1" a="1"/>
  <c r="L43" i="1" a="1"/>
  <c r="AJ42" i="1" a="1"/>
  <c r="AD42" i="1" a="1"/>
  <c r="X42" i="1" a="1"/>
  <c r="L42" i="1" a="1"/>
  <c r="F42" i="1" a="1"/>
  <c r="AF41" i="1" a="1"/>
  <c r="H41" i="1" a="1"/>
  <c r="AB40" i="1" a="1"/>
  <c r="AD39" i="1" a="1"/>
  <c r="AF38" i="1" a="1"/>
  <c r="S52" i="1" a="1"/>
  <c r="K50" i="1" a="1"/>
  <c r="J48" i="1" a="1"/>
  <c r="AI44" i="1" a="1"/>
  <c r="F53" i="1" a="1"/>
  <c r="Y52" i="1" a="1"/>
  <c r="M52" i="1" a="1"/>
  <c r="AG51" i="1" a="1"/>
  <c r="U51" i="1" a="1"/>
  <c r="I51" i="1" a="1"/>
  <c r="AC50" i="1" a="1"/>
  <c r="Q50" i="1" a="1"/>
  <c r="AK49" i="1" a="1"/>
  <c r="Y49" i="1" a="1"/>
  <c r="N49" i="1" a="1"/>
  <c r="AJ48" i="1" a="1"/>
  <c r="Z48" i="1" a="1"/>
  <c r="O48" i="1" a="1"/>
  <c r="AK47" i="1" a="1"/>
  <c r="AA47" i="1" a="1"/>
  <c r="F47" i="1" a="1"/>
  <c r="AB46" i="1" a="1"/>
  <c r="R46" i="1" a="1"/>
  <c r="G46" i="1" a="1"/>
  <c r="AC45" i="1" a="1"/>
  <c r="S45" i="1" a="1"/>
  <c r="AD44" i="1" a="1"/>
  <c r="T44" i="1" a="1"/>
  <c r="J44" i="1" a="1"/>
  <c r="AE43" i="1" a="1"/>
  <c r="U43" i="1" a="1"/>
  <c r="K43" i="1" a="1"/>
  <c r="Z47" i="1" a="1"/>
  <c r="H45" i="1" a="1"/>
  <c r="I44" i="1" a="1"/>
  <c r="J43" i="1" a="1"/>
  <c r="AI42" i="1" a="1"/>
  <c r="W42" i="1" a="1"/>
  <c r="K42" i="1" a="1"/>
  <c r="AE41" i="1" a="1"/>
  <c r="S41" i="1" a="1"/>
  <c r="AG40" i="1" a="1"/>
  <c r="U40" i="1" a="1"/>
  <c r="I40" i="1" a="1"/>
  <c r="AC39" i="1" a="1"/>
  <c r="Q39" i="1" a="1"/>
  <c r="AK38" i="1" a="1"/>
  <c r="S38" i="1" a="1"/>
  <c r="G38" i="1" a="1"/>
  <c r="O39" i="1" a="1"/>
  <c r="Q38" i="1" a="1"/>
  <c r="P43" i="1" a="1"/>
  <c r="T58" i="1" a="1"/>
  <c r="P57" i="1" a="1"/>
  <c r="L56" i="1" a="1"/>
  <c r="H55" i="1" a="1"/>
  <c r="AJ53" i="1" a="1"/>
  <c r="M49" i="1" a="1"/>
  <c r="AI48" i="1" a="1"/>
  <c r="Y48" i="1" a="1"/>
  <c r="AJ47" i="1" a="1"/>
  <c r="P47" i="1" a="1"/>
  <c r="AK46" i="1" a="1"/>
  <c r="AA46" i="1" a="1"/>
  <c r="Q46" i="1" a="1"/>
  <c r="AB45" i="1" a="1"/>
  <c r="R45" i="1" a="1"/>
  <c r="AC44" i="1" a="1"/>
  <c r="S44" i="1" a="1"/>
  <c r="T43" i="1" a="1"/>
  <c r="AC42" i="1" a="1"/>
  <c r="Q42" i="1" a="1"/>
  <c r="AK41" i="1" a="1"/>
  <c r="Y41" i="1" a="1"/>
  <c r="M41" i="1" a="1"/>
  <c r="G41" i="1" a="1"/>
  <c r="AA40" i="1" a="1"/>
  <c r="O40" i="1" a="1"/>
  <c r="AI39" i="1" a="1"/>
  <c r="W39" i="1" a="1"/>
  <c r="K39" i="1" a="1"/>
  <c r="AE38" i="1" a="1"/>
  <c r="Y38" i="1" a="1"/>
  <c r="M38" i="1" a="1"/>
  <c r="AA39" i="1" a="1"/>
  <c r="K38" i="1" a="1"/>
  <c r="AE52" i="1" a="1"/>
  <c r="AF47" i="1" a="1"/>
  <c r="AI52" i="1" a="1"/>
  <c r="W52" i="1" a="1"/>
  <c r="K52" i="1" a="1"/>
  <c r="AE51" i="1" a="1"/>
  <c r="S51" i="1" a="1"/>
  <c r="G51" i="1" a="1"/>
  <c r="AA50" i="1" a="1"/>
  <c r="O50" i="1" a="1"/>
  <c r="AI49" i="1" a="1"/>
  <c r="W49" i="1" a="1"/>
  <c r="AH48" i="1" a="1"/>
  <c r="X48" i="1" a="1"/>
  <c r="N48" i="1" a="1"/>
  <c r="AI47" i="1" a="1"/>
  <c r="Y47" i="1" a="1"/>
  <c r="O47" i="1" a="1"/>
  <c r="Z46" i="1" a="1"/>
  <c r="P46" i="1" a="1"/>
  <c r="F46" i="1" a="1"/>
  <c r="AA45" i="1" a="1"/>
  <c r="Q45" i="1" a="1"/>
  <c r="G45" i="1" a="1"/>
  <c r="R44" i="1" a="1"/>
  <c r="H44" i="1" a="1"/>
  <c r="AD43" i="1" a="1"/>
  <c r="S43" i="1" a="1"/>
  <c r="I43" i="1" a="1"/>
  <c r="AK45" i="1" a="1"/>
  <c r="Q44" i="1" a="1"/>
  <c r="AC43" i="1" a="1"/>
  <c r="AH42" i="1" a="1"/>
  <c r="V42" i="1" a="1"/>
  <c r="J42" i="1" a="1"/>
  <c r="AD41" i="1" a="1"/>
  <c r="R41" i="1" a="1"/>
  <c r="F41" i="1" a="1"/>
  <c r="Z40" i="1" a="1"/>
  <c r="T40" i="1" a="1"/>
  <c r="H40" i="1" a="1"/>
  <c r="AB39" i="1" a="1"/>
  <c r="P39" i="1" a="1"/>
  <c r="AJ38" i="1" a="1"/>
  <c r="AD38" i="1" a="1"/>
  <c r="R38" i="1" a="1"/>
  <c r="O42" i="1" a="1"/>
  <c r="W41" i="1" a="1"/>
  <c r="AE40" i="1" a="1"/>
  <c r="AG39" i="1" a="1"/>
  <c r="AC38" i="1" a="1"/>
  <c r="K47" i="1" a="1"/>
  <c r="N58" i="1" a="1"/>
  <c r="J57" i="1" a="1"/>
  <c r="F56" i="1" a="1"/>
  <c r="AH54" i="1" a="1"/>
  <c r="AD53" i="1" a="1"/>
  <c r="AH52" i="1" a="1"/>
  <c r="V52" i="1" a="1"/>
  <c r="J52" i="1" a="1"/>
  <c r="AD51" i="1" a="1"/>
  <c r="R51" i="1" a="1"/>
  <c r="F51" i="1" a="1"/>
  <c r="Z50" i="1" a="1"/>
  <c r="N50" i="1" a="1"/>
  <c r="AH49" i="1" a="1"/>
  <c r="V49" i="1" a="1"/>
  <c r="L49" i="1" a="1"/>
  <c r="AG48" i="1" a="1"/>
  <c r="W48" i="1" a="1"/>
  <c r="M48" i="1" a="1"/>
  <c r="X47" i="1" a="1"/>
  <c r="N47" i="1" a="1"/>
  <c r="AJ46" i="1" a="1"/>
  <c r="Y46" i="1" a="1"/>
  <c r="O46" i="1" a="1"/>
  <c r="P45" i="1" a="1"/>
  <c r="F45" i="1" a="1"/>
  <c r="AB44" i="1" a="1"/>
  <c r="G44" i="1" a="1"/>
  <c r="H43" i="1" a="1"/>
  <c r="AB42" i="1" a="1"/>
  <c r="P42" i="1" a="1"/>
  <c r="AJ41" i="1" a="1"/>
  <c r="X41" i="1" a="1"/>
  <c r="L41" i="1" a="1"/>
  <c r="AF40" i="1" a="1"/>
  <c r="N40" i="1" a="1"/>
  <c r="AH39" i="1" a="1"/>
  <c r="V39" i="1" a="1"/>
  <c r="J39" i="1" a="1"/>
  <c r="X38" i="1" a="1"/>
  <c r="L38" i="1" a="1"/>
  <c r="AA42" i="1" a="1"/>
  <c r="K41" i="1" a="1"/>
  <c r="S40" i="1" a="1"/>
  <c r="U39" i="1" a="1"/>
  <c r="W38" i="1" a="1"/>
  <c r="I49" i="1" a="1"/>
  <c r="N45" i="1" a="1"/>
  <c r="AG52" i="1" a="1"/>
  <c r="U52" i="1" a="1"/>
  <c r="I52" i="1" a="1"/>
  <c r="AC51" i="1" a="1"/>
  <c r="Q51" i="1" a="1"/>
  <c r="AK50" i="1" a="1"/>
  <c r="Y50" i="1" a="1"/>
  <c r="M50" i="1" a="1"/>
  <c r="AG49" i="1" a="1"/>
  <c r="U49" i="1" a="1"/>
  <c r="K49" i="1" a="1"/>
  <c r="V48" i="1" a="1"/>
  <c r="L48" i="1" a="1"/>
  <c r="AH47" i="1" a="1"/>
  <c r="W47" i="1" a="1"/>
  <c r="M47" i="1" a="1"/>
  <c r="AI46" i="1" a="1"/>
  <c r="N46" i="1" a="1"/>
  <c r="AJ45" i="1" a="1"/>
  <c r="Z45" i="1" a="1"/>
  <c r="O45" i="1" a="1"/>
  <c r="AK44" i="1" a="1"/>
  <c r="AA44" i="1" a="1"/>
  <c r="F44" i="1" a="1"/>
  <c r="AB43" i="1" a="1"/>
  <c r="R43" i="1" a="1"/>
  <c r="I42" i="1" a="1"/>
  <c r="Q41" i="1" a="1"/>
  <c r="Y40" i="1" a="1"/>
  <c r="G40" i="1" a="1"/>
  <c r="I39" i="1" a="1"/>
  <c r="AG46" i="1" a="1"/>
  <c r="H58" i="1" a="1"/>
  <c r="AJ56" i="1" a="1"/>
  <c r="AF55" i="1" a="1"/>
  <c r="AB54" i="1" a="1"/>
  <c r="X53" i="1" a="1"/>
  <c r="AF52" i="1" a="1"/>
  <c r="T52" i="1" a="1"/>
  <c r="H52" i="1" a="1"/>
  <c r="AB51" i="1" a="1"/>
  <c r="P51" i="1" a="1"/>
  <c r="AJ50" i="1" a="1"/>
  <c r="X50" i="1" a="1"/>
  <c r="L50" i="1" a="1"/>
  <c r="AF49" i="1" a="1"/>
  <c r="T49" i="1" a="1"/>
  <c r="J49" i="1" a="1"/>
  <c r="AF48" i="1" a="1"/>
  <c r="U48" i="1" a="1"/>
  <c r="K48" i="1" a="1"/>
  <c r="AG47" i="1" a="1"/>
  <c r="L47" i="1" a="1"/>
  <c r="AH46" i="1" a="1"/>
  <c r="X46" i="1" a="1"/>
  <c r="M46" i="1" a="1"/>
  <c r="AI45" i="1" a="1"/>
  <c r="Y45" i="1" a="1"/>
  <c r="AJ44" i="1" a="1"/>
  <c r="Z44" i="1" a="1"/>
  <c r="P44" i="1" a="1"/>
  <c r="AK43" i="1" a="1"/>
  <c r="AA43" i="1" a="1"/>
  <c r="Q43" i="1" a="1"/>
  <c r="G43" i="1" a="1"/>
  <c r="AG42" i="1" a="1"/>
  <c r="U42" i="1" a="1"/>
  <c r="AI41" i="1" a="1"/>
  <c r="AC41" i="1" a="1"/>
  <c r="AK40" i="1" a="1"/>
  <c r="M40" i="1" a="1"/>
  <c r="AI38" i="1" a="1"/>
  <c r="W50" i="1" a="1"/>
  <c r="V47" i="1" a="1"/>
  <c r="Y44" i="1" a="1"/>
  <c r="AH57" i="1" a="1"/>
  <c r="AD56" i="1" a="1"/>
  <c r="Z55" i="1" a="1"/>
  <c r="V54" i="1" a="1"/>
  <c r="R53" i="1" a="1"/>
  <c r="H49" i="1" a="1"/>
  <c r="AD48" i="1" a="1"/>
  <c r="T48" i="1" a="1"/>
  <c r="I48" i="1" a="1"/>
  <c r="AE47" i="1" a="1"/>
  <c r="U47" i="1" a="1"/>
  <c r="AF46" i="1" a="1"/>
  <c r="V46" i="1" a="1"/>
  <c r="L46" i="1" a="1"/>
  <c r="AG45" i="1" a="1"/>
  <c r="W45" i="1" a="1"/>
  <c r="M45" i="1" a="1"/>
  <c r="X44" i="1" a="1"/>
  <c r="N44" i="1" a="1"/>
  <c r="AJ43" i="1" a="1"/>
  <c r="Y43" i="1" a="1"/>
  <c r="O43" i="1" a="1"/>
  <c r="F43" i="1" a="1"/>
  <c r="AF42" i="1" a="1"/>
  <c r="Z42" i="1" a="1"/>
  <c r="T42" i="1" a="1"/>
  <c r="N42" i="1" a="1"/>
  <c r="H42" i="1" a="1"/>
  <c r="AH41" i="1" a="1"/>
  <c r="AB41" i="1" a="1"/>
  <c r="V41" i="1" a="1"/>
  <c r="P41" i="1" a="1"/>
  <c r="J41" i="1" a="1"/>
  <c r="AJ40" i="1" a="1"/>
  <c r="AD40" i="1" a="1"/>
  <c r="X40" i="1" a="1"/>
  <c r="R40" i="1" a="1"/>
  <c r="L40" i="1" a="1"/>
  <c r="F40" i="1" a="1"/>
  <c r="AF39" i="1" a="1"/>
  <c r="Z39" i="1" a="1"/>
  <c r="T39" i="1" a="1"/>
  <c r="N39" i="1" a="1"/>
  <c r="H39" i="1" a="1"/>
  <c r="AH38" i="1" a="1"/>
  <c r="AB38" i="1" a="1"/>
  <c r="V38" i="1" a="1"/>
  <c r="P38" i="1" a="1"/>
  <c r="J38" i="1" a="1"/>
  <c r="N43" i="1" a="1"/>
  <c r="J46" i="1" a="1"/>
  <c r="X43" i="1" a="1"/>
  <c r="AE42" i="1" a="1"/>
  <c r="M42" i="1" a="1"/>
  <c r="AA41" i="1" a="1"/>
  <c r="O41" i="1" a="1"/>
  <c r="AC40" i="1" a="1"/>
  <c r="K40" i="1" a="1"/>
  <c r="Y39" i="1" a="1"/>
  <c r="G39" i="1" a="1"/>
  <c r="U38" i="1" a="1"/>
  <c r="I38" i="1" a="1"/>
  <c r="T41" i="1" a="1"/>
  <c r="J40" i="1" a="1"/>
  <c r="L39" i="1" a="1"/>
  <c r="N38" i="1" a="1"/>
  <c r="O51" i="1" a="1"/>
  <c r="AE49" i="1" a="1"/>
  <c r="W46" i="1" a="1"/>
  <c r="Z43" i="1" a="1"/>
  <c r="F38" i="1" a="1"/>
  <c r="G1" i="1"/>
  <c r="P90" i="1" l="1"/>
  <c r="X92" i="1"/>
  <c r="AI94" i="1"/>
  <c r="M97" i="1"/>
  <c r="N101" i="1"/>
  <c r="AH86" i="1"/>
  <c r="AG85" i="1"/>
  <c r="AK86" i="1"/>
  <c r="U88" i="1"/>
  <c r="P85" i="1"/>
  <c r="AH85" i="1"/>
  <c r="T86" i="1"/>
  <c r="AF86" i="1"/>
  <c r="R87" i="1"/>
  <c r="AJ87" i="1"/>
  <c r="V88" i="1"/>
  <c r="H89" i="1"/>
  <c r="Z89" i="1"/>
  <c r="F90" i="1"/>
  <c r="AF90" i="1"/>
  <c r="AA91" i="1"/>
  <c r="V92" i="1"/>
  <c r="Z93" i="1"/>
  <c r="T96" i="1"/>
  <c r="K85" i="1"/>
  <c r="Q85" i="1"/>
  <c r="W85" i="1"/>
  <c r="AC85" i="1"/>
  <c r="AI85" i="1"/>
  <c r="I86" i="1"/>
  <c r="O86" i="1"/>
  <c r="U86" i="1"/>
  <c r="AA86" i="1"/>
  <c r="AG86" i="1"/>
  <c r="G87" i="1"/>
  <c r="M87" i="1"/>
  <c r="S87" i="1"/>
  <c r="Y87" i="1"/>
  <c r="AE87" i="1"/>
  <c r="AK87" i="1"/>
  <c r="K88" i="1"/>
  <c r="Q88" i="1"/>
  <c r="W88" i="1"/>
  <c r="AC88" i="1"/>
  <c r="AI88" i="1"/>
  <c r="I89" i="1"/>
  <c r="O89" i="1"/>
  <c r="U89" i="1"/>
  <c r="AA89" i="1"/>
  <c r="AG89" i="1"/>
  <c r="G90" i="1"/>
  <c r="O90" i="1"/>
  <c r="X90" i="1"/>
  <c r="AG90" i="1"/>
  <c r="J91" i="1"/>
  <c r="S91" i="1"/>
  <c r="AB91" i="1"/>
  <c r="AK91" i="1"/>
  <c r="N92" i="1"/>
  <c r="W92" i="1"/>
  <c r="AF92" i="1"/>
  <c r="I93" i="1"/>
  <c r="R93" i="1"/>
  <c r="AA93" i="1"/>
  <c r="AJ93" i="1"/>
  <c r="M94" i="1"/>
  <c r="X94" i="1"/>
  <c r="AH94" i="1"/>
  <c r="L95" i="1"/>
  <c r="AG95" i="1"/>
  <c r="K96" i="1"/>
  <c r="U96" i="1"/>
  <c r="AF96" i="1"/>
  <c r="L97" i="1"/>
  <c r="X97" i="1"/>
  <c r="AJ97" i="1"/>
  <c r="P98" i="1"/>
  <c r="AB98" i="1"/>
  <c r="H99" i="1"/>
  <c r="T99" i="1"/>
  <c r="AH99" i="1"/>
  <c r="P100" i="1"/>
  <c r="AE100" i="1"/>
  <c r="M101" i="1"/>
  <c r="AD101" i="1"/>
  <c r="T102" i="1"/>
  <c r="AD103" i="1"/>
  <c r="AH90" i="1"/>
  <c r="S93" i="1"/>
  <c r="AH95" i="1"/>
  <c r="Q98" i="1"/>
  <c r="AE101" i="1"/>
  <c r="P86" i="1"/>
  <c r="N87" i="1"/>
  <c r="AF87" i="1"/>
  <c r="AD88" i="1"/>
  <c r="P89" i="1"/>
  <c r="Q90" i="1"/>
  <c r="U91" i="1"/>
  <c r="P92" i="1"/>
  <c r="K93" i="1"/>
  <c r="AC93" i="1"/>
  <c r="Y94" i="1"/>
  <c r="N95" i="1"/>
  <c r="M96" i="1"/>
  <c r="W96" i="1"/>
  <c r="AH96" i="1"/>
  <c r="N97" i="1"/>
  <c r="Z97" i="1"/>
  <c r="F98" i="1"/>
  <c r="R98" i="1"/>
  <c r="AD98" i="1"/>
  <c r="V99" i="1"/>
  <c r="AG100" i="1"/>
  <c r="P101" i="1"/>
  <c r="AH101" i="1"/>
  <c r="Z102" i="1"/>
  <c r="J104" i="1"/>
  <c r="P94" i="1"/>
  <c r="Z94" i="1"/>
  <c r="O95" i="1"/>
  <c r="Y95" i="1"/>
  <c r="AI95" i="1"/>
  <c r="N96" i="1"/>
  <c r="X96" i="1"/>
  <c r="AI96" i="1"/>
  <c r="O97" i="1"/>
  <c r="AA97" i="1"/>
  <c r="G98" i="1"/>
  <c r="S98" i="1"/>
  <c r="AE98" i="1"/>
  <c r="K99" i="1"/>
  <c r="W99" i="1"/>
  <c r="F100" i="1"/>
  <c r="T100" i="1"/>
  <c r="AH100" i="1"/>
  <c r="Q101" i="1"/>
  <c r="AI101" i="1"/>
  <c r="AB102" i="1"/>
  <c r="P104" i="1"/>
  <c r="T91" i="1"/>
  <c r="AC98" i="1"/>
  <c r="X85" i="1"/>
  <c r="F88" i="1"/>
  <c r="V89" i="1"/>
  <c r="L91" i="1"/>
  <c r="T93" i="1"/>
  <c r="J99" i="1"/>
  <c r="S85" i="1"/>
  <c r="K86" i="1"/>
  <c r="I87" i="1"/>
  <c r="AA87" i="1"/>
  <c r="S88" i="1"/>
  <c r="AE88" i="1"/>
  <c r="Q89" i="1"/>
  <c r="I90" i="1"/>
  <c r="AA90" i="1"/>
  <c r="AJ90" i="1"/>
  <c r="M91" i="1"/>
  <c r="AE91" i="1"/>
  <c r="H92" i="1"/>
  <c r="Q92" i="1"/>
  <c r="Z92" i="1"/>
  <c r="AI92" i="1"/>
  <c r="L93" i="1"/>
  <c r="U93" i="1"/>
  <c r="AD93" i="1"/>
  <c r="G94" i="1"/>
  <c r="Q94" i="1"/>
  <c r="AA94" i="1"/>
  <c r="AK94" i="1"/>
  <c r="P95" i="1"/>
  <c r="Z95" i="1"/>
  <c r="AJ95" i="1"/>
  <c r="Y96" i="1"/>
  <c r="AJ96" i="1"/>
  <c r="P97" i="1"/>
  <c r="AB97" i="1"/>
  <c r="H98" i="1"/>
  <c r="T98" i="1"/>
  <c r="AF98" i="1"/>
  <c r="L99" i="1"/>
  <c r="X99" i="1"/>
  <c r="G100" i="1"/>
  <c r="U100" i="1"/>
  <c r="AJ100" i="1"/>
  <c r="R101" i="1"/>
  <c r="AJ101" i="1"/>
  <c r="AF102" i="1"/>
  <c r="V104" i="1"/>
  <c r="AG92" i="1"/>
  <c r="M95" i="1"/>
  <c r="Y97" i="1"/>
  <c r="R100" i="1"/>
  <c r="J86" i="1"/>
  <c r="T87" i="1"/>
  <c r="L88" i="1"/>
  <c r="AJ88" i="1"/>
  <c r="AB89" i="1"/>
  <c r="Z90" i="1"/>
  <c r="AD91" i="1"/>
  <c r="Y92" i="1"/>
  <c r="F94" i="1"/>
  <c r="X95" i="1"/>
  <c r="AJ99" i="1"/>
  <c r="G85" i="1"/>
  <c r="Y85" i="1"/>
  <c r="AK85" i="1"/>
  <c r="W86" i="1"/>
  <c r="AC86" i="1"/>
  <c r="O87" i="1"/>
  <c r="U87" i="1"/>
  <c r="G88" i="1"/>
  <c r="M88" i="1"/>
  <c r="Y88" i="1"/>
  <c r="AK88" i="1"/>
  <c r="K89" i="1"/>
  <c r="W89" i="1"/>
  <c r="AC89" i="1"/>
  <c r="AI89" i="1"/>
  <c r="R90" i="1"/>
  <c r="V91" i="1"/>
  <c r="J90" i="1"/>
  <c r="S90" i="1"/>
  <c r="AB90" i="1"/>
  <c r="AK90" i="1"/>
  <c r="N91" i="1"/>
  <c r="W91" i="1"/>
  <c r="AF91" i="1"/>
  <c r="I92" i="1"/>
  <c r="R92" i="1"/>
  <c r="AA92" i="1"/>
  <c r="AJ92" i="1"/>
  <c r="M93" i="1"/>
  <c r="V93" i="1"/>
  <c r="AE93" i="1"/>
  <c r="H94" i="1"/>
  <c r="R94" i="1"/>
  <c r="AB94" i="1"/>
  <c r="F95" i="1"/>
  <c r="AA95" i="1"/>
  <c r="AK95" i="1"/>
  <c r="O96" i="1"/>
  <c r="Z96" i="1"/>
  <c r="AK96" i="1"/>
  <c r="Q97" i="1"/>
  <c r="AC97" i="1"/>
  <c r="I98" i="1"/>
  <c r="U98" i="1"/>
  <c r="AG98" i="1"/>
  <c r="M99" i="1"/>
  <c r="Z99" i="1"/>
  <c r="H100" i="1"/>
  <c r="V100" i="1"/>
  <c r="AK100" i="1"/>
  <c r="S101" i="1"/>
  <c r="AK101" i="1"/>
  <c r="AH102" i="1"/>
  <c r="AB104" i="1"/>
  <c r="AB93" i="1"/>
  <c r="I99" i="1"/>
  <c r="AD85" i="1"/>
  <c r="Z87" i="1"/>
  <c r="R88" i="1"/>
  <c r="J89" i="1"/>
  <c r="AH89" i="1"/>
  <c r="AI90" i="1"/>
  <c r="G92" i="1"/>
  <c r="AH92" i="1"/>
  <c r="AJ94" i="1"/>
  <c r="S100" i="1"/>
  <c r="M85" i="1"/>
  <c r="AE85" i="1"/>
  <c r="Q86" i="1"/>
  <c r="AI86" i="1"/>
  <c r="AG87" i="1"/>
  <c r="H85" i="1"/>
  <c r="N85" i="1"/>
  <c r="T85" i="1"/>
  <c r="Z85" i="1"/>
  <c r="AF85" i="1"/>
  <c r="F86" i="1"/>
  <c r="L86" i="1"/>
  <c r="R86" i="1"/>
  <c r="X86" i="1"/>
  <c r="AD86" i="1"/>
  <c r="AJ86" i="1"/>
  <c r="J87" i="1"/>
  <c r="P87" i="1"/>
  <c r="V87" i="1"/>
  <c r="AB87" i="1"/>
  <c r="AH87" i="1"/>
  <c r="H88" i="1"/>
  <c r="N88" i="1"/>
  <c r="T88" i="1"/>
  <c r="Z88" i="1"/>
  <c r="AF88" i="1"/>
  <c r="F89" i="1"/>
  <c r="L89" i="1"/>
  <c r="R89" i="1"/>
  <c r="X89" i="1"/>
  <c r="AD89" i="1"/>
  <c r="AJ89" i="1"/>
  <c r="K90" i="1"/>
  <c r="T90" i="1"/>
  <c r="AC90" i="1"/>
  <c r="F91" i="1"/>
  <c r="O91" i="1"/>
  <c r="X91" i="1"/>
  <c r="AG91" i="1"/>
  <c r="J92" i="1"/>
  <c r="S92" i="1"/>
  <c r="AB92" i="1"/>
  <c r="AK92" i="1"/>
  <c r="N93" i="1"/>
  <c r="W93" i="1"/>
  <c r="AF93" i="1"/>
  <c r="I94" i="1"/>
  <c r="AC94" i="1"/>
  <c r="G95" i="1"/>
  <c r="Q95" i="1"/>
  <c r="AB95" i="1"/>
  <c r="F96" i="1"/>
  <c r="P96" i="1"/>
  <c r="F97" i="1"/>
  <c r="R97" i="1"/>
  <c r="AD97" i="1"/>
  <c r="J98" i="1"/>
  <c r="V98" i="1"/>
  <c r="AH98" i="1"/>
  <c r="N99" i="1"/>
  <c r="AA99" i="1"/>
  <c r="I100" i="1"/>
  <c r="X100" i="1"/>
  <c r="F101" i="1"/>
  <c r="V101" i="1"/>
  <c r="H102" i="1"/>
  <c r="F103" i="1"/>
  <c r="AH104" i="1"/>
  <c r="AC91" i="1"/>
  <c r="N94" i="1"/>
  <c r="AG96" i="1"/>
  <c r="U99" i="1"/>
  <c r="L85" i="1"/>
  <c r="H87" i="1"/>
  <c r="X88" i="1"/>
  <c r="H90" i="1"/>
  <c r="O94" i="1"/>
  <c r="S94" i="1"/>
  <c r="AD94" i="1"/>
  <c r="H95" i="1"/>
  <c r="R95" i="1"/>
  <c r="G96" i="1"/>
  <c r="Q96" i="1"/>
  <c r="AA96" i="1"/>
  <c r="G97" i="1"/>
  <c r="S97" i="1"/>
  <c r="AE97" i="1"/>
  <c r="K98" i="1"/>
  <c r="W98" i="1"/>
  <c r="AI98" i="1"/>
  <c r="O99" i="1"/>
  <c r="AB99" i="1"/>
  <c r="J100" i="1"/>
  <c r="Y100" i="1"/>
  <c r="G101" i="1"/>
  <c r="W101" i="1"/>
  <c r="I102" i="1"/>
  <c r="H103" i="1"/>
  <c r="H105" i="1"/>
  <c r="F92" i="1"/>
  <c r="AJ103" i="1"/>
  <c r="AJ85" i="1"/>
  <c r="U85" i="1"/>
  <c r="S86" i="1"/>
  <c r="K87" i="1"/>
  <c r="W87" i="1"/>
  <c r="AI87" i="1"/>
  <c r="AA88" i="1"/>
  <c r="AG88" i="1"/>
  <c r="G89" i="1"/>
  <c r="M89" i="1"/>
  <c r="S89" i="1"/>
  <c r="Y89" i="1"/>
  <c r="AE89" i="1"/>
  <c r="AK89" i="1"/>
  <c r="L90" i="1"/>
  <c r="U90" i="1"/>
  <c r="AD90" i="1"/>
  <c r="G91" i="1"/>
  <c r="P91" i="1"/>
  <c r="Y91" i="1"/>
  <c r="AH91" i="1"/>
  <c r="K92" i="1"/>
  <c r="T92" i="1"/>
  <c r="AC92" i="1"/>
  <c r="F93" i="1"/>
  <c r="O93" i="1"/>
  <c r="X93" i="1"/>
  <c r="AG93" i="1"/>
  <c r="J94" i="1"/>
  <c r="T94" i="1"/>
  <c r="I95" i="1"/>
  <c r="S95" i="1"/>
  <c r="AC95" i="1"/>
  <c r="H96" i="1"/>
  <c r="R96" i="1"/>
  <c r="AB96" i="1"/>
  <c r="H97" i="1"/>
  <c r="T97" i="1"/>
  <c r="AF97" i="1"/>
  <c r="L98" i="1"/>
  <c r="X98" i="1"/>
  <c r="AJ98" i="1"/>
  <c r="P99" i="1"/>
  <c r="AC99" i="1"/>
  <c r="L100" i="1"/>
  <c r="Z100" i="1"/>
  <c r="H101" i="1"/>
  <c r="X101" i="1"/>
  <c r="J102" i="1"/>
  <c r="L103" i="1"/>
  <c r="N105" i="1"/>
  <c r="K91" i="1"/>
  <c r="AK93" i="1"/>
  <c r="V96" i="1"/>
  <c r="AI99" i="1"/>
  <c r="AB86" i="1"/>
  <c r="AA85" i="1"/>
  <c r="Y86" i="1"/>
  <c r="AC87" i="1"/>
  <c r="M90" i="1"/>
  <c r="V90" i="1"/>
  <c r="AE90" i="1"/>
  <c r="H91" i="1"/>
  <c r="Q91" i="1"/>
  <c r="Z91" i="1"/>
  <c r="AI91" i="1"/>
  <c r="L92" i="1"/>
  <c r="U92" i="1"/>
  <c r="AD92" i="1"/>
  <c r="G93" i="1"/>
  <c r="P93" i="1"/>
  <c r="Y93" i="1"/>
  <c r="AH93" i="1"/>
  <c r="K94" i="1"/>
  <c r="U94" i="1"/>
  <c r="AE94" i="1"/>
  <c r="J95" i="1"/>
  <c r="T95" i="1"/>
  <c r="AD95" i="1"/>
  <c r="S96" i="1"/>
  <c r="AC96" i="1"/>
  <c r="I97" i="1"/>
  <c r="U97" i="1"/>
  <c r="AG97" i="1"/>
  <c r="M98" i="1"/>
  <c r="Y98" i="1"/>
  <c r="AK98" i="1"/>
  <c r="Q99" i="1"/>
  <c r="AD99" i="1"/>
  <c r="M100" i="1"/>
  <c r="AA100" i="1"/>
  <c r="J101" i="1"/>
  <c r="Y101" i="1"/>
  <c r="N102" i="1"/>
  <c r="N103" i="1"/>
  <c r="T105" i="1"/>
  <c r="O92" i="1"/>
  <c r="L96" i="1"/>
  <c r="AF100" i="1"/>
  <c r="V86" i="1"/>
  <c r="O85" i="1"/>
  <c r="M86" i="1"/>
  <c r="Q87" i="1"/>
  <c r="I88" i="1"/>
  <c r="J85" i="1"/>
  <c r="AB85" i="1"/>
  <c r="N86" i="1"/>
  <c r="F87" i="1"/>
  <c r="X87" i="1"/>
  <c r="J88" i="1"/>
  <c r="AB88" i="1"/>
  <c r="T89" i="1"/>
  <c r="N90" i="1"/>
  <c r="R91" i="1"/>
  <c r="M92" i="1"/>
  <c r="H93" i="1"/>
  <c r="AI93" i="1"/>
  <c r="V94" i="1"/>
  <c r="AF94" i="1"/>
  <c r="U95" i="1"/>
  <c r="AE95" i="1"/>
  <c r="AD96" i="1"/>
  <c r="J97" i="1"/>
  <c r="V97" i="1"/>
  <c r="AH97" i="1"/>
  <c r="N98" i="1"/>
  <c r="Z98" i="1"/>
  <c r="F99" i="1"/>
  <c r="R99" i="1"/>
  <c r="AF99" i="1"/>
  <c r="N100" i="1"/>
  <c r="AB100" i="1"/>
  <c r="K101" i="1"/>
  <c r="AB101" i="1"/>
  <c r="O102" i="1"/>
  <c r="R103" i="1"/>
  <c r="Z105" i="1"/>
  <c r="Y90" i="1"/>
  <c r="J93" i="1"/>
  <c r="W95" i="1"/>
  <c r="AK97" i="1"/>
  <c r="V102" i="1"/>
  <c r="F85" i="1"/>
  <c r="R85" i="1"/>
  <c r="I85" i="1"/>
  <c r="G86" i="1"/>
  <c r="AE86" i="1"/>
  <c r="O88" i="1"/>
  <c r="V85" i="1"/>
  <c r="H86" i="1"/>
  <c r="Z86" i="1"/>
  <c r="L87" i="1"/>
  <c r="AD87" i="1"/>
  <c r="P88" i="1"/>
  <c r="AH88" i="1"/>
  <c r="N89" i="1"/>
  <c r="AF89" i="1"/>
  <c r="W90" i="1"/>
  <c r="I91" i="1"/>
  <c r="AJ91" i="1"/>
  <c r="AE92" i="1"/>
  <c r="Q93" i="1"/>
  <c r="L94" i="1"/>
  <c r="I96" i="1"/>
  <c r="W94" i="1"/>
  <c r="AG94" i="1"/>
  <c r="K95" i="1"/>
  <c r="V95" i="1"/>
  <c r="AF95" i="1"/>
  <c r="J96" i="1"/>
  <c r="AE96" i="1"/>
  <c r="K97" i="1"/>
  <c r="W97" i="1"/>
  <c r="AI97" i="1"/>
  <c r="O98" i="1"/>
  <c r="AA98" i="1"/>
  <c r="G99" i="1"/>
  <c r="S99" i="1"/>
  <c r="AG99" i="1"/>
  <c r="O100" i="1"/>
  <c r="AD100" i="1"/>
  <c r="L101" i="1"/>
  <c r="AC101" i="1"/>
  <c r="P102" i="1"/>
  <c r="X103" i="1"/>
  <c r="AF105" i="1"/>
  <c r="U102" i="1"/>
  <c r="AA102" i="1"/>
  <c r="AG102" i="1"/>
  <c r="G103" i="1"/>
  <c r="M103" i="1"/>
  <c r="S103" i="1"/>
  <c r="Y103" i="1"/>
  <c r="AE103" i="1"/>
  <c r="AK103" i="1"/>
  <c r="K104" i="1"/>
  <c r="Q104" i="1"/>
  <c r="W104" i="1"/>
  <c r="AC104" i="1"/>
  <c r="AI104" i="1"/>
  <c r="I105" i="1"/>
  <c r="O105" i="1"/>
  <c r="U105" i="1"/>
  <c r="AA105" i="1"/>
  <c r="AG105" i="1"/>
  <c r="T103" i="1"/>
  <c r="Z103" i="1"/>
  <c r="AF103" i="1"/>
  <c r="F104" i="1"/>
  <c r="L104" i="1"/>
  <c r="R104" i="1"/>
  <c r="X104" i="1"/>
  <c r="AD104" i="1"/>
  <c r="AJ104" i="1"/>
  <c r="J105" i="1"/>
  <c r="P105" i="1"/>
  <c r="V105" i="1"/>
  <c r="AB105" i="1"/>
  <c r="AH105" i="1"/>
  <c r="K102" i="1"/>
  <c r="Q102" i="1"/>
  <c r="W102" i="1"/>
  <c r="AC102" i="1"/>
  <c r="AI102" i="1"/>
  <c r="I103" i="1"/>
  <c r="O103" i="1"/>
  <c r="U103" i="1"/>
  <c r="AA103" i="1"/>
  <c r="AG103" i="1"/>
  <c r="G104" i="1"/>
  <c r="M104" i="1"/>
  <c r="S104" i="1"/>
  <c r="Y104" i="1"/>
  <c r="AE104" i="1"/>
  <c r="AK104" i="1"/>
  <c r="K105" i="1"/>
  <c r="Q105" i="1"/>
  <c r="W105" i="1"/>
  <c r="AC105" i="1"/>
  <c r="AI105" i="1"/>
  <c r="T101" i="1"/>
  <c r="Z101" i="1"/>
  <c r="AF101" i="1"/>
  <c r="F102" i="1"/>
  <c r="L102" i="1"/>
  <c r="R102" i="1"/>
  <c r="X102" i="1"/>
  <c r="AD102" i="1"/>
  <c r="AJ102" i="1"/>
  <c r="J103" i="1"/>
  <c r="P103" i="1"/>
  <c r="V103" i="1"/>
  <c r="AB103" i="1"/>
  <c r="AH103" i="1"/>
  <c r="H104" i="1"/>
  <c r="N104" i="1"/>
  <c r="T104" i="1"/>
  <c r="Z104" i="1"/>
  <c r="AF104" i="1"/>
  <c r="F105" i="1"/>
  <c r="L105" i="1"/>
  <c r="R105" i="1"/>
  <c r="X105" i="1"/>
  <c r="AD105" i="1"/>
  <c r="AJ105" i="1"/>
  <c r="Y99" i="1"/>
  <c r="AE99" i="1"/>
  <c r="AK99" i="1"/>
  <c r="K100" i="1"/>
  <c r="Q100" i="1"/>
  <c r="W100" i="1"/>
  <c r="AC100" i="1"/>
  <c r="AI100" i="1"/>
  <c r="I101" i="1"/>
  <c r="O101" i="1"/>
  <c r="U101" i="1"/>
  <c r="AA101" i="1"/>
  <c r="AG101" i="1"/>
  <c r="G102" i="1"/>
  <c r="M102" i="1"/>
  <c r="S102" i="1"/>
  <c r="Y102" i="1"/>
  <c r="AE102" i="1"/>
  <c r="AK102" i="1"/>
  <c r="K103" i="1"/>
  <c r="Q103" i="1"/>
  <c r="W103" i="1"/>
  <c r="AC103" i="1"/>
  <c r="AI103" i="1"/>
  <c r="I104" i="1"/>
  <c r="O104" i="1"/>
  <c r="U104" i="1"/>
  <c r="AA104" i="1"/>
  <c r="AG104" i="1"/>
  <c r="G105" i="1"/>
  <c r="M105" i="1"/>
  <c r="S105" i="1"/>
  <c r="Y105" i="1"/>
  <c r="AE105" i="1"/>
  <c r="AK105" i="1"/>
  <c r="R62" i="1"/>
  <c r="T64" i="1"/>
  <c r="V66" i="1"/>
  <c r="T70" i="1"/>
  <c r="Y75" i="1"/>
  <c r="AB62" i="1"/>
  <c r="T63" i="1"/>
  <c r="AJ64" i="1"/>
  <c r="K62" i="1"/>
  <c r="W62" i="1"/>
  <c r="AI62" i="1"/>
  <c r="O63" i="1"/>
  <c r="AA63" i="1"/>
  <c r="G64" i="1"/>
  <c r="S67" i="1"/>
  <c r="AE67" i="1"/>
  <c r="K68" i="1"/>
  <c r="W68" i="1"/>
  <c r="AI68" i="1"/>
  <c r="O69" i="1"/>
  <c r="AA69" i="1"/>
  <c r="G70" i="1"/>
  <c r="S70" i="1"/>
  <c r="AE70" i="1"/>
  <c r="K71" i="1"/>
  <c r="W71" i="1"/>
  <c r="AI71" i="1"/>
  <c r="O72" i="1"/>
  <c r="AA72" i="1"/>
  <c r="G73" i="1"/>
  <c r="S73" i="1"/>
  <c r="AE73" i="1"/>
  <c r="M74" i="1"/>
  <c r="AA74" i="1"/>
  <c r="J75" i="1"/>
  <c r="X75" i="1"/>
  <c r="I76" i="1"/>
  <c r="AA76" i="1"/>
  <c r="X77" i="1"/>
  <c r="AB78" i="1"/>
  <c r="AD80" i="1"/>
  <c r="V63" i="1"/>
  <c r="R65" i="1"/>
  <c r="AH66" i="1"/>
  <c r="AB69" i="1"/>
  <c r="AJ71" i="1"/>
  <c r="AB72" i="1"/>
  <c r="AC74" i="1"/>
  <c r="I67" i="1"/>
  <c r="U67" i="1"/>
  <c r="AG67" i="1"/>
  <c r="M68" i="1"/>
  <c r="Y68" i="1"/>
  <c r="AK68" i="1"/>
  <c r="Q69" i="1"/>
  <c r="AC69" i="1"/>
  <c r="I70" i="1"/>
  <c r="U70" i="1"/>
  <c r="AG70" i="1"/>
  <c r="M71" i="1"/>
  <c r="Y71" i="1"/>
  <c r="AK71" i="1"/>
  <c r="Q72" i="1"/>
  <c r="AC72" i="1"/>
  <c r="I73" i="1"/>
  <c r="U73" i="1"/>
  <c r="AG73" i="1"/>
  <c r="O74" i="1"/>
  <c r="AD74" i="1"/>
  <c r="L75" i="1"/>
  <c r="AA75" i="1"/>
  <c r="M76" i="1"/>
  <c r="AE76" i="1"/>
  <c r="AD77" i="1"/>
  <c r="AH78" i="1"/>
  <c r="J81" i="1"/>
  <c r="P63" i="1"/>
  <c r="AJ65" i="1"/>
  <c r="P69" i="1"/>
  <c r="AB76" i="1"/>
  <c r="G62" i="1"/>
  <c r="AK62" i="1"/>
  <c r="AI63" i="1"/>
  <c r="AA64" i="1"/>
  <c r="G65" i="1"/>
  <c r="S65" i="1"/>
  <c r="AE65" i="1"/>
  <c r="K66" i="1"/>
  <c r="W66" i="1"/>
  <c r="AC66" i="1"/>
  <c r="J67" i="1"/>
  <c r="V67" i="1"/>
  <c r="AH67" i="1"/>
  <c r="N68" i="1"/>
  <c r="F69" i="1"/>
  <c r="R69" i="1"/>
  <c r="AD69" i="1"/>
  <c r="J70" i="1"/>
  <c r="V70" i="1"/>
  <c r="AH70" i="1"/>
  <c r="N71" i="1"/>
  <c r="Z71" i="1"/>
  <c r="F72" i="1"/>
  <c r="R72" i="1"/>
  <c r="AD72" i="1"/>
  <c r="J73" i="1"/>
  <c r="V73" i="1"/>
  <c r="AH73" i="1"/>
  <c r="Q74" i="1"/>
  <c r="AE74" i="1"/>
  <c r="M75" i="1"/>
  <c r="AB75" i="1"/>
  <c r="N76" i="1"/>
  <c r="AF76" i="1"/>
  <c r="AE77" i="1"/>
  <c r="H79" i="1"/>
  <c r="P81" i="1"/>
  <c r="AD62" i="1"/>
  <c r="AF64" i="1"/>
  <c r="AF67" i="1"/>
  <c r="AC78" i="1"/>
  <c r="Y62" i="1"/>
  <c r="Q63" i="1"/>
  <c r="I64" i="1"/>
  <c r="U64" i="1"/>
  <c r="AG64" i="1"/>
  <c r="M65" i="1"/>
  <c r="Y65" i="1"/>
  <c r="AK65" i="1"/>
  <c r="Q66" i="1"/>
  <c r="AI66" i="1"/>
  <c r="Z68" i="1"/>
  <c r="K67" i="1"/>
  <c r="W67" i="1"/>
  <c r="AI67" i="1"/>
  <c r="O68" i="1"/>
  <c r="AA68" i="1"/>
  <c r="G69" i="1"/>
  <c r="S69" i="1"/>
  <c r="AE69" i="1"/>
  <c r="K70" i="1"/>
  <c r="W70" i="1"/>
  <c r="AI70" i="1"/>
  <c r="O71" i="1"/>
  <c r="AA71" i="1"/>
  <c r="G72" i="1"/>
  <c r="S72" i="1"/>
  <c r="AE72" i="1"/>
  <c r="K73" i="1"/>
  <c r="W73" i="1"/>
  <c r="AI73" i="1"/>
  <c r="R74" i="1"/>
  <c r="AF74" i="1"/>
  <c r="O75" i="1"/>
  <c r="AC75" i="1"/>
  <c r="O76" i="1"/>
  <c r="AG76" i="1"/>
  <c r="AJ77" i="1"/>
  <c r="N79" i="1"/>
  <c r="V81" i="1"/>
  <c r="F62" i="1"/>
  <c r="AH63" i="1"/>
  <c r="AD65" i="1"/>
  <c r="X68" i="1"/>
  <c r="Y77" i="1"/>
  <c r="M62" i="1"/>
  <c r="K63" i="1"/>
  <c r="O64" i="1"/>
  <c r="H62" i="1"/>
  <c r="N62" i="1"/>
  <c r="T62" i="1"/>
  <c r="Z62" i="1"/>
  <c r="AF62" i="1"/>
  <c r="F63" i="1"/>
  <c r="L63" i="1"/>
  <c r="R63" i="1"/>
  <c r="X63" i="1"/>
  <c r="AD63" i="1"/>
  <c r="AJ63" i="1"/>
  <c r="J64" i="1"/>
  <c r="P64" i="1"/>
  <c r="V64" i="1"/>
  <c r="AB64" i="1"/>
  <c r="AH64" i="1"/>
  <c r="H65" i="1"/>
  <c r="N65" i="1"/>
  <c r="T65" i="1"/>
  <c r="Z65" i="1"/>
  <c r="AF65" i="1"/>
  <c r="F66" i="1"/>
  <c r="L66" i="1"/>
  <c r="R66" i="1"/>
  <c r="X66" i="1"/>
  <c r="AD66" i="1"/>
  <c r="AJ66" i="1"/>
  <c r="L67" i="1"/>
  <c r="X67" i="1"/>
  <c r="AJ67" i="1"/>
  <c r="P68" i="1"/>
  <c r="AB68" i="1"/>
  <c r="H69" i="1"/>
  <c r="T69" i="1"/>
  <c r="AF69" i="1"/>
  <c r="L70" i="1"/>
  <c r="X70" i="1"/>
  <c r="AJ70" i="1"/>
  <c r="P71" i="1"/>
  <c r="AB71" i="1"/>
  <c r="H72" i="1"/>
  <c r="T72" i="1"/>
  <c r="AF72" i="1"/>
  <c r="L73" i="1"/>
  <c r="X73" i="1"/>
  <c r="AK73" i="1"/>
  <c r="S74" i="1"/>
  <c r="AG74" i="1"/>
  <c r="P75" i="1"/>
  <c r="AD75" i="1"/>
  <c r="P76" i="1"/>
  <c r="AH76" i="1"/>
  <c r="AK77" i="1"/>
  <c r="T79" i="1"/>
  <c r="AB81" i="1"/>
  <c r="J63" i="1"/>
  <c r="L65" i="1"/>
  <c r="L68" i="1"/>
  <c r="AJ80" i="1"/>
  <c r="S62" i="1"/>
  <c r="W63" i="1"/>
  <c r="M67" i="1"/>
  <c r="Y67" i="1"/>
  <c r="AK67" i="1"/>
  <c r="Q68" i="1"/>
  <c r="AC68" i="1"/>
  <c r="I69" i="1"/>
  <c r="U69" i="1"/>
  <c r="AG69" i="1"/>
  <c r="M70" i="1"/>
  <c r="Y70" i="1"/>
  <c r="AK70" i="1"/>
  <c r="Q71" i="1"/>
  <c r="AC71" i="1"/>
  <c r="I72" i="1"/>
  <c r="U72" i="1"/>
  <c r="AG72" i="1"/>
  <c r="M73" i="1"/>
  <c r="Y73" i="1"/>
  <c r="F74" i="1"/>
  <c r="T74" i="1"/>
  <c r="AI74" i="1"/>
  <c r="Q75" i="1"/>
  <c r="AG75" i="1"/>
  <c r="S76" i="1"/>
  <c r="F77" i="1"/>
  <c r="J78" i="1"/>
  <c r="Z79" i="1"/>
  <c r="AH81" i="1"/>
  <c r="H64" i="1"/>
  <c r="P66" i="1"/>
  <c r="AJ68" i="1"/>
  <c r="T73" i="1"/>
  <c r="AE62" i="1"/>
  <c r="AC63" i="1"/>
  <c r="I62" i="1"/>
  <c r="O62" i="1"/>
  <c r="U62" i="1"/>
  <c r="AA62" i="1"/>
  <c r="AG62" i="1"/>
  <c r="G63" i="1"/>
  <c r="M63" i="1"/>
  <c r="S63" i="1"/>
  <c r="Y63" i="1"/>
  <c r="AE63" i="1"/>
  <c r="AK63" i="1"/>
  <c r="K64" i="1"/>
  <c r="Q64" i="1"/>
  <c r="W64" i="1"/>
  <c r="AC64" i="1"/>
  <c r="AI64" i="1"/>
  <c r="I65" i="1"/>
  <c r="O65" i="1"/>
  <c r="U65" i="1"/>
  <c r="AA65" i="1"/>
  <c r="AG65" i="1"/>
  <c r="G66" i="1"/>
  <c r="M66" i="1"/>
  <c r="S66" i="1"/>
  <c r="Y66" i="1"/>
  <c r="AE66" i="1"/>
  <c r="AK66" i="1"/>
  <c r="N67" i="1"/>
  <c r="Z67" i="1"/>
  <c r="F68" i="1"/>
  <c r="R68" i="1"/>
  <c r="AD68" i="1"/>
  <c r="J69" i="1"/>
  <c r="V69" i="1"/>
  <c r="AH69" i="1"/>
  <c r="N70" i="1"/>
  <c r="Z70" i="1"/>
  <c r="F71" i="1"/>
  <c r="R71" i="1"/>
  <c r="AD71" i="1"/>
  <c r="J72" i="1"/>
  <c r="V72" i="1"/>
  <c r="AH72" i="1"/>
  <c r="N73" i="1"/>
  <c r="Z73" i="1"/>
  <c r="G74" i="1"/>
  <c r="U74" i="1"/>
  <c r="AJ74" i="1"/>
  <c r="R75" i="1"/>
  <c r="AH75" i="1"/>
  <c r="T76" i="1"/>
  <c r="G77" i="1"/>
  <c r="K78" i="1"/>
  <c r="AF79" i="1"/>
  <c r="H82" i="1"/>
  <c r="L62" i="1"/>
  <c r="N64" i="1"/>
  <c r="X65" i="1"/>
  <c r="H67" i="1"/>
  <c r="AF70" i="1"/>
  <c r="P72" i="1"/>
  <c r="H73" i="1"/>
  <c r="AF73" i="1"/>
  <c r="O67" i="1"/>
  <c r="AA67" i="1"/>
  <c r="G68" i="1"/>
  <c r="S68" i="1"/>
  <c r="AE68" i="1"/>
  <c r="K69" i="1"/>
  <c r="W69" i="1"/>
  <c r="AI69" i="1"/>
  <c r="O70" i="1"/>
  <c r="AA70" i="1"/>
  <c r="G71" i="1"/>
  <c r="S71" i="1"/>
  <c r="AE71" i="1"/>
  <c r="K72" i="1"/>
  <c r="W72" i="1"/>
  <c r="AI72" i="1"/>
  <c r="O73" i="1"/>
  <c r="AA73" i="1"/>
  <c r="H74" i="1"/>
  <c r="W74" i="1"/>
  <c r="AK74" i="1"/>
  <c r="S75" i="1"/>
  <c r="AI75" i="1"/>
  <c r="U76" i="1"/>
  <c r="L77" i="1"/>
  <c r="P78" i="1"/>
  <c r="F80" i="1"/>
  <c r="N82" i="1"/>
  <c r="AB63" i="1"/>
  <c r="J66" i="1"/>
  <c r="H70" i="1"/>
  <c r="J76" i="1"/>
  <c r="J62" i="1"/>
  <c r="AH62" i="1"/>
  <c r="Z63" i="1"/>
  <c r="L64" i="1"/>
  <c r="X64" i="1"/>
  <c r="J65" i="1"/>
  <c r="P65" i="1"/>
  <c r="V65" i="1"/>
  <c r="AB65" i="1"/>
  <c r="AH65" i="1"/>
  <c r="H66" i="1"/>
  <c r="N66" i="1"/>
  <c r="T66" i="1"/>
  <c r="Z66" i="1"/>
  <c r="AF66" i="1"/>
  <c r="F67" i="1"/>
  <c r="P67" i="1"/>
  <c r="AB67" i="1"/>
  <c r="H68" i="1"/>
  <c r="T68" i="1"/>
  <c r="AF68" i="1"/>
  <c r="L69" i="1"/>
  <c r="X69" i="1"/>
  <c r="AJ69" i="1"/>
  <c r="P70" i="1"/>
  <c r="AB70" i="1"/>
  <c r="H71" i="1"/>
  <c r="T71" i="1"/>
  <c r="AF71" i="1"/>
  <c r="L72" i="1"/>
  <c r="X72" i="1"/>
  <c r="AJ72" i="1"/>
  <c r="P73" i="1"/>
  <c r="AB73" i="1"/>
  <c r="I74" i="1"/>
  <c r="X74" i="1"/>
  <c r="F75" i="1"/>
  <c r="U75" i="1"/>
  <c r="AJ75" i="1"/>
  <c r="V76" i="1"/>
  <c r="M77" i="1"/>
  <c r="Q78" i="1"/>
  <c r="L80" i="1"/>
  <c r="T82" i="1"/>
  <c r="AJ62" i="1"/>
  <c r="F65" i="1"/>
  <c r="T67" i="1"/>
  <c r="X71" i="1"/>
  <c r="N74" i="1"/>
  <c r="P62" i="1"/>
  <c r="H63" i="1"/>
  <c r="AF63" i="1"/>
  <c r="R64" i="1"/>
  <c r="Q67" i="1"/>
  <c r="AC67" i="1"/>
  <c r="I68" i="1"/>
  <c r="U68" i="1"/>
  <c r="AG68" i="1"/>
  <c r="M69" i="1"/>
  <c r="Y69" i="1"/>
  <c r="AK69" i="1"/>
  <c r="Q70" i="1"/>
  <c r="AC70" i="1"/>
  <c r="I71" i="1"/>
  <c r="U71" i="1"/>
  <c r="AG71" i="1"/>
  <c r="M72" i="1"/>
  <c r="Y72" i="1"/>
  <c r="AK72" i="1"/>
  <c r="Q73" i="1"/>
  <c r="AC73" i="1"/>
  <c r="K74" i="1"/>
  <c r="Y74" i="1"/>
  <c r="G75" i="1"/>
  <c r="V75" i="1"/>
  <c r="G76" i="1"/>
  <c r="Y76" i="1"/>
  <c r="R77" i="1"/>
  <c r="V78" i="1"/>
  <c r="R80" i="1"/>
  <c r="Z82" i="1"/>
  <c r="X62" i="1"/>
  <c r="Z64" i="1"/>
  <c r="AB66" i="1"/>
  <c r="L71" i="1"/>
  <c r="K75" i="1"/>
  <c r="V62" i="1"/>
  <c r="N63" i="1"/>
  <c r="F64" i="1"/>
  <c r="AD64" i="1"/>
  <c r="Q62" i="1"/>
  <c r="AC62" i="1"/>
  <c r="I63" i="1"/>
  <c r="U63" i="1"/>
  <c r="AG63" i="1"/>
  <c r="M64" i="1"/>
  <c r="S64" i="1"/>
  <c r="Y64" i="1"/>
  <c r="AE64" i="1"/>
  <c r="AK64" i="1"/>
  <c r="K65" i="1"/>
  <c r="Q65" i="1"/>
  <c r="W65" i="1"/>
  <c r="AC65" i="1"/>
  <c r="AI65" i="1"/>
  <c r="I66" i="1"/>
  <c r="O66" i="1"/>
  <c r="U66" i="1"/>
  <c r="AA66" i="1"/>
  <c r="AG66" i="1"/>
  <c r="G67" i="1"/>
  <c r="R67" i="1"/>
  <c r="AD67" i="1"/>
  <c r="J68" i="1"/>
  <c r="V68" i="1"/>
  <c r="AH68" i="1"/>
  <c r="N69" i="1"/>
  <c r="Z69" i="1"/>
  <c r="F70" i="1"/>
  <c r="R70" i="1"/>
  <c r="AD70" i="1"/>
  <c r="J71" i="1"/>
  <c r="V71" i="1"/>
  <c r="AH71" i="1"/>
  <c r="N72" i="1"/>
  <c r="Z72" i="1"/>
  <c r="F73" i="1"/>
  <c r="R73" i="1"/>
  <c r="AD73" i="1"/>
  <c r="L74" i="1"/>
  <c r="Z74" i="1"/>
  <c r="I75" i="1"/>
  <c r="W75" i="1"/>
  <c r="H76" i="1"/>
  <c r="Z76" i="1"/>
  <c r="S77" i="1"/>
  <c r="W78" i="1"/>
  <c r="X80" i="1"/>
  <c r="AF82" i="1"/>
  <c r="AI78" i="1"/>
  <c r="I79" i="1"/>
  <c r="O79" i="1"/>
  <c r="U79" i="1"/>
  <c r="AA79" i="1"/>
  <c r="AG79" i="1"/>
  <c r="G80" i="1"/>
  <c r="M80" i="1"/>
  <c r="S80" i="1"/>
  <c r="Y80" i="1"/>
  <c r="AE80" i="1"/>
  <c r="AK80" i="1"/>
  <c r="K81" i="1"/>
  <c r="Q81" i="1"/>
  <c r="W81" i="1"/>
  <c r="AC81" i="1"/>
  <c r="AI81" i="1"/>
  <c r="I82" i="1"/>
  <c r="O82" i="1"/>
  <c r="U82" i="1"/>
  <c r="AA82" i="1"/>
  <c r="AG82" i="1"/>
  <c r="H77" i="1"/>
  <c r="N77" i="1"/>
  <c r="T77" i="1"/>
  <c r="Z77" i="1"/>
  <c r="AF77" i="1"/>
  <c r="F78" i="1"/>
  <c r="L78" i="1"/>
  <c r="R78" i="1"/>
  <c r="X78" i="1"/>
  <c r="AD78" i="1"/>
  <c r="AJ78" i="1"/>
  <c r="J79" i="1"/>
  <c r="P79" i="1"/>
  <c r="V79" i="1"/>
  <c r="AB79" i="1"/>
  <c r="AH79" i="1"/>
  <c r="H80" i="1"/>
  <c r="N80" i="1"/>
  <c r="T80" i="1"/>
  <c r="Z80" i="1"/>
  <c r="AF80" i="1"/>
  <c r="F81" i="1"/>
  <c r="L81" i="1"/>
  <c r="R81" i="1"/>
  <c r="X81" i="1"/>
  <c r="AD81" i="1"/>
  <c r="AJ81" i="1"/>
  <c r="J82" i="1"/>
  <c r="P82" i="1"/>
  <c r="V82" i="1"/>
  <c r="AB82" i="1"/>
  <c r="AH82" i="1"/>
  <c r="AE75" i="1"/>
  <c r="AK75" i="1"/>
  <c r="K76" i="1"/>
  <c r="Q76" i="1"/>
  <c r="W76" i="1"/>
  <c r="AC76" i="1"/>
  <c r="AI76" i="1"/>
  <c r="I77" i="1"/>
  <c r="O77" i="1"/>
  <c r="U77" i="1"/>
  <c r="AA77" i="1"/>
  <c r="AG77" i="1"/>
  <c r="G78" i="1"/>
  <c r="M78" i="1"/>
  <c r="S78" i="1"/>
  <c r="Y78" i="1"/>
  <c r="AE78" i="1"/>
  <c r="AK78" i="1"/>
  <c r="K79" i="1"/>
  <c r="Q79" i="1"/>
  <c r="W79" i="1"/>
  <c r="AC79" i="1"/>
  <c r="AI79" i="1"/>
  <c r="I80" i="1"/>
  <c r="O80" i="1"/>
  <c r="U80" i="1"/>
  <c r="AA80" i="1"/>
  <c r="AG80" i="1"/>
  <c r="G81" i="1"/>
  <c r="M81" i="1"/>
  <c r="S81" i="1"/>
  <c r="Y81" i="1"/>
  <c r="AE81" i="1"/>
  <c r="AK81" i="1"/>
  <c r="K82" i="1"/>
  <c r="Q82" i="1"/>
  <c r="W82" i="1"/>
  <c r="AC82" i="1"/>
  <c r="AI82" i="1"/>
  <c r="AJ73" i="1"/>
  <c r="J74" i="1"/>
  <c r="P74" i="1"/>
  <c r="V74" i="1"/>
  <c r="AB74" i="1"/>
  <c r="AH74" i="1"/>
  <c r="H75" i="1"/>
  <c r="N75" i="1"/>
  <c r="T75" i="1"/>
  <c r="Z75" i="1"/>
  <c r="AF75" i="1"/>
  <c r="F76" i="1"/>
  <c r="L76" i="1"/>
  <c r="R76" i="1"/>
  <c r="X76" i="1"/>
  <c r="AD76" i="1"/>
  <c r="AJ76" i="1"/>
  <c r="J77" i="1"/>
  <c r="P77" i="1"/>
  <c r="V77" i="1"/>
  <c r="AB77" i="1"/>
  <c r="AH77" i="1"/>
  <c r="H78" i="1"/>
  <c r="N78" i="1"/>
  <c r="T78" i="1"/>
  <c r="Z78" i="1"/>
  <c r="AF78" i="1"/>
  <c r="F79" i="1"/>
  <c r="L79" i="1"/>
  <c r="R79" i="1"/>
  <c r="X79" i="1"/>
  <c r="AD79" i="1"/>
  <c r="AJ79" i="1"/>
  <c r="J80" i="1"/>
  <c r="P80" i="1"/>
  <c r="V80" i="1"/>
  <c r="AB80" i="1"/>
  <c r="AH80" i="1"/>
  <c r="H81" i="1"/>
  <c r="N81" i="1"/>
  <c r="T81" i="1"/>
  <c r="Z81" i="1"/>
  <c r="AF81" i="1"/>
  <c r="F82" i="1"/>
  <c r="L82" i="1"/>
  <c r="R82" i="1"/>
  <c r="X82" i="1"/>
  <c r="AD82" i="1"/>
  <c r="AJ82" i="1"/>
  <c r="AK76" i="1"/>
  <c r="K77" i="1"/>
  <c r="Q77" i="1"/>
  <c r="W77" i="1"/>
  <c r="AC77" i="1"/>
  <c r="AI77" i="1"/>
  <c r="I78" i="1"/>
  <c r="O78" i="1"/>
  <c r="U78" i="1"/>
  <c r="AA78" i="1"/>
  <c r="AG78" i="1"/>
  <c r="G79" i="1"/>
  <c r="M79" i="1"/>
  <c r="S79" i="1"/>
  <c r="Y79" i="1"/>
  <c r="AE79" i="1"/>
  <c r="AK79" i="1"/>
  <c r="K80" i="1"/>
  <c r="Q80" i="1"/>
  <c r="W80" i="1"/>
  <c r="AC80" i="1"/>
  <c r="AI80" i="1"/>
  <c r="I81" i="1"/>
  <c r="O81" i="1"/>
  <c r="U81" i="1"/>
  <c r="AA81" i="1"/>
  <c r="AG81" i="1"/>
  <c r="G82" i="1"/>
  <c r="M82" i="1"/>
  <c r="S82" i="1"/>
  <c r="Y82" i="1"/>
  <c r="AE82" i="1"/>
  <c r="AK82" i="1"/>
  <c r="Z43" i="1"/>
  <c r="W46" i="1"/>
  <c r="AE49" i="1"/>
  <c r="O51" i="1"/>
  <c r="N38" i="1"/>
  <c r="L39" i="1"/>
  <c r="J40" i="1"/>
  <c r="T41" i="1"/>
  <c r="I38" i="1"/>
  <c r="U38" i="1"/>
  <c r="G39" i="1"/>
  <c r="Y39" i="1"/>
  <c r="K40" i="1"/>
  <c r="AC40" i="1"/>
  <c r="O41" i="1"/>
  <c r="AA41" i="1"/>
  <c r="M42" i="1"/>
  <c r="AE42" i="1"/>
  <c r="X43" i="1"/>
  <c r="J46" i="1"/>
  <c r="N43" i="1"/>
  <c r="J38" i="1"/>
  <c r="P38" i="1"/>
  <c r="V38" i="1"/>
  <c r="AB38" i="1"/>
  <c r="AH38" i="1"/>
  <c r="H39" i="1"/>
  <c r="N39" i="1"/>
  <c r="T39" i="1"/>
  <c r="Z39" i="1"/>
  <c r="AF39" i="1"/>
  <c r="F40" i="1"/>
  <c r="L40" i="1"/>
  <c r="R40" i="1"/>
  <c r="X40" i="1"/>
  <c r="AD40" i="1"/>
  <c r="AJ40" i="1"/>
  <c r="J41" i="1"/>
  <c r="P41" i="1"/>
  <c r="V41" i="1"/>
  <c r="AB41" i="1"/>
  <c r="AH41" i="1"/>
  <c r="H42" i="1"/>
  <c r="N42" i="1"/>
  <c r="T42" i="1"/>
  <c r="Z42" i="1"/>
  <c r="AF42" i="1"/>
  <c r="F43" i="1"/>
  <c r="O43" i="1"/>
  <c r="Y43" i="1"/>
  <c r="AJ43" i="1"/>
  <c r="N44" i="1"/>
  <c r="X44" i="1"/>
  <c r="M45" i="1"/>
  <c r="W45" i="1"/>
  <c r="AG45" i="1"/>
  <c r="L46" i="1"/>
  <c r="V46" i="1"/>
  <c r="AF46" i="1"/>
  <c r="U47" i="1"/>
  <c r="AE47" i="1"/>
  <c r="I48" i="1"/>
  <c r="T48" i="1"/>
  <c r="AD48" i="1"/>
  <c r="H49" i="1"/>
  <c r="R53" i="1"/>
  <c r="V54" i="1"/>
  <c r="Z55" i="1"/>
  <c r="AD56" i="1"/>
  <c r="AH57" i="1"/>
  <c r="Y44" i="1"/>
  <c r="V47" i="1"/>
  <c r="W50" i="1"/>
  <c r="AI38" i="1"/>
  <c r="M40" i="1"/>
  <c r="AK40" i="1"/>
  <c r="AC41" i="1"/>
  <c r="AI41" i="1"/>
  <c r="U42" i="1"/>
  <c r="AG42" i="1"/>
  <c r="G43" i="1"/>
  <c r="Q43" i="1"/>
  <c r="AA43" i="1"/>
  <c r="AK43" i="1"/>
  <c r="P44" i="1"/>
  <c r="Z44" i="1"/>
  <c r="AJ44" i="1"/>
  <c r="Y45" i="1"/>
  <c r="AI45" i="1"/>
  <c r="M46" i="1"/>
  <c r="X46" i="1"/>
  <c r="AH46" i="1"/>
  <c r="L47" i="1"/>
  <c r="AG47" i="1"/>
  <c r="K48" i="1"/>
  <c r="U48" i="1"/>
  <c r="AF48" i="1"/>
  <c r="J49" i="1"/>
  <c r="T49" i="1"/>
  <c r="AF49" i="1"/>
  <c r="L50" i="1"/>
  <c r="X50" i="1"/>
  <c r="AJ50" i="1"/>
  <c r="P51" i="1"/>
  <c r="AB51" i="1"/>
  <c r="H52" i="1"/>
  <c r="T52" i="1"/>
  <c r="AF52" i="1"/>
  <c r="X53" i="1"/>
  <c r="AB54" i="1"/>
  <c r="AF55" i="1"/>
  <c r="AJ56" i="1"/>
  <c r="H58" i="1"/>
  <c r="AG46" i="1"/>
  <c r="I39" i="1"/>
  <c r="G40" i="1"/>
  <c r="Y40" i="1"/>
  <c r="Q41" i="1"/>
  <c r="I42" i="1"/>
  <c r="R43" i="1"/>
  <c r="AB43" i="1"/>
  <c r="F44" i="1"/>
  <c r="AA44" i="1"/>
  <c r="AK44" i="1"/>
  <c r="O45" i="1"/>
  <c r="Z45" i="1"/>
  <c r="AJ45" i="1"/>
  <c r="N46" i="1"/>
  <c r="AI46" i="1"/>
  <c r="M47" i="1"/>
  <c r="W47" i="1"/>
  <c r="AH47" i="1"/>
  <c r="L48" i="1"/>
  <c r="V48" i="1"/>
  <c r="K49" i="1"/>
  <c r="U49" i="1"/>
  <c r="AG49" i="1"/>
  <c r="M50" i="1"/>
  <c r="Y50" i="1"/>
  <c r="AK50" i="1"/>
  <c r="Q51" i="1"/>
  <c r="AC51" i="1"/>
  <c r="I52" i="1"/>
  <c r="U52" i="1"/>
  <c r="AG52" i="1"/>
  <c r="N45" i="1"/>
  <c r="I49" i="1"/>
  <c r="W38" i="1"/>
  <c r="U39" i="1"/>
  <c r="S40" i="1"/>
  <c r="K41" i="1"/>
  <c r="AA42" i="1"/>
  <c r="L38" i="1"/>
  <c r="X38" i="1"/>
  <c r="J39" i="1"/>
  <c r="V39" i="1"/>
  <c r="AH39" i="1"/>
  <c r="N40" i="1"/>
  <c r="AF40" i="1"/>
  <c r="L41" i="1"/>
  <c r="X41" i="1"/>
  <c r="AJ41" i="1"/>
  <c r="P42" i="1"/>
  <c r="AB42" i="1"/>
  <c r="H43" i="1"/>
  <c r="G44" i="1"/>
  <c r="AB44" i="1"/>
  <c r="F45" i="1"/>
  <c r="P45" i="1"/>
  <c r="O46" i="1"/>
  <c r="Y46" i="1"/>
  <c r="AJ46" i="1"/>
  <c r="N47" i="1"/>
  <c r="X47" i="1"/>
  <c r="M48" i="1"/>
  <c r="W48" i="1"/>
  <c r="AG48" i="1"/>
  <c r="L49" i="1"/>
  <c r="V49" i="1"/>
  <c r="AH49" i="1"/>
  <c r="N50" i="1"/>
  <c r="Z50" i="1"/>
  <c r="F51" i="1"/>
  <c r="R51" i="1"/>
  <c r="AD51" i="1"/>
  <c r="J52" i="1"/>
  <c r="V52" i="1"/>
  <c r="AH52" i="1"/>
  <c r="AD53" i="1"/>
  <c r="AH54" i="1"/>
  <c r="F56" i="1"/>
  <c r="J57" i="1"/>
  <c r="N58" i="1"/>
  <c r="K47" i="1"/>
  <c r="AC38" i="1"/>
  <c r="AG39" i="1"/>
  <c r="AE40" i="1"/>
  <c r="W41" i="1"/>
  <c r="O42" i="1"/>
  <c r="R38" i="1"/>
  <c r="AD38" i="1"/>
  <c r="AJ38" i="1"/>
  <c r="P39" i="1"/>
  <c r="AB39" i="1"/>
  <c r="H40" i="1"/>
  <c r="T40" i="1"/>
  <c r="Z40" i="1"/>
  <c r="F41" i="1"/>
  <c r="R41" i="1"/>
  <c r="AD41" i="1"/>
  <c r="J42" i="1"/>
  <c r="V42" i="1"/>
  <c r="AH42" i="1"/>
  <c r="AC43" i="1"/>
  <c r="Q44" i="1"/>
  <c r="AK45" i="1"/>
  <c r="I43" i="1"/>
  <c r="S43" i="1"/>
  <c r="AD43" i="1"/>
  <c r="H44" i="1"/>
  <c r="R44" i="1"/>
  <c r="G45" i="1"/>
  <c r="Q45" i="1"/>
  <c r="AA45" i="1"/>
  <c r="F46" i="1"/>
  <c r="P46" i="1"/>
  <c r="Z46" i="1"/>
  <c r="O47" i="1"/>
  <c r="Y47" i="1"/>
  <c r="AI47" i="1"/>
  <c r="N48" i="1"/>
  <c r="X48" i="1"/>
  <c r="AH48" i="1"/>
  <c r="W49" i="1"/>
  <c r="AI49" i="1"/>
  <c r="O50" i="1"/>
  <c r="AA50" i="1"/>
  <c r="G51" i="1"/>
  <c r="S51" i="1"/>
  <c r="AE51" i="1"/>
  <c r="K52" i="1"/>
  <c r="W52" i="1"/>
  <c r="AI52" i="1"/>
  <c r="AF47" i="1"/>
  <c r="AE52" i="1"/>
  <c r="K38" i="1"/>
  <c r="AA39" i="1"/>
  <c r="M38" i="1"/>
  <c r="Y38" i="1"/>
  <c r="AE38" i="1"/>
  <c r="K39" i="1"/>
  <c r="W39" i="1"/>
  <c r="AI39" i="1"/>
  <c r="O40" i="1"/>
  <c r="AA40" i="1"/>
  <c r="G41" i="1"/>
  <c r="M41" i="1"/>
  <c r="Y41" i="1"/>
  <c r="AK41" i="1"/>
  <c r="Q42" i="1"/>
  <c r="AC42" i="1"/>
  <c r="T43" i="1"/>
  <c r="S44" i="1"/>
  <c r="AC44" i="1"/>
  <c r="R45" i="1"/>
  <c r="AB45" i="1"/>
  <c r="Q46" i="1"/>
  <c r="AA46" i="1"/>
  <c r="AK46" i="1"/>
  <c r="P47" i="1"/>
  <c r="AJ47" i="1"/>
  <c r="Y48" i="1"/>
  <c r="AI48" i="1"/>
  <c r="M49" i="1"/>
  <c r="AJ53" i="1"/>
  <c r="H55" i="1"/>
  <c r="L56" i="1"/>
  <c r="P57" i="1"/>
  <c r="T58" i="1"/>
  <c r="P43" i="1"/>
  <c r="Q38" i="1"/>
  <c r="O39" i="1"/>
  <c r="G38" i="1"/>
  <c r="S38" i="1"/>
  <c r="AK38" i="1"/>
  <c r="Q39" i="1"/>
  <c r="AC39" i="1"/>
  <c r="I40" i="1"/>
  <c r="U40" i="1"/>
  <c r="AG40" i="1"/>
  <c r="S41" i="1"/>
  <c r="AE41" i="1"/>
  <c r="K42" i="1"/>
  <c r="W42" i="1"/>
  <c r="AI42" i="1"/>
  <c r="J43" i="1"/>
  <c r="I44" i="1"/>
  <c r="H45" i="1"/>
  <c r="Z47" i="1"/>
  <c r="K43" i="1"/>
  <c r="U43" i="1"/>
  <c r="AE43" i="1"/>
  <c r="J44" i="1"/>
  <c r="T44" i="1"/>
  <c r="AD44" i="1"/>
  <c r="S45" i="1"/>
  <c r="AC45" i="1"/>
  <c r="G46" i="1"/>
  <c r="R46" i="1"/>
  <c r="AB46" i="1"/>
  <c r="F47" i="1"/>
  <c r="AA47" i="1"/>
  <c r="AK47" i="1"/>
  <c r="O48" i="1"/>
  <c r="Z48" i="1"/>
  <c r="AJ48" i="1"/>
  <c r="N49" i="1"/>
  <c r="Y49" i="1"/>
  <c r="AK49" i="1"/>
  <c r="Q50" i="1"/>
  <c r="AC50" i="1"/>
  <c r="I51" i="1"/>
  <c r="U51" i="1"/>
  <c r="AG51" i="1"/>
  <c r="M52" i="1"/>
  <c r="Y52" i="1"/>
  <c r="F53" i="1"/>
  <c r="AI44" i="1"/>
  <c r="J48" i="1"/>
  <c r="K50" i="1"/>
  <c r="S52" i="1"/>
  <c r="AF38" i="1"/>
  <c r="AD39" i="1"/>
  <c r="AB40" i="1"/>
  <c r="H41" i="1"/>
  <c r="AF41" i="1"/>
  <c r="F42" i="1"/>
  <c r="L42" i="1"/>
  <c r="X42" i="1"/>
  <c r="AD42" i="1"/>
  <c r="AJ42" i="1"/>
  <c r="L43" i="1"/>
  <c r="V43" i="1"/>
  <c r="AF43" i="1"/>
  <c r="U44" i="1"/>
  <c r="AE44" i="1"/>
  <c r="I45" i="1"/>
  <c r="T45" i="1"/>
  <c r="AD45" i="1"/>
  <c r="H46" i="1"/>
  <c r="AC46" i="1"/>
  <c r="G47" i="1"/>
  <c r="Q47" i="1"/>
  <c r="AB47" i="1"/>
  <c r="F48" i="1"/>
  <c r="P48" i="1"/>
  <c r="AK48" i="1"/>
  <c r="O49" i="1"/>
  <c r="Z49" i="1"/>
  <c r="F50" i="1"/>
  <c r="R50" i="1"/>
  <c r="AD50" i="1"/>
  <c r="J51" i="1"/>
  <c r="V51" i="1"/>
  <c r="AH51" i="1"/>
  <c r="N52" i="1"/>
  <c r="Z52" i="1"/>
  <c r="I53" i="1"/>
  <c r="J54" i="1"/>
  <c r="N55" i="1"/>
  <c r="R56" i="1"/>
  <c r="V57" i="1"/>
  <c r="Z58" i="1"/>
  <c r="X45" i="1"/>
  <c r="AE48" i="1"/>
  <c r="AA51" i="1"/>
  <c r="T38" i="1"/>
  <c r="R39" i="1"/>
  <c r="P40" i="1"/>
  <c r="AH40" i="1"/>
  <c r="R42" i="1"/>
  <c r="W43" i="1"/>
  <c r="AG43" i="1"/>
  <c r="K44" i="1"/>
  <c r="V44" i="1"/>
  <c r="AF44" i="1"/>
  <c r="J45" i="1"/>
  <c r="AE45" i="1"/>
  <c r="I46" i="1"/>
  <c r="S46" i="1"/>
  <c r="AD46" i="1"/>
  <c r="H47" i="1"/>
  <c r="R47" i="1"/>
  <c r="G48" i="1"/>
  <c r="Q48" i="1"/>
  <c r="AA48" i="1"/>
  <c r="F49" i="1"/>
  <c r="P49" i="1"/>
  <c r="AA49" i="1"/>
  <c r="G50" i="1"/>
  <c r="S50" i="1"/>
  <c r="AE50" i="1"/>
  <c r="K51" i="1"/>
  <c r="W51" i="1"/>
  <c r="AI51" i="1"/>
  <c r="O52" i="1"/>
  <c r="AA52" i="1"/>
  <c r="O44" i="1"/>
  <c r="G52" i="1"/>
  <c r="Z38" i="1"/>
  <c r="X39" i="1"/>
  <c r="V40" i="1"/>
  <c r="Z41" i="1"/>
  <c r="AA38" i="1"/>
  <c r="M39" i="1"/>
  <c r="AE39" i="1"/>
  <c r="Q40" i="1"/>
  <c r="AI40" i="1"/>
  <c r="U41" i="1"/>
  <c r="G42" i="1"/>
  <c r="Y42" i="1"/>
  <c r="M43" i="1"/>
  <c r="L44" i="1"/>
  <c r="AG44" i="1"/>
  <c r="K45" i="1"/>
  <c r="U45" i="1"/>
  <c r="T46" i="1"/>
  <c r="I47" i="1"/>
  <c r="S47" i="1"/>
  <c r="AC47" i="1"/>
  <c r="H48" i="1"/>
  <c r="R48" i="1"/>
  <c r="AB48" i="1"/>
  <c r="Q49" i="1"/>
  <c r="AB49" i="1"/>
  <c r="H50" i="1"/>
  <c r="T50" i="1"/>
  <c r="AF50" i="1"/>
  <c r="L51" i="1"/>
  <c r="X51" i="1"/>
  <c r="AJ51" i="1"/>
  <c r="P52" i="1"/>
  <c r="AB52" i="1"/>
  <c r="L53" i="1"/>
  <c r="P54" i="1"/>
  <c r="T55" i="1"/>
  <c r="X56" i="1"/>
  <c r="AB57" i="1"/>
  <c r="AF58" i="1"/>
  <c r="AH45" i="1"/>
  <c r="S49" i="1"/>
  <c r="AI50" i="1"/>
  <c r="H38" i="1"/>
  <c r="F39" i="1"/>
  <c r="AJ39" i="1"/>
  <c r="N41" i="1"/>
  <c r="O38" i="1"/>
  <c r="AG38" i="1"/>
  <c r="S39" i="1"/>
  <c r="AK39" i="1"/>
  <c r="W40" i="1"/>
  <c r="I41" i="1"/>
  <c r="AG41" i="1"/>
  <c r="S42" i="1"/>
  <c r="AK42" i="1"/>
  <c r="AH43" i="1"/>
  <c r="AF45" i="1"/>
  <c r="AI43" i="1"/>
  <c r="M44" i="1"/>
  <c r="W44" i="1"/>
  <c r="AH44" i="1"/>
  <c r="L45" i="1"/>
  <c r="V45" i="1"/>
  <c r="K46" i="1"/>
  <c r="U46" i="1"/>
  <c r="AE46" i="1"/>
  <c r="J47" i="1"/>
  <c r="T47" i="1"/>
  <c r="AD47" i="1"/>
  <c r="S48" i="1"/>
  <c r="AC48" i="1"/>
  <c r="G49" i="1"/>
  <c r="R49" i="1"/>
  <c r="AC49" i="1"/>
  <c r="I50" i="1"/>
  <c r="U50" i="1"/>
  <c r="AG50" i="1"/>
  <c r="M51" i="1"/>
  <c r="Y51" i="1"/>
  <c r="AK51" i="1"/>
  <c r="Q52" i="1"/>
  <c r="AC52" i="1"/>
  <c r="G53" i="1"/>
  <c r="M53" i="1"/>
  <c r="S53" i="1"/>
  <c r="Y53" i="1"/>
  <c r="AE53" i="1"/>
  <c r="AK53" i="1"/>
  <c r="K54" i="1"/>
  <c r="Q54" i="1"/>
  <c r="W54" i="1"/>
  <c r="AC54" i="1"/>
  <c r="AI54" i="1"/>
  <c r="I55" i="1"/>
  <c r="O55" i="1"/>
  <c r="U55" i="1"/>
  <c r="AA55" i="1"/>
  <c r="AG55" i="1"/>
  <c r="G56" i="1"/>
  <c r="M56" i="1"/>
  <c r="S56" i="1"/>
  <c r="Y56" i="1"/>
  <c r="AE56" i="1"/>
  <c r="AK56" i="1"/>
  <c r="K57" i="1"/>
  <c r="Q57" i="1"/>
  <c r="W57" i="1"/>
  <c r="AC57" i="1"/>
  <c r="AI57" i="1"/>
  <c r="I58" i="1"/>
  <c r="O58" i="1"/>
  <c r="U58" i="1"/>
  <c r="AA58" i="1"/>
  <c r="AG58" i="1"/>
  <c r="H53" i="1"/>
  <c r="N53" i="1"/>
  <c r="T53" i="1"/>
  <c r="Z53" i="1"/>
  <c r="AF53" i="1"/>
  <c r="F54" i="1"/>
  <c r="L54" i="1"/>
  <c r="R54" i="1"/>
  <c r="X54" i="1"/>
  <c r="AD54" i="1"/>
  <c r="AJ54" i="1"/>
  <c r="J55" i="1"/>
  <c r="P55" i="1"/>
  <c r="V55" i="1"/>
  <c r="AB55" i="1"/>
  <c r="AH55" i="1"/>
  <c r="H56" i="1"/>
  <c r="N56" i="1"/>
  <c r="T56" i="1"/>
  <c r="Z56" i="1"/>
  <c r="AF56" i="1"/>
  <c r="F57" i="1"/>
  <c r="L57" i="1"/>
  <c r="R57" i="1"/>
  <c r="X57" i="1"/>
  <c r="AD57" i="1"/>
  <c r="AJ57" i="1"/>
  <c r="J58" i="1"/>
  <c r="P58" i="1"/>
  <c r="V58" i="1"/>
  <c r="AB58" i="1"/>
  <c r="AH58" i="1"/>
  <c r="O53" i="1"/>
  <c r="U53" i="1"/>
  <c r="AA53" i="1"/>
  <c r="AG53" i="1"/>
  <c r="G54" i="1"/>
  <c r="M54" i="1"/>
  <c r="S54" i="1"/>
  <c r="Y54" i="1"/>
  <c r="AE54" i="1"/>
  <c r="AK54" i="1"/>
  <c r="K55" i="1"/>
  <c r="Q55" i="1"/>
  <c r="W55" i="1"/>
  <c r="AC55" i="1"/>
  <c r="AI55" i="1"/>
  <c r="I56" i="1"/>
  <c r="O56" i="1"/>
  <c r="U56" i="1"/>
  <c r="AA56" i="1"/>
  <c r="AG56" i="1"/>
  <c r="G57" i="1"/>
  <c r="M57" i="1"/>
  <c r="S57" i="1"/>
  <c r="Y57" i="1"/>
  <c r="AE57" i="1"/>
  <c r="AK57" i="1"/>
  <c r="K58" i="1"/>
  <c r="Q58" i="1"/>
  <c r="W58" i="1"/>
  <c r="AC58" i="1"/>
  <c r="AI58" i="1"/>
  <c r="X49" i="1"/>
  <c r="AD49" i="1"/>
  <c r="AJ49" i="1"/>
  <c r="J50" i="1"/>
  <c r="P50" i="1"/>
  <c r="V50" i="1"/>
  <c r="AB50" i="1"/>
  <c r="AH50" i="1"/>
  <c r="H51" i="1"/>
  <c r="N51" i="1"/>
  <c r="T51" i="1"/>
  <c r="Z51" i="1"/>
  <c r="AF51" i="1"/>
  <c r="F52" i="1"/>
  <c r="L52" i="1"/>
  <c r="R52" i="1"/>
  <c r="X52" i="1"/>
  <c r="AD52" i="1"/>
  <c r="AJ52" i="1"/>
  <c r="J53" i="1"/>
  <c r="P53" i="1"/>
  <c r="V53" i="1"/>
  <c r="AB53" i="1"/>
  <c r="AH53" i="1"/>
  <c r="H54" i="1"/>
  <c r="N54" i="1"/>
  <c r="T54" i="1"/>
  <c r="Z54" i="1"/>
  <c r="AF54" i="1"/>
  <c r="F55" i="1"/>
  <c r="L55" i="1"/>
  <c r="R55" i="1"/>
  <c r="X55" i="1"/>
  <c r="AD55" i="1"/>
  <c r="AJ55" i="1"/>
  <c r="J56" i="1"/>
  <c r="P56" i="1"/>
  <c r="V56" i="1"/>
  <c r="AB56" i="1"/>
  <c r="AH56" i="1"/>
  <c r="H57" i="1"/>
  <c r="N57" i="1"/>
  <c r="T57" i="1"/>
  <c r="Z57" i="1"/>
  <c r="AF57" i="1"/>
  <c r="F58" i="1"/>
  <c r="L58" i="1"/>
  <c r="R58" i="1"/>
  <c r="X58" i="1"/>
  <c r="AD58" i="1"/>
  <c r="AJ58" i="1"/>
  <c r="AK52" i="1"/>
  <c r="K53" i="1"/>
  <c r="Q53" i="1"/>
  <c r="W53" i="1"/>
  <c r="AC53" i="1"/>
  <c r="AI53" i="1"/>
  <c r="I54" i="1"/>
  <c r="O54" i="1"/>
  <c r="U54" i="1"/>
  <c r="AA54" i="1"/>
  <c r="AG54" i="1"/>
  <c r="G55" i="1"/>
  <c r="M55" i="1"/>
  <c r="S55" i="1"/>
  <c r="Y55" i="1"/>
  <c r="AE55" i="1"/>
  <c r="AK55" i="1"/>
  <c r="K56" i="1"/>
  <c r="Q56" i="1"/>
  <c r="W56" i="1"/>
  <c r="AC56" i="1"/>
  <c r="AI56" i="1"/>
  <c r="I57" i="1"/>
  <c r="O57" i="1"/>
  <c r="U57" i="1"/>
  <c r="AA57" i="1"/>
  <c r="AG57" i="1"/>
  <c r="G58" i="1"/>
  <c r="M58" i="1"/>
  <c r="S58" i="1"/>
  <c r="Y58" i="1"/>
  <c r="AE58" i="1"/>
  <c r="AK58" i="1"/>
  <c r="F3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<sst xmlns="http://schemas.openxmlformats.org/spreadsheetml/2006/main" count="13" uniqueCount="12">
  <si>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Проверка расчета z фактора с использоваием унифлок VBA</t>
  </si>
  <si>
    <t>T</t>
  </si>
  <si>
    <t>T_K</t>
  </si>
  <si>
    <t>P</t>
  </si>
  <si>
    <t>P_Mpa</t>
  </si>
  <si>
    <t>gg</t>
  </si>
  <si>
    <t>zcor</t>
  </si>
  <si>
    <t>Beggs Brill</t>
  </si>
  <si>
    <t>Dranchuk</t>
  </si>
  <si>
    <t>Kareem</t>
  </si>
  <si>
    <t>Упражнения по работе с макросами Unifloc VBA</t>
  </si>
  <si>
    <t>версия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</si>
</sst>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 applyAlignment="1">
      <alignment horizontal="center"/>
    </xf>
    <xf numFmtId="1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z factor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z!$E$38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z!$F$38:$AK$38</c:f>
              <c:numCache>
                <c:formatCode>0.00</c:formatCode>
                <c:ptCount val="32"/>
                <c:pt idx="0">
                  <c:v>0.99730571351238773</c:v>
                </c:pt>
                <c:pt idx="1">
                  <c:v>0.97316027678862205</c:v>
                </c:pt>
                <c:pt idx="2">
                  <c:v>0.95194125202582713</c:v>
                </c:pt>
                <c:pt idx="3">
                  <c:v>0.93375502197294324</c:v>
                </c:pt>
                <c:pt idx="4">
                  <c:v>0.91833086880931947</c:v>
                </c:pt>
                <c:pt idx="5">
                  <c:v>0.90526153255148789</c:v>
                </c:pt>
                <c:pt idx="6">
                  <c:v>0.89398756440802751</c:v>
                </c:pt>
                <c:pt idx="7">
                  <c:v>0.88375430594304916</c:v>
                </c:pt>
                <c:pt idx="8">
                  <c:v>0.87357195646572428</c:v>
                </c:pt>
                <c:pt idx="9">
                  <c:v>0.86220141402959927</c:v>
                </c:pt>
                <c:pt idx="10">
                  <c:v>0.84819883958893361</c:v>
                </c:pt>
                <c:pt idx="11">
                  <c:v>0.83006677347724434</c:v>
                </c:pt>
                <c:pt idx="12">
                  <c:v>0.80656615784702124</c:v>
                </c:pt>
                <c:pt idx="13">
                  <c:v>0.77721664911544486</c:v>
                </c:pt>
                <c:pt idx="14">
                  <c:v>0.7429166893740683</c:v>
                </c:pt>
                <c:pt idx="15">
                  <c:v>0.7064334515119669</c:v>
                </c:pt>
                <c:pt idx="16">
                  <c:v>0.67231912438187158</c:v>
                </c:pt>
                <c:pt idx="17">
                  <c:v>0.64583410241219785</c:v>
                </c:pt>
                <c:pt idx="18">
                  <c:v>0.63098134032246922</c:v>
                </c:pt>
                <c:pt idx="19">
                  <c:v>0.6286746579010859</c:v>
                </c:pt>
                <c:pt idx="20">
                  <c:v>0.63648422824579709</c:v>
                </c:pt>
                <c:pt idx="21">
                  <c:v>0.65034767720704034</c:v>
                </c:pt>
                <c:pt idx="22">
                  <c:v>0.66681099588798942</c:v>
                </c:pt>
                <c:pt idx="23">
                  <c:v>0.68402838366744778</c:v>
                </c:pt>
                <c:pt idx="24">
                  <c:v>0.70136895881049011</c:v>
                </c:pt>
                <c:pt idx="25">
                  <c:v>0.71869933220044302</c:v>
                </c:pt>
                <c:pt idx="26">
                  <c:v>0.73600370239892143</c:v>
                </c:pt>
                <c:pt idx="27">
                  <c:v>0.75328196690183802</c:v>
                </c:pt>
                <c:pt idx="28">
                  <c:v>0.77053508561682393</c:v>
                </c:pt>
                <c:pt idx="29">
                  <c:v>0.78776398743907361</c:v>
                </c:pt>
                <c:pt idx="30">
                  <c:v>0.80496953684159722</c:v>
                </c:pt>
                <c:pt idx="31">
                  <c:v>0.8221525397548628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72-4477-BA89-86098ACA3BE6}"/>
            </c:ext>
          </c:extLst>
        </c:ser>
        <c:ser>
          <c:idx val="1"/>
          <c:order val="1"/>
          <c:tx>
            <c:strRef>
              <c:f>z!$E$39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z!$F$39:$AK$39</c:f>
              <c:numCache>
                <c:formatCode>0.00</c:formatCode>
                <c:ptCount val="32"/>
                <c:pt idx="0">
                  <c:v>0.99761158580154763</c:v>
                </c:pt>
                <c:pt idx="1">
                  <c:v>0.97605913342478878</c:v>
                </c:pt>
                <c:pt idx="2">
                  <c:v>0.95716081594209401</c:v>
                </c:pt>
                <c:pt idx="3">
                  <c:v>0.94106225172169489</c:v>
                </c:pt>
                <c:pt idx="4">
                  <c:v>0.92756654219509049</c:v>
                </c:pt>
                <c:pt idx="5">
                  <c:v>0.91640350788282932</c:v>
                </c:pt>
                <c:pt idx="6">
                  <c:v>0.90724683617783597</c:v>
                </c:pt>
                <c:pt idx="7">
                  <c:v>0.89970233795912813</c:v>
                </c:pt>
                <c:pt idx="8">
                  <c:v>0.89328967880588672</c:v>
                </c:pt>
                <c:pt idx="9">
                  <c:v>0.88742507604677612</c:v>
                </c:pt>
                <c:pt idx="10">
                  <c:v>0.88141136482040738</c:v>
                </c:pt>
                <c:pt idx="11">
                  <c:v>0.87444428086528725</c:v>
                </c:pt>
                <c:pt idx="12">
                  <c:v>0.8656477476477924</c:v>
                </c:pt>
                <c:pt idx="13">
                  <c:v>0.85415455452285538</c:v>
                </c:pt>
                <c:pt idx="14">
                  <c:v>0.83924858083119369</c:v>
                </c:pt>
                <c:pt idx="15">
                  <c:v>0.8205747419407613</c:v>
                </c:pt>
                <c:pt idx="16">
                  <c:v>0.79839583713522078</c:v>
                </c:pt>
                <c:pt idx="17">
                  <c:v>0.77382804959142204</c:v>
                </c:pt>
                <c:pt idx="18">
                  <c:v>0.74893042041940994</c:v>
                </c:pt>
                <c:pt idx="19">
                  <c:v>0.72649689099343429</c:v>
                </c:pt>
                <c:pt idx="20">
                  <c:v>0.70946473154998713</c:v>
                </c:pt>
                <c:pt idx="21">
                  <c:v>0.70004977858933437</c:v>
                </c:pt>
                <c:pt idx="22">
                  <c:v>0.69897643850991131</c:v>
                </c:pt>
                <c:pt idx="23">
                  <c:v>0.70527015834590001</c:v>
                </c:pt>
                <c:pt idx="24">
                  <c:v>0.71681070405304226</c:v>
                </c:pt>
                <c:pt idx="25">
                  <c:v>0.73131432384499462</c:v>
                </c:pt>
                <c:pt idx="26">
                  <c:v>0.74710613724233466</c:v>
                </c:pt>
                <c:pt idx="27">
                  <c:v>0.76330671939966199</c:v>
                </c:pt>
                <c:pt idx="28">
                  <c:v>0.77958649922854817</c:v>
                </c:pt>
                <c:pt idx="29">
                  <c:v>0.79585965832378014</c:v>
                </c:pt>
                <c:pt idx="30">
                  <c:v>0.81211166615473007</c:v>
                </c:pt>
                <c:pt idx="31">
                  <c:v>0.82834154989424469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D472-4477-BA89-86098ACA3BE6}"/>
            </c:ext>
          </c:extLst>
        </c:ser>
        <c:ser>
          <c:idx val="2"/>
          <c:order val="2"/>
          <c:tx>
            <c:strRef>
              <c:f>z!$E$40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z!$F$40:$AK$40</c:f>
              <c:numCache>
                <c:formatCode>0.00</c:formatCode>
                <c:ptCount val="32"/>
                <c:pt idx="0">
                  <c:v>0.99786861974569896</c:v>
                </c:pt>
                <c:pt idx="1">
                  <c:v>0.97858254024491043</c:v>
                </c:pt>
                <c:pt idx="2">
                  <c:v>0.96173365551596401</c:v>
                </c:pt>
                <c:pt idx="3">
                  <c:v>0.94747445778166406</c:v>
                </c:pt>
                <c:pt idx="4">
                  <c:v>0.93564352203966406</c:v>
                </c:pt>
                <c:pt idx="5">
                  <c:v>0.92603132514669106</c:v>
                </c:pt>
                <c:pt idx="6">
                  <c:v>0.91840820549046831</c:v>
                </c:pt>
                <c:pt idx="7">
                  <c:v>0.91252528137167954</c:v>
                </c:pt>
                <c:pt idx="8">
                  <c:v>0.90810826318729343</c:v>
                </c:pt>
                <c:pt idx="9">
                  <c:v>0.90484906526751507</c:v>
                </c:pt>
                <c:pt idx="10">
                  <c:v>0.90239732915329562</c:v>
                </c:pt>
                <c:pt idx="11">
                  <c:v>0.90035360472696579</c:v>
                </c:pt>
                <c:pt idx="12">
                  <c:v>0.89826642783513178</c:v>
                </c:pt>
                <c:pt idx="13">
                  <c:v>0.8956364879043196</c:v>
                </c:pt>
                <c:pt idx="14">
                  <c:v>0.89193224748978694</c:v>
                </c:pt>
                <c:pt idx="15">
                  <c:v>0.88662234802032824</c:v>
                </c:pt>
                <c:pt idx="16">
                  <c:v>0.87923015610687638</c:v>
                </c:pt>
                <c:pt idx="17">
                  <c:v>0.86941366842013024</c:v>
                </c:pt>
                <c:pt idx="18">
                  <c:v>0.85706817597193086</c:v>
                </c:pt>
                <c:pt idx="19">
                  <c:v>0.84243837854798509</c:v>
                </c:pt>
                <c:pt idx="20">
                  <c:v>0.8262115500825058</c:v>
                </c:pt>
                <c:pt idx="21">
                  <c:v>0.80954821262964372</c:v>
                </c:pt>
                <c:pt idx="22">
                  <c:v>0.79400131938784302</c:v>
                </c:pt>
                <c:pt idx="23">
                  <c:v>0.78129270185138811</c:v>
                </c:pt>
                <c:pt idx="24">
                  <c:v>0.77296568271572152</c:v>
                </c:pt>
                <c:pt idx="25">
                  <c:v>0.77000583268537615</c:v>
                </c:pt>
                <c:pt idx="26">
                  <c:v>0.77257931903360499</c:v>
                </c:pt>
                <c:pt idx="27">
                  <c:v>0.78002522230561355</c:v>
                </c:pt>
                <c:pt idx="28">
                  <c:v>0.79112873932818784</c:v>
                </c:pt>
                <c:pt idx="29">
                  <c:v>0.80454787469702305</c:v>
                </c:pt>
                <c:pt idx="30">
                  <c:v>0.81918146691171378</c:v>
                </c:pt>
                <c:pt idx="31">
                  <c:v>0.83432784146984373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D472-4477-BA89-86098ACA3BE6}"/>
            </c:ext>
          </c:extLst>
        </c:ser>
        <c:ser>
          <c:idx val="3"/>
          <c:order val="3"/>
          <c:tx>
            <c:strRef>
              <c:f>z!$E$41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z!$F$41:$AK$41</c:f>
              <c:numCache>
                <c:formatCode>0.00</c:formatCode>
                <c:ptCount val="32"/>
                <c:pt idx="0">
                  <c:v>0.99808401251760615</c:v>
                </c:pt>
                <c:pt idx="1">
                  <c:v>0.9807873633520231</c:v>
                </c:pt>
                <c:pt idx="2">
                  <c:v>0.96576139305853603</c:v>
                </c:pt>
                <c:pt idx="3">
                  <c:v>0.95314202601951659</c:v>
                </c:pt>
                <c:pt idx="4">
                  <c:v>0.94278570620473556</c:v>
                </c:pt>
                <c:pt idx="5">
                  <c:v>0.93451335785671619</c:v>
                </c:pt>
                <c:pt idx="6">
                  <c:v>0.92813974873888672</c:v>
                </c:pt>
                <c:pt idx="7">
                  <c:v>0.92347867201855993</c:v>
                </c:pt>
                <c:pt idx="8">
                  <c:v>0.92034176013397506</c:v>
                </c:pt>
                <c:pt idx="9">
                  <c:v>0.91853505308111583</c:v>
                </c:pt>
                <c:pt idx="10">
                  <c:v>0.91785468704651385</c:v>
                </c:pt>
                <c:pt idx="11">
                  <c:v>0.91808233204546497</c:v>
                </c:pt>
                <c:pt idx="12">
                  <c:v>0.9189808404661115</c:v>
                </c:pt>
                <c:pt idx="13">
                  <c:v>0.92029063498960306</c:v>
                </c:pt>
                <c:pt idx="14">
                  <c:v>0.92172756760225438</c:v>
                </c:pt>
                <c:pt idx="15">
                  <c:v>0.92298328170006716</c:v>
                </c:pt>
                <c:pt idx="16">
                  <c:v>0.92372946595464822</c:v>
                </c:pt>
                <c:pt idx="17">
                  <c:v>0.92362772766781343</c:v>
                </c:pt>
                <c:pt idx="18">
                  <c:v>0.92234699983988999</c:v>
                </c:pt>
                <c:pt idx="19">
                  <c:v>0.91959021198611135</c:v>
                </c:pt>
                <c:pt idx="20">
                  <c:v>0.9151310959810155</c:v>
                </c:pt>
                <c:pt idx="21">
                  <c:v>0.90886012052702958</c:v>
                </c:pt>
                <c:pt idx="22">
                  <c:v>0.90083539832933457</c:v>
                </c:pt>
                <c:pt idx="23">
                  <c:v>0.89133007806904285</c:v>
                </c:pt>
                <c:pt idx="24">
                  <c:v>0.88086300294531139</c:v>
                </c:pt>
                <c:pt idx="25">
                  <c:v>0.87019608779726121</c:v>
                </c:pt>
                <c:pt idx="26">
                  <c:v>0.86028272757621649</c:v>
                </c:pt>
                <c:pt idx="27">
                  <c:v>0.85215957006870313</c:v>
                </c:pt>
                <c:pt idx="28">
                  <c:v>0.84679041680373601</c:v>
                </c:pt>
                <c:pt idx="29">
                  <c:v>0.84489283682375682</c:v>
                </c:pt>
                <c:pt idx="30">
                  <c:v>0.84679647170230432</c:v>
                </c:pt>
                <c:pt idx="31">
                  <c:v>0.85238450263736565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D472-4477-BA89-86098ACA3BE6}"/>
            </c:ext>
          </c:extLst>
        </c:ser>
        <c:ser>
          <c:idx val="4"/>
          <c:order val="4"/>
          <c:tx>
            <c:strRef>
              <c:f>z!$E$42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z!$F$42:$AK$42</c:f>
              <c:numCache>
                <c:formatCode>0.00</c:formatCode>
                <c:ptCount val="32"/>
                <c:pt idx="0">
                  <c:v>0.99826393374218769</c:v>
                </c:pt>
                <c:pt idx="1">
                  <c:v>0.98271889994872763</c:v>
                </c:pt>
                <c:pt idx="2">
                  <c:v>0.96932269188879694</c:v>
                </c:pt>
                <c:pt idx="3">
                  <c:v>0.95817648945800427</c:v>
                </c:pt>
                <c:pt idx="4">
                  <c:v>0.94914503647041326</c:v>
                </c:pt>
                <c:pt idx="5">
                  <c:v>0.9420667117618694</c:v>
                </c:pt>
                <c:pt idx="6">
                  <c:v>0.93677999618631758</c:v>
                </c:pt>
                <c:pt idx="7">
                  <c:v>0.93312933350963645</c:v>
                </c:pt>
                <c:pt idx="8">
                  <c:v>0.93096562466694199</c:v>
                </c:pt>
                <c:pt idx="9">
                  <c:v>0.9301448487429621</c:v>
                </c:pt>
                <c:pt idx="10">
                  <c:v>0.93052591588746281</c:v>
                </c:pt>
                <c:pt idx="11">
                  <c:v>0.93196817353727934</c:v>
                </c:pt>
                <c:pt idx="12">
                  <c:v>0.93432875636856605</c:v>
                </c:pt>
                <c:pt idx="13">
                  <c:v>0.93745989524354845</c:v>
                </c:pt>
                <c:pt idx="14">
                  <c:v>0.94120629395121203</c:v>
                </c:pt>
                <c:pt idx="15">
                  <c:v>0.94540271620487415</c:v>
                </c:pt>
                <c:pt idx="16">
                  <c:v>0.94987198935666461</c:v>
                </c:pt>
                <c:pt idx="17">
                  <c:v>0.95442372146322751</c:v>
                </c:pt>
                <c:pt idx="18">
                  <c:v>0.95885414013036863</c:v>
                </c:pt>
                <c:pt idx="19">
                  <c:v>0.96294758562173211</c:v>
                </c:pt>
                <c:pt idx="20">
                  <c:v>0.96648030845172372</c:v>
                </c:pt>
                <c:pt idx="21">
                  <c:v>0.96922730056782558</c:v>
                </c:pt>
                <c:pt idx="22">
                  <c:v>0.97097287865180659</c:v>
                </c:pt>
                <c:pt idx="23">
                  <c:v>0.9715255679276481</c:v>
                </c:pt>
                <c:pt idx="24">
                  <c:v>0.97073742064793833</c:v>
                </c:pt>
                <c:pt idx="25">
                  <c:v>0.9685271631297212</c:v>
                </c:pt>
                <c:pt idx="26">
                  <c:v>0.96490545363862212</c:v>
                </c:pt>
                <c:pt idx="27">
                  <c:v>0.95999909664006378</c:v>
                </c:pt>
                <c:pt idx="28">
                  <c:v>0.95406950258698309</c:v>
                </c:pt>
                <c:pt idx="29">
                  <c:v>0.94751943098413782</c:v>
                </c:pt>
                <c:pt idx="30">
                  <c:v>0.94088175599462531</c:v>
                </c:pt>
                <c:pt idx="31">
                  <c:v>0.93478540667592391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D472-4477-BA89-86098ACA3BE6}"/>
            </c:ext>
          </c:extLst>
        </c:ser>
        <c:ser>
          <c:idx val="5"/>
          <c:order val="5"/>
          <c:tx>
            <c:strRef>
              <c:f>z!$E$43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z!$F$43:$AK$43</c:f>
              <c:numCache>
                <c:formatCode>0.00</c:formatCode>
                <c:ptCount val="32"/>
                <c:pt idx="0">
                  <c:v>0.99841379839616073</c:v>
                </c:pt>
                <c:pt idx="1">
                  <c:v>0.98441426031847001</c:v>
                </c:pt>
                <c:pt idx="2">
                  <c:v>0.97248038745312615</c:v>
                </c:pt>
                <c:pt idx="3">
                  <c:v>0.96266438383963693</c:v>
                </c:pt>
                <c:pt idx="4">
                  <c:v>0.95483313329806196</c:v>
                </c:pt>
                <c:pt idx="5">
                  <c:v>0.94883603495239544</c:v>
                </c:pt>
                <c:pt idx="6">
                  <c:v>0.94452638997504967</c:v>
                </c:pt>
                <c:pt idx="7">
                  <c:v>0.941766370189831</c:v>
                </c:pt>
                <c:pt idx="8">
                  <c:v>0.94042775616809082</c:v>
                </c:pt>
                <c:pt idx="9">
                  <c:v>0.94039123606969188</c:v>
                </c:pt>
                <c:pt idx="10">
                  <c:v>0.94154514348404927</c:v>
                </c:pt>
                <c:pt idx="11">
                  <c:v>0.94378396024466482</c:v>
                </c:pt>
                <c:pt idx="12">
                  <c:v>0.94700671518358193</c:v>
                </c:pt>
                <c:pt idx="13">
                  <c:v>0.95111533239318002</c:v>
                </c:pt>
                <c:pt idx="14">
                  <c:v>0.95601295112853091</c:v>
                </c:pt>
                <c:pt idx="15">
                  <c:v>0.96160222925600369</c:v>
                </c:pt>
                <c:pt idx="16">
                  <c:v>0.96778364387085691</c:v>
                </c:pt>
                <c:pt idx="17">
                  <c:v>0.97445381294460232</c:v>
                </c:pt>
                <c:pt idx="18">
                  <c:v>0.98150387961576324</c:v>
                </c:pt>
                <c:pt idx="19">
                  <c:v>0.98881802599719859</c:v>
                </c:pt>
                <c:pt idx="20">
                  <c:v>0.9962722163677914</c:v>
                </c:pt>
                <c:pt idx="21">
                  <c:v>1.0037333102136279</c:v>
                </c:pt>
                <c:pt idx="22">
                  <c:v>1.0110587326469027</c:v>
                </c:pt>
                <c:pt idx="23">
                  <c:v>1.0180969403306042</c:v>
                </c:pt>
                <c:pt idx="24">
                  <c:v>1.0246889695000181</c:v>
                </c:pt>
                <c:pt idx="25">
                  <c:v>1.0306713895307424</c:v>
                </c:pt>
                <c:pt idx="26">
                  <c:v>1.0358809965506592</c:v>
                </c:pt>
                <c:pt idx="27">
                  <c:v>1.0401615474341539</c:v>
                </c:pt>
                <c:pt idx="28">
                  <c:v>1.0433727312417445</c:v>
                </c:pt>
                <c:pt idx="29">
                  <c:v>1.0454013770317678</c:v>
                </c:pt>
                <c:pt idx="30">
                  <c:v>1.0461745820704469</c:v>
                </c:pt>
                <c:pt idx="31">
                  <c:v>1.0456740042374533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D472-4477-BA89-86098ACA3BE6}"/>
            </c:ext>
          </c:extLst>
        </c:ser>
        <c:ser>
          <c:idx val="6"/>
          <c:order val="6"/>
          <c:tx>
            <c:strRef>
              <c:f>z!$E$44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z!$F$44:$AK$44</c:f>
              <c:numCache>
                <c:formatCode>0.00</c:formatCode>
                <c:ptCount val="32"/>
                <c:pt idx="0">
                  <c:v>0.99853843172122336</c:v>
                </c:pt>
                <c:pt idx="1">
                  <c:v>0.98590454559432439</c:v>
                </c:pt>
                <c:pt idx="2">
                  <c:v>0.97528594526136614</c:v>
                </c:pt>
                <c:pt idx="3">
                  <c:v>0.96667506964668881</c:v>
                </c:pt>
                <c:pt idx="4">
                  <c:v>0.95993650101401429</c:v>
                </c:pt>
                <c:pt idx="5">
                  <c:v>0.95492686554523176</c:v>
                </c:pt>
                <c:pt idx="6">
                  <c:v>0.95150991384112038</c:v>
                </c:pt>
                <c:pt idx="7">
                  <c:v>0.94955985940534149</c:v>
                </c:pt>
                <c:pt idx="8">
                  <c:v>0.94896173312825005</c:v>
                </c:pt>
                <c:pt idx="9">
                  <c:v>0.9496107589082825</c:v>
                </c:pt>
                <c:pt idx="10">
                  <c:v>0.95141137945008347</c:v>
                </c:pt>
                <c:pt idx="11">
                  <c:v>0.95427616398703474</c:v>
                </c:pt>
                <c:pt idx="12">
                  <c:v>0.95812468897559422</c:v>
                </c:pt>
                <c:pt idx="13">
                  <c:v>0.96288242583323413</c:v>
                </c:pt>
                <c:pt idx="14">
                  <c:v>0.96847964460927771</c:v>
                </c:pt>
                <c:pt idx="15">
                  <c:v>0.97485033086753636</c:v>
                </c:pt>
                <c:pt idx="16">
                  <c:v>0.9819311078929589</c:v>
                </c:pt>
                <c:pt idx="17">
                  <c:v>0.98966015463083057</c:v>
                </c:pt>
                <c:pt idx="18">
                  <c:v>0.99797611027346822</c:v>
                </c:pt>
                <c:pt idx="19">
                  <c:v>1.0068169586702884</c:v>
                </c:pt>
                <c:pt idx="20">
                  <c:v>1.0161188897059517</c:v>
                </c:pt>
                <c:pt idx="21">
                  <c:v>1.0258151406532718</c:v>
                </c:pt>
                <c:pt idx="22">
                  <c:v>1.0358348285860937</c:v>
                </c:pt>
                <c:pt idx="23">
                  <c:v>1.0461017956272434</c:v>
                </c:pt>
                <c:pt idx="24">
                  <c:v>1.0565335025059088</c:v>
                </c:pt>
                <c:pt idx="25">
                  <c:v>1.0670400229190837</c:v>
                </c:pt>
                <c:pt idx="26">
                  <c:v>1.0775232116337274</c:v>
                </c:pt>
                <c:pt idx="27">
                  <c:v>1.087876142847672</c:v>
                </c:pt>
                <c:pt idx="28">
                  <c:v>1.0979829411556523</c:v>
                </c:pt>
                <c:pt idx="29">
                  <c:v>1.1077191537594608</c:v>
                </c:pt>
                <c:pt idx="30">
                  <c:v>1.1169528363277206</c:v>
                </c:pt>
                <c:pt idx="31">
                  <c:v>1.125546541640192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D472-4477-BA89-86098ACA3BE6}"/>
            </c:ext>
          </c:extLst>
        </c:ser>
        <c:ser>
          <c:idx val="7"/>
          <c:order val="7"/>
          <c:tx>
            <c:strRef>
              <c:f>z!$E$45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z!$F$45:$AK$45</c:f>
              <c:numCache>
                <c:formatCode>0.00</c:formatCode>
                <c:ptCount val="32"/>
                <c:pt idx="0">
                  <c:v>0.99864216997306887</c:v>
                </c:pt>
                <c:pt idx="1">
                  <c:v>0.98721630871140242</c:v>
                </c:pt>
                <c:pt idx="2">
                  <c:v>0.97778239388336852</c:v>
                </c:pt>
                <c:pt idx="3">
                  <c:v>0.97026552414476608</c:v>
                </c:pt>
                <c:pt idx="4">
                  <c:v>0.96452463257052479</c:v>
                </c:pt>
                <c:pt idx="5">
                  <c:v>0.96042097736638388</c:v>
                </c:pt>
                <c:pt idx="6">
                  <c:v>0.95782620350079528</c:v>
                </c:pt>
                <c:pt idx="7">
                  <c:v>0.95662367851423924</c:v>
                </c:pt>
                <c:pt idx="8">
                  <c:v>0.95670817580792444</c:v>
                </c:pt>
                <c:pt idx="9">
                  <c:v>0.95798506255016358</c:v>
                </c:pt>
                <c:pt idx="10">
                  <c:v>0.96036935061893836</c:v>
                </c:pt>
                <c:pt idx="11">
                  <c:v>0.96378473893244376</c:v>
                </c:pt>
                <c:pt idx="12">
                  <c:v>0.96816269457496695</c:v>
                </c:pt>
                <c:pt idx="13">
                  <c:v>0.97344158772383438</c:v>
                </c:pt>
                <c:pt idx="14">
                  <c:v>0.97956588126105182</c:v>
                </c:pt>
                <c:pt idx="15">
                  <c:v>0.98648536945933685</c:v>
                </c:pt>
                <c:pt idx="16">
                  <c:v>0.99415445706122485</c:v>
                </c:pt>
                <c:pt idx="17">
                  <c:v>1.0025314686140387</c:v>
                </c:pt>
                <c:pt idx="18">
                  <c:v>1.0115779772593418</c:v>
                </c:pt>
                <c:pt idx="19">
                  <c:v>1.0212581419198146</c:v>
                </c:pt>
                <c:pt idx="20">
                  <c:v>1.0315380418101068</c:v>
                </c:pt>
                <c:pt idx="21">
                  <c:v>1.0423849973666732</c:v>
                </c:pt>
                <c:pt idx="22">
                  <c:v>1.0537668670603384</c:v>
                </c:pt>
                <c:pt idx="23">
                  <c:v>1.065651310189716</c:v>
                </c:pt>
                <c:pt idx="24">
                  <c:v>1.0780050067606806</c:v>
                </c:pt>
                <c:pt idx="25">
                  <c:v>1.0907928270830891</c:v>
                </c:pt>
                <c:pt idx="26">
                  <c:v>1.1039769459457947</c:v>
                </c:pt>
                <c:pt idx="27">
                  <c:v>1.1175158993877425</c:v>
                </c:pt>
                <c:pt idx="28">
                  <c:v>1.1313635864246476</c:v>
                </c:pt>
                <c:pt idx="29">
                  <c:v>1.1454682239028984</c:v>
                </c:pt>
                <c:pt idx="30">
                  <c:v>1.1597712702325713</c:v>
                </c:pt>
                <c:pt idx="31">
                  <c:v>1.1742063433837435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D472-4477-BA89-86098ACA3BE6}"/>
            </c:ext>
          </c:extLst>
        </c:ser>
        <c:ser>
          <c:idx val="8"/>
          <c:order val="8"/>
          <c:tx>
            <c:strRef>
              <c:f>z!$E$46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z!$F$46:$AK$46</c:f>
              <c:numCache>
                <c:formatCode>0.00</c:formatCode>
                <c:ptCount val="32"/>
                <c:pt idx="0">
                  <c:v>0.99872892173677763</c:v>
                </c:pt>
                <c:pt idx="1">
                  <c:v>0.98837256789603567</c:v>
                </c:pt>
                <c:pt idx="2">
                  <c:v>0.98000633559194128</c:v>
                </c:pt>
                <c:pt idx="3">
                  <c:v>0.9734834771357328</c:v>
                </c:pt>
                <c:pt idx="4">
                  <c:v>0.96865478621305201</c:v>
                </c:pt>
                <c:pt idx="5">
                  <c:v>0.96538422222501863</c:v>
                </c:pt>
                <c:pt idx="6">
                  <c:v>0.9635495810537088</c:v>
                </c:pt>
                <c:pt idx="7">
                  <c:v>0.96304163846938573</c:v>
                </c:pt>
                <c:pt idx="8">
                  <c:v>0.96376302454968488</c:v>
                </c:pt>
                <c:pt idx="9">
                  <c:v>0.96562710313023159</c:v>
                </c:pt>
                <c:pt idx="10">
                  <c:v>0.96855693086056138</c:v>
                </c:pt>
                <c:pt idx="11">
                  <c:v>0.97248431430975513</c:v>
                </c:pt>
                <c:pt idx="12">
                  <c:v>0.97734896487935208</c:v>
                </c:pt>
                <c:pt idx="13">
                  <c:v>0.98309774463136645</c:v>
                </c:pt>
                <c:pt idx="14">
                  <c:v>0.98968399389130379</c:v>
                </c:pt>
                <c:pt idx="15">
                  <c:v>0.9970669309643253</c:v>
                </c:pt>
                <c:pt idx="16">
                  <c:v>1.0052111144600313</c:v>
                </c:pt>
                <c:pt idx="17">
                  <c:v>1.0140859591136493</c:v>
                </c:pt>
                <c:pt idx="18">
                  <c:v>1.023665296419455</c:v>
                </c:pt>
                <c:pt idx="19">
                  <c:v>1.0339269717634023</c:v>
                </c:pt>
                <c:pt idx="20">
                  <c:v>1.0448524700128152</c:v>
                </c:pt>
                <c:pt idx="21">
                  <c:v>1.0564265616719295</c:v>
                </c:pt>
                <c:pt idx="22">
                  <c:v>1.0686369617356748</c:v>
                </c:pt>
                <c:pt idx="23">
                  <c:v>1.0814739932698378</c:v>
                </c:pt>
                <c:pt idx="24">
                  <c:v>1.09493024751804</c:v>
                </c:pt>
                <c:pt idx="25">
                  <c:v>1.1090002319935741</c:v>
                </c:pt>
                <c:pt idx="26">
                  <c:v>1.1236799975710257</c:v>
                </c:pt>
                <c:pt idx="27">
                  <c:v>1.1389667350692569</c:v>
                </c:pt>
                <c:pt idx="28">
                  <c:v>1.1548583312428922</c:v>
                </c:pt>
                <c:pt idx="29">
                  <c:v>1.1713528735144318</c:v>
                </c:pt>
                <c:pt idx="30">
                  <c:v>1.1884480922386444</c:v>
                </c:pt>
                <c:pt idx="31">
                  <c:v>1.2061407288684689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D472-4477-BA89-86098ACA3BE6}"/>
            </c:ext>
          </c:extLst>
        </c:ser>
        <c:ser>
          <c:idx val="9"/>
          <c:order val="9"/>
          <c:tx>
            <c:strRef>
              <c:f>z!$E$47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z!$F$47:$AK$47</c:f>
              <c:numCache>
                <c:formatCode>0.00</c:formatCode>
                <c:ptCount val="32"/>
                <c:pt idx="0">
                  <c:v>0.99880220453123025</c:v>
                </c:pt>
                <c:pt idx="1">
                  <c:v>0.98939352926764312</c:v>
                </c:pt>
                <c:pt idx="2">
                  <c:v>0.98198937134174813</c:v>
                </c:pt>
                <c:pt idx="3">
                  <c:v>0.9763695693819231</c:v>
                </c:pt>
                <c:pt idx="4">
                  <c:v>0.97237504972357669</c:v>
                </c:pt>
                <c:pt idx="5">
                  <c:v>0.96987100682309335</c:v>
                </c:pt>
                <c:pt idx="6">
                  <c:v>0.96874008174972226</c:v>
                </c:pt>
                <c:pt idx="7">
                  <c:v>0.96887923521469033</c:v>
                </c:pt>
                <c:pt idx="8">
                  <c:v>0.97019775034820688</c:v>
                </c:pt>
                <c:pt idx="9">
                  <c:v>0.9726157477953622</c:v>
                </c:pt>
                <c:pt idx="10">
                  <c:v>0.97606299927262619</c:v>
                </c:pt>
                <c:pt idx="11">
                  <c:v>0.98047794530912991</c:v>
                </c:pt>
                <c:pt idx="12">
                  <c:v>0.98580686724382871</c:v>
                </c:pt>
                <c:pt idx="13">
                  <c:v>0.99200318298769607</c:v>
                </c:pt>
                <c:pt idx="14">
                  <c:v>0.9990268458293653</c:v>
                </c:pt>
                <c:pt idx="15">
                  <c:v>1.00684383107787</c:v>
                </c:pt>
                <c:pt idx="16">
                  <c:v>1.0154256987695616</c:v>
                </c:pt>
                <c:pt idx="17">
                  <c:v>1.0247492229787183</c:v>
                </c:pt>
                <c:pt idx="18">
                  <c:v>1.0347960799240574</c:v>
                </c:pt>
                <c:pt idx="19">
                  <c:v>1.0455525882938721</c:v>
                </c:pt>
                <c:pt idx="20">
                  <c:v>1.0570094961507539</c:v>
                </c:pt>
                <c:pt idx="21">
                  <c:v>1.0691618094974653</c:v>
                </c:pt>
                <c:pt idx="22">
                  <c:v>1.0820086581327588</c:v>
                </c:pt>
                <c:pt idx="23">
                  <c:v>1.0955531948263626</c:v>
                </c:pt>
                <c:pt idx="24">
                  <c:v>1.1098025241113709</c:v>
                </c:pt>
                <c:pt idx="25">
                  <c:v>1.1247676571377141</c:v>
                </c:pt>
                <c:pt idx="26">
                  <c:v>1.1404634890545793</c:v>
                </c:pt>
                <c:pt idx="27">
                  <c:v>1.1569087952906099</c:v>
                </c:pt>
                <c:pt idx="28">
                  <c:v>1.1741262428727466</c:v>
                </c:pt>
                <c:pt idx="29">
                  <c:v>1.1921424125589926</c:v>
                </c:pt>
                <c:pt idx="30">
                  <c:v>1.2109878270455341</c:v>
                </c:pt>
                <c:pt idx="31">
                  <c:v>1.2306969798306397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D472-4477-BA89-86098ACA3BE6}"/>
            </c:ext>
          </c:extLst>
        </c:ser>
        <c:ser>
          <c:idx val="10"/>
          <c:order val="10"/>
          <c:tx>
            <c:strRef>
              <c:f>z!$E$48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z!$F$48:$AK$48</c:f>
              <c:numCache>
                <c:formatCode>0.00</c:formatCode>
                <c:ptCount val="32"/>
                <c:pt idx="0">
                  <c:v>0.99886516590574614</c:v>
                </c:pt>
                <c:pt idx="1">
                  <c:v>0.99029711350853922</c:v>
                </c:pt>
                <c:pt idx="2">
                  <c:v>0.98375913855014319</c:v>
                </c:pt>
                <c:pt idx="3">
                  <c:v>0.97895889651432444</c:v>
                </c:pt>
                <c:pt idx="4">
                  <c:v>0.97572643715695873</c:v>
                </c:pt>
                <c:pt idx="5">
                  <c:v>0.97392711276828725</c:v>
                </c:pt>
                <c:pt idx="6">
                  <c:v>0.97344740181075462</c:v>
                </c:pt>
                <c:pt idx="7">
                  <c:v>0.97418951715520996</c:v>
                </c:pt>
                <c:pt idx="8">
                  <c:v>0.97606851993222499</c:v>
                </c:pt>
                <c:pt idx="9">
                  <c:v>0.97901044778039137</c:v>
                </c:pt>
                <c:pt idx="10">
                  <c:v>0.98295095891748685</c:v>
                </c:pt>
                <c:pt idx="11">
                  <c:v>0.9878342856620832</c:v>
                </c:pt>
                <c:pt idx="12">
                  <c:v>0.99361239755498254</c:v>
                </c:pt>
                <c:pt idx="13">
                  <c:v>1.0002443194639896</c:v>
                </c:pt>
                <c:pt idx="14">
                  <c:v>1.0076955717110203</c:v>
                </c:pt>
                <c:pt idx="15">
                  <c:v>1.0159377107271572</c:v>
                </c:pt>
                <c:pt idx="16">
                  <c:v>1.0249479553743823</c:v>
                </c:pt>
                <c:pt idx="17">
                  <c:v>1.0347088882263444</c:v>
                </c:pt>
                <c:pt idx="18">
                  <c:v>1.0452082238933826</c:v>
                </c:pt>
                <c:pt idx="19">
                  <c:v>1.0564386384775672</c:v>
                </c:pt>
                <c:pt idx="20">
                  <c:v>1.0683976557581845</c:v>
                </c:pt>
                <c:pt idx="21">
                  <c:v>1.0810875869111818</c:v>
                </c:pt>
                <c:pt idx="22">
                  <c:v>1.0945155215618372</c:v>
                </c:pt>
                <c:pt idx="23">
                  <c:v>1.1086933688234986</c:v>
                </c:pt>
                <c:pt idx="24">
                  <c:v>1.1236379477292666</c:v>
                </c:pt>
                <c:pt idx="25">
                  <c:v>1.1393711271467197</c:v>
                </c:pt>
                <c:pt idx="26">
                  <c:v>1.1559200158982823</c:v>
                </c:pt>
                <c:pt idx="27">
                  <c:v>1.1733172044057381</c:v>
                </c:pt>
                <c:pt idx="28">
                  <c:v>1.1916010597466296</c:v>
                </c:pt>
                <c:pt idx="29">
                  <c:v>1.2108160765595313</c:v>
                </c:pt>
                <c:pt idx="30">
                  <c:v>1.2310132867683621</c:v>
                </c:pt>
                <c:pt idx="31">
                  <c:v>1.2522507316143519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D472-4477-BA89-86098ACA3BE6}"/>
            </c:ext>
          </c:extLst>
        </c:ser>
        <c:ser>
          <c:idx val="11"/>
          <c:order val="11"/>
          <c:tx>
            <c:strRef>
              <c:f>z!$E$49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z!$F$49:$AK$49</c:f>
              <c:numCache>
                <c:formatCode>0.00</c:formatCode>
                <c:ptCount val="32"/>
                <c:pt idx="0">
                  <c:v>0.99892059506093323</c:v>
                </c:pt>
                <c:pt idx="1">
                  <c:v>0.99109934629088869</c:v>
                </c:pt>
                <c:pt idx="2">
                  <c:v>0.98534008402087414</c:v>
                </c:pt>
                <c:pt idx="3">
                  <c:v>0.98128214666099756</c:v>
                </c:pt>
                <c:pt idx="4">
                  <c:v>0.97874439215311015</c:v>
                </c:pt>
                <c:pt idx="5">
                  <c:v>0.97759161293070507</c:v>
                </c:pt>
                <c:pt idx="6">
                  <c:v>0.97771336277436072</c:v>
                </c:pt>
                <c:pt idx="7">
                  <c:v>0.97901637756224058</c:v>
                </c:pt>
                <c:pt idx="8">
                  <c:v>0.98142081680746596</c:v>
                </c:pt>
                <c:pt idx="9">
                  <c:v>0.98485800359516673</c:v>
                </c:pt>
                <c:pt idx="10">
                  <c:v>0.98926889129928031</c:v>
                </c:pt>
                <c:pt idx="11">
                  <c:v>0.99460294241976577</c:v>
                </c:pt>
                <c:pt idx="12">
                  <c:v>1.000817271084139</c:v>
                </c:pt>
                <c:pt idx="13">
                  <c:v>1.0078759708616316</c:v>
                </c:pt>
                <c:pt idx="14">
                  <c:v>1.0157495826873257</c:v>
                </c:pt>
                <c:pt idx="15">
                  <c:v>1.0244146749195795</c:v>
                </c:pt>
                <c:pt idx="16">
                  <c:v>1.0338535172744141</c:v>
                </c:pt>
                <c:pt idx="17">
                  <c:v>1.0440538362936349</c:v>
                </c:pt>
                <c:pt idx="18">
                  <c:v>1.0550086438638739</c:v>
                </c:pt>
                <c:pt idx="19">
                  <c:v>1.0667161330002866</c:v>
                </c:pt>
                <c:pt idx="20">
                  <c:v>1.0791796371185387</c:v>
                </c:pt>
                <c:pt idx="21">
                  <c:v>1.0924076506124711</c:v>
                </c:pt>
                <c:pt idx="22">
                  <c:v>1.1064139098941399</c:v>
                </c:pt>
                <c:pt idx="23">
                  <c:v>1.1212175352398714</c:v>
                </c:pt>
                <c:pt idx="24">
                  <c:v>1.1368432348889339</c:v>
                </c:pt>
                <c:pt idx="25">
                  <c:v>1.1533215739093392</c:v>
                </c:pt>
                <c:pt idx="26">
                  <c:v>1.1706893114156742</c:v>
                </c:pt>
                <c:pt idx="27">
                  <c:v>1.1889898108277308</c:v>
                </c:pt>
                <c:pt idx="28">
                  <c:v>1.2082735290235564</c:v>
                </c:pt>
                <c:pt idx="29">
                  <c:v>1.2285985914923063</c:v>
                </c:pt>
                <c:pt idx="30">
                  <c:v>1.2500314619567374</c:v>
                </c:pt>
                <c:pt idx="31">
                  <c:v>1.2726477164389634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D472-4477-BA89-86098ACA3BE6}"/>
            </c:ext>
          </c:extLst>
        </c:ser>
        <c:ser>
          <c:idx val="12"/>
          <c:order val="12"/>
          <c:tx>
            <c:strRef>
              <c:f>z!$E$50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z!$F$50:$AK$50</c:f>
              <c:numCache>
                <c:formatCode>0.00</c:formatCode>
                <c:ptCount val="32"/>
                <c:pt idx="0">
                  <c:v>0.9989709291413712</c:v>
                </c:pt>
                <c:pt idx="1">
                  <c:v>0.99181465115583589</c:v>
                </c:pt>
                <c:pt idx="2">
                  <c:v>0.98675405026677876</c:v>
                </c:pt>
                <c:pt idx="3">
                  <c:v>0.98336645876163542</c:v>
                </c:pt>
                <c:pt idx="4">
                  <c:v>0.981459902866196</c:v>
                </c:pt>
                <c:pt idx="5">
                  <c:v>0.98089824540832193</c:v>
                </c:pt>
                <c:pt idx="6">
                  <c:v>0.98157358028599639</c:v>
                </c:pt>
                <c:pt idx="7">
                  <c:v>0.98339660896546066</c:v>
                </c:pt>
                <c:pt idx="8">
                  <c:v>0.98629205549927768</c:v>
                </c:pt>
                <c:pt idx="9">
                  <c:v>0.99019603287106794</c:v>
                </c:pt>
                <c:pt idx="10">
                  <c:v>0.99505433529306542</c:v>
                </c:pt>
                <c:pt idx="11">
                  <c:v>1.0008212403401762</c:v>
                </c:pt>
                <c:pt idx="12">
                  <c:v>1.0074586265848466</c:v>
                </c:pt>
                <c:pt idx="13">
                  <c:v>1.014935305802757</c:v>
                </c:pt>
                <c:pt idx="14">
                  <c:v>1.0232265127909987</c:v>
                </c:pt>
                <c:pt idx="15">
                  <c:v>1.0323135185105314</c:v>
                </c:pt>
                <c:pt idx="16">
                  <c:v>1.0421833449098565</c:v>
                </c:pt>
                <c:pt idx="17">
                  <c:v>1.0528285673658815</c:v>
                </c:pt>
                <c:pt idx="18">
                  <c:v>1.0642471955438</c:v>
                </c:pt>
                <c:pt idx="19">
                  <c:v>1.0764426268214338</c:v>
                </c:pt>
                <c:pt idx="20">
                  <c:v>1.0894236688833772</c:v>
                </c:pt>
                <c:pt idx="21">
                  <c:v>1.1032046300275922</c:v>
                </c:pt>
                <c:pt idx="22">
                  <c:v>1.1178054773573272</c:v>
                </c:pt>
                <c:pt idx="23">
                  <c:v>1.1332520644905384</c:v>
                </c:pt>
                <c:pt idx="24">
                  <c:v>1.1495764317991064</c:v>
                </c:pt>
                <c:pt idx="25">
                  <c:v>1.1668171835576455</c:v>
                </c:pt>
                <c:pt idx="26">
                  <c:v>1.1850199477890326</c:v>
                </c:pt>
                <c:pt idx="27">
                  <c:v>1.2042379260859752</c:v>
                </c:pt>
                <c:pt idx="28">
                  <c:v>1.2245325423068514</c:v>
                </c:pt>
                <c:pt idx="29">
                  <c:v>1.2459742008313344</c:v>
                </c:pt>
                <c:pt idx="30">
                  <c:v>1.2686431670606431</c:v>
                </c:pt>
                <c:pt idx="31">
                  <c:v>1.2926305851060897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D472-4477-BA89-86098ACA3BE6}"/>
            </c:ext>
          </c:extLst>
        </c:ser>
        <c:ser>
          <c:idx val="13"/>
          <c:order val="13"/>
          <c:tx>
            <c:strRef>
              <c:f>z!$E$51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z!$F$51:$AK$51</c:f>
              <c:numCache>
                <c:formatCode>0.00</c:formatCode>
                <c:ptCount val="32"/>
                <c:pt idx="0">
                  <c:v>0.99901825719357751</c:v>
                </c:pt>
                <c:pt idx="1">
                  <c:v>0.99245607061668384</c:v>
                </c:pt>
                <c:pt idx="2">
                  <c:v>0.98802072683623132</c:v>
                </c:pt>
                <c:pt idx="3">
                  <c:v>0.9852360828223381</c:v>
                </c:pt>
                <c:pt idx="4">
                  <c:v>0.98390035015620425</c:v>
                </c:pt>
                <c:pt idx="5">
                  <c:v>0.98387643558021021</c:v>
                </c:pt>
                <c:pt idx="6">
                  <c:v>0.98505865911960122</c:v>
                </c:pt>
                <c:pt idx="7">
                  <c:v>0.98736129162738351</c:v>
                </c:pt>
                <c:pt idx="8">
                  <c:v>0.99071321611388419</c:v>
                </c:pt>
                <c:pt idx="9">
                  <c:v>0.99505494948272488</c:v>
                </c:pt>
                <c:pt idx="10">
                  <c:v>1.0003367720963909</c:v>
                </c:pt>
                <c:pt idx="11">
                  <c:v>1.0065174573172786</c:v>
                </c:pt>
                <c:pt idx="12">
                  <c:v>1.0135633648652573</c:v>
                </c:pt>
                <c:pt idx="13">
                  <c:v>1.0214477763339198</c:v>
                </c:pt>
                <c:pt idx="14">
                  <c:v>1.0301504050455348</c:v>
                </c:pt>
                <c:pt idx="15">
                  <c:v>1.0396570400887957</c:v>
                </c:pt>
                <c:pt idx="16">
                  <c:v>1.049959299726777</c:v>
                </c:pt>
                <c:pt idx="17">
                  <c:v>1.0610544784864946</c:v>
                </c:pt>
                <c:pt idx="18">
                  <c:v>1.0729454780440075</c:v>
                </c:pt>
                <c:pt idx="19">
                  <c:v>1.0856408159676154</c:v>
                </c:pt>
                <c:pt idx="20">
                  <c:v>1.0991547092629681</c:v>
                </c:pt>
                <c:pt idx="21">
                  <c:v>1.1135072319224666</c:v>
                </c:pt>
                <c:pt idx="22">
                  <c:v>1.1287245475823775</c:v>
                </c:pt>
                <c:pt idx="23">
                  <c:v>1.1448392201021396</c:v>
                </c:pt>
                <c:pt idx="24">
                  <c:v>1.161890606514616</c:v>
                </c:pt>
                <c:pt idx="25">
                  <c:v>1.1799253384361961</c:v>
                </c:pt>
                <c:pt idx="26">
                  <c:v>1.1989978997375426</c:v>
                </c:pt>
                <c:pt idx="27">
                  <c:v>1.2191713101169903</c:v>
                </c:pt>
                <c:pt idx="28">
                  <c:v>1.2405179262436032</c:v>
                </c:pt>
                <c:pt idx="29">
                  <c:v>1.2631203744011956</c:v>
                </c:pt>
                <c:pt idx="30">
                  <c:v>1.2870726311273994</c:v>
                </c:pt>
                <c:pt idx="31">
                  <c:v>1.3124812712688034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D472-4477-BA89-86098ACA3BE6}"/>
            </c:ext>
          </c:extLst>
        </c:ser>
        <c:ser>
          <c:idx val="14"/>
          <c:order val="14"/>
          <c:tx>
            <c:strRef>
              <c:f>z!$E$52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z!$F$52:$AK$52</c:f>
              <c:numCache>
                <c:formatCode>0.00</c:formatCode>
                <c:ptCount val="32"/>
                <c:pt idx="0">
                  <c:v>0.99906432405088508</c:v>
                </c:pt>
                <c:pt idx="1">
                  <c:v>0.99303543307775877</c:v>
                </c:pt>
                <c:pt idx="2">
                  <c:v>0.98915800153523104</c:v>
                </c:pt>
                <c:pt idx="3">
                  <c:v>0.98691289610840971</c:v>
                </c:pt>
                <c:pt idx="4">
                  <c:v>0.98609016602591393</c:v>
                </c:pt>
                <c:pt idx="5">
                  <c:v>0.98655207635037279</c:v>
                </c:pt>
                <c:pt idx="6">
                  <c:v>0.9881950802304178</c:v>
                </c:pt>
                <c:pt idx="7">
                  <c:v>0.99093678115848904</c:v>
                </c:pt>
                <c:pt idx="8">
                  <c:v>0.99470993914303263</c:v>
                </c:pt>
                <c:pt idx="9">
                  <c:v>0.99945919024739927</c:v>
                </c:pt>
                <c:pt idx="10">
                  <c:v>1.0051390330780274</c:v>
                </c:pt>
                <c:pt idx="11">
                  <c:v>1.011712495100191</c:v>
                </c:pt>
                <c:pt idx="12">
                  <c:v>1.0191502061272961</c:v>
                </c:pt>
                <c:pt idx="13">
                  <c:v>1.0274297391036178</c:v>
                </c:pt>
                <c:pt idx="14">
                  <c:v>1.0365351407647168</c:v>
                </c:pt>
                <c:pt idx="15">
                  <c:v>1.0464566068283483</c:v>
                </c:pt>
                <c:pt idx="16">
                  <c:v>1.0571902741125239</c:v>
                </c:pt>
                <c:pt idx="17">
                  <c:v>1.0687381124891737</c:v>
                </c:pt>
                <c:pt idx="18">
                  <c:v>1.0811079062356992</c:v>
                </c:pt>
                <c:pt idx="19">
                  <c:v>1.0943133188533252</c:v>
                </c:pt>
                <c:pt idx="20">
                  <c:v>1.1083740386982772</c:v>
                </c:pt>
                <c:pt idx="21">
                  <c:v>1.1233160053386093</c:v>
                </c:pt>
                <c:pt idx="22">
                  <c:v>1.1391717187158168</c:v>
                </c:pt>
                <c:pt idx="23">
                  <c:v>1.1559806351523623</c:v>
                </c:pt>
                <c:pt idx="24">
                  <c:v>1.1737896561369057</c:v>
                </c:pt>
                <c:pt idx="25">
                  <c:v>1.1926537177361465</c:v>
                </c:pt>
                <c:pt idx="26">
                  <c:v>1.2126364905044964</c:v>
                </c:pt>
                <c:pt idx="27">
                  <c:v>1.2338112019599661</c:v>
                </c:pt>
                <c:pt idx="28">
                  <c:v>1.2562615961336574</c:v>
                </c:pt>
                <c:pt idx="29">
                  <c:v>1.2800830474501346</c:v>
                </c:pt>
                <c:pt idx="30">
                  <c:v>1.3053838493313763</c:v>
                </c:pt>
                <c:pt idx="31">
                  <c:v>1.3322867015216346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D472-4477-BA89-86098ACA3BE6}"/>
            </c:ext>
          </c:extLst>
        </c:ser>
        <c:ser>
          <c:idx val="15"/>
          <c:order val="15"/>
          <c:tx>
            <c:strRef>
              <c:f>z!$E$53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z!$F$53:$AK$53</c:f>
              <c:numCache>
                <c:formatCode>0.00</c:formatCode>
                <c:ptCount val="32"/>
                <c:pt idx="0">
                  <c:v>0.99911053591787935</c:v>
                </c:pt>
                <c:pt idx="1">
                  <c:v>0.9935634778666883</c:v>
                </c:pt>
                <c:pt idx="2">
                  <c:v>0.99018223562312679</c:v>
                </c:pt>
                <c:pt idx="3">
                  <c:v>0.98841681221939481</c:v>
                </c:pt>
                <c:pt idx="4">
                  <c:v>0.98805135348288542</c:v>
                </c:pt>
                <c:pt idx="5">
                  <c:v>0.98894813537702719</c:v>
                </c:pt>
                <c:pt idx="6">
                  <c:v>0.99100587405911511</c:v>
                </c:pt>
                <c:pt idx="7">
                  <c:v>0.99414543042386161</c:v>
                </c:pt>
                <c:pt idx="8">
                  <c:v>0.99830328404079882</c:v>
                </c:pt>
                <c:pt idx="9">
                  <c:v>1.0034280058069751</c:v>
                </c:pt>
                <c:pt idx="10">
                  <c:v>1.0094781286451076</c:v>
                </c:pt>
                <c:pt idx="11">
                  <c:v>1.0164207649017554</c:v>
                </c:pt>
                <c:pt idx="12">
                  <c:v>1.0242306678326152</c:v>
                </c:pt>
                <c:pt idx="13">
                  <c:v>1.0328895822037589</c:v>
                </c:pt>
                <c:pt idx="14">
                  <c:v>1.0423857986154934</c:v>
                </c:pt>
                <c:pt idx="15">
                  <c:v>1.0527138619013281</c:v>
                </c:pt>
                <c:pt idx="16">
                  <c:v>1.0638744037282335</c:v>
                </c:pt>
                <c:pt idx="17">
                  <c:v>1.0758740812271026</c:v>
                </c:pt>
                <c:pt idx="18">
                  <c:v>1.0887256108806584</c:v>
                </c:pt>
                <c:pt idx="19">
                  <c:v>1.1024478919031229</c:v>
                </c:pt>
                <c:pt idx="20">
                  <c:v>1.117066216989854</c:v>
                </c:pt>
                <c:pt idx="21">
                  <c:v>1.1326125711784552</c:v>
                </c:pt>
                <c:pt idx="22">
                  <c:v>1.1491260219941737</c:v>
                </c:pt>
                <c:pt idx="23">
                  <c:v>1.1666532062732102</c:v>
                </c:pt>
                <c:pt idx="24">
                  <c:v>1.1852489212190045</c:v>
                </c:pt>
                <c:pt idx="25">
                  <c:v>1.2049768294607688</c:v>
                </c:pt>
                <c:pt idx="26">
                  <c:v>1.225910290241996</c:v>
                </c:pt>
                <c:pt idx="27">
                  <c:v>1.24813333145141</c:v>
                </c:pt>
                <c:pt idx="28">
                  <c:v>1.2717417800999262</c:v>
                </c:pt>
                <c:pt idx="29">
                  <c:v>1.2968445721281774</c:v>
                </c:pt>
                <c:pt idx="30">
                  <c:v>1.3235652661913768</c:v>
                </c:pt>
                <c:pt idx="31">
                  <c:v>1.3520437904148632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D472-4477-BA89-86098ACA3BE6}"/>
            </c:ext>
          </c:extLst>
        </c:ser>
        <c:ser>
          <c:idx val="16"/>
          <c:order val="16"/>
          <c:tx>
            <c:strRef>
              <c:f>z!$E$54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z!$F$54:$AK$54</c:f>
              <c:numCache>
                <c:formatCode>0.00</c:formatCode>
                <c:ptCount val="32"/>
                <c:pt idx="0">
                  <c:v>0.99915796907025978</c:v>
                </c:pt>
                <c:pt idx="1">
                  <c:v>0.99404994719952777</c:v>
                </c:pt>
                <c:pt idx="2">
                  <c:v>0.99110847987180783</c:v>
                </c:pt>
                <c:pt idx="3">
                  <c:v>0.98976610889505778</c:v>
                </c:pt>
                <c:pt idx="4">
                  <c:v>0.98980390312054034</c:v>
                </c:pt>
                <c:pt idx="5">
                  <c:v>0.99108513490738581</c:v>
                </c:pt>
                <c:pt idx="6">
                  <c:v>0.99351113832645832</c:v>
                </c:pt>
                <c:pt idx="7">
                  <c:v>0.9970061216088818</c:v>
                </c:pt>
                <c:pt idx="8">
                  <c:v>1.0015102544473538</c:v>
                </c:pt>
                <c:pt idx="9">
                  <c:v>1.0069759613831177</c:v>
                </c:pt>
                <c:pt idx="10">
                  <c:v>1.0133657113912466</c:v>
                </c:pt>
                <c:pt idx="11">
                  <c:v>1.0206506054684636</c:v>
                </c:pt>
                <c:pt idx="12">
                  <c:v>1.0288094373083854</c:v>
                </c:pt>
                <c:pt idx="13">
                  <c:v>1.0378280607234083</c:v>
                </c:pt>
                <c:pt idx="14">
                  <c:v>1.0476989723958059</c:v>
                </c:pt>
                <c:pt idx="15">
                  <c:v>1.0584210571048707</c:v>
                </c:pt>
                <c:pt idx="16">
                  <c:v>1.0699994639382131</c:v>
                </c:pt>
                <c:pt idx="17">
                  <c:v>1.0824455946518132</c:v>
                </c:pt>
                <c:pt idx="18">
                  <c:v>1.09577719335635</c:v>
                </c:pt>
                <c:pt idx="19">
                  <c:v>1.110018532144424</c:v>
                </c:pt>
                <c:pt idx="20">
                  <c:v>1.125200691248281</c:v>
                </c:pt>
                <c:pt idx="21">
                  <c:v>1.1413619354635407</c:v>
                </c:pt>
                <c:pt idx="22">
                  <c:v>1.158548191271437</c:v>
                </c:pt>
                <c:pt idx="23">
                  <c:v>1.1768136315832673</c:v>
                </c:pt>
                <c:pt idx="24">
                  <c:v>1.1962213774834389</c:v>
                </c:pt>
                <c:pt idx="25">
                  <c:v>1.2168443288875248</c:v>
                </c:pt>
                <c:pt idx="26">
                  <c:v>1.2387661387632716</c:v>
                </c:pt>
                <c:pt idx="27">
                  <c:v>1.262082348580694</c:v>
                </c:pt>
                <c:pt idx="28">
                  <c:v>1.286901706056419</c:v>
                </c:pt>
                <c:pt idx="29">
                  <c:v>1.3133476901369965</c:v>
                </c:pt>
                <c:pt idx="30">
                  <c:v>1.3415602726359743</c:v>
                </c:pt>
                <c:pt idx="31">
                  <c:v>1.3716979511253842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D472-4477-BA89-86098ACA3BE6}"/>
            </c:ext>
          </c:extLst>
        </c:ser>
        <c:ser>
          <c:idx val="17"/>
          <c:order val="17"/>
          <c:tx>
            <c:strRef>
              <c:f>z!$E$55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z!$F$55:$AK$55</c:f>
              <c:numCache>
                <c:formatCode>0.00</c:formatCode>
                <c:ptCount val="32"/>
                <c:pt idx="0">
                  <c:v>0.99920738278950827</c:v>
                </c:pt>
                <c:pt idx="1">
                  <c:v>0.99450365160014698</c:v>
                </c:pt>
                <c:pt idx="2">
                  <c:v>0.99195064348840201</c:v>
                </c:pt>
                <c:pt idx="3">
                  <c:v>0.99097769294584803</c:v>
                </c:pt>
                <c:pt idx="4">
                  <c:v>0.99136613143226671</c:v>
                </c:pt>
                <c:pt idx="5">
                  <c:v>0.99298153580187243</c:v>
                </c:pt>
                <c:pt idx="6">
                  <c:v>0.99572843864706551</c:v>
                </c:pt>
                <c:pt idx="7">
                  <c:v>0.99953465449264278</c:v>
                </c:pt>
                <c:pt idx="8">
                  <c:v>1.0043441462902654</c:v>
                </c:pt>
                <c:pt idx="9">
                  <c:v>1.0101132185926931</c:v>
                </c:pt>
                <c:pt idx="10">
                  <c:v>1.0168082677532448</c:v>
                </c:pt>
                <c:pt idx="11">
                  <c:v>1.0244043634682649</c:v>
                </c:pt>
                <c:pt idx="12">
                  <c:v>1.0328843230958382</c:v>
                </c:pt>
                <c:pt idx="13">
                  <c:v>1.0422381053001639</c:v>
                </c:pt>
                <c:pt idx="14">
                  <c:v>1.0524624278455188</c:v>
                </c:pt>
                <c:pt idx="15">
                  <c:v>1.0635605547677114</c:v>
                </c:pt>
                <c:pt idx="16">
                  <c:v>1.0755422205906773</c:v>
                </c:pt>
                <c:pt idx="17">
                  <c:v>1.0884236725901759</c:v>
                </c:pt>
                <c:pt idx="18">
                  <c:v>1.1022278205813845</c:v>
                </c:pt>
                <c:pt idx="19">
                  <c:v>1.1169844894903636</c:v>
                </c:pt>
                <c:pt idx="20">
                  <c:v>1.1327307742322879</c:v>
                </c:pt>
                <c:pt idx="21">
                  <c:v>1.1495114998303002</c:v>
                </c:pt>
                <c:pt idx="22">
                  <c:v>1.1673797926715708</c:v>
                </c:pt>
                <c:pt idx="23">
                  <c:v>1.1863977715718155</c:v>
                </c:pt>
                <c:pt idx="24">
                  <c:v>1.2066373700876136</c:v>
                </c:pt>
                <c:pt idx="25">
                  <c:v>1.2281813044159189</c:v>
                </c:pt>
                <c:pt idx="26">
                  <c:v>1.2511242043693842</c:v>
                </c:pt>
                <c:pt idx="27">
                  <c:v>1.2755739284234398</c:v>
                </c:pt>
                <c:pt idx="28">
                  <c:v>1.3016530878064116</c:v>
                </c:pt>
                <c:pt idx="29">
                  <c:v>1.3295008091650771</c:v>
                </c:pt>
                <c:pt idx="30">
                  <c:v>1.3592747706163566</c:v>
                </c:pt>
                <c:pt idx="31">
                  <c:v>1.3911535521420495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D472-4477-BA89-86098ACA3BE6}"/>
            </c:ext>
          </c:extLst>
        </c:ser>
        <c:ser>
          <c:idx val="18"/>
          <c:order val="18"/>
          <c:tx>
            <c:strRef>
              <c:f>z!$E$56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z!$F$56:$AK$56</c:f>
              <c:numCache>
                <c:formatCode>0.00</c:formatCode>
                <c:ptCount val="32"/>
                <c:pt idx="0">
                  <c:v>0.99925923736686917</c:v>
                </c:pt>
                <c:pt idx="1">
                  <c:v>0.9949325137912155</c:v>
                </c:pt>
                <c:pt idx="2">
                  <c:v>0.99272162451089552</c:v>
                </c:pt>
                <c:pt idx="3">
                  <c:v>0.99206731555275762</c:v>
                </c:pt>
                <c:pt idx="4">
                  <c:v>0.99275495895992161</c:v>
                </c:pt>
                <c:pt idx="5">
                  <c:v>0.99465404830233595</c:v>
                </c:pt>
                <c:pt idx="6">
                  <c:v>0.99767311825280569</c:v>
                </c:pt>
                <c:pt idx="7">
                  <c:v>1.0017440202396588</c:v>
                </c:pt>
                <c:pt idx="8">
                  <c:v>1.0068147507108942</c:v>
                </c:pt>
                <c:pt idx="9">
                  <c:v>1.0128456332258104</c:v>
                </c:pt>
                <c:pt idx="10">
                  <c:v>1.0198070774736794</c:v>
                </c:pt>
                <c:pt idx="11">
                  <c:v>1.0276781829420334</c:v>
                </c:pt>
                <c:pt idx="12">
                  <c:v>1.0364458444792799</c:v>
                </c:pt>
                <c:pt idx="13">
                  <c:v>1.0461041839114149</c:v>
                </c:pt>
                <c:pt idx="14">
                  <c:v>1.0566542113197508</c:v>
                </c:pt>
                <c:pt idx="15">
                  <c:v>1.0681036607498495</c:v>
                </c:pt>
                <c:pt idx="16">
                  <c:v>1.0804669680723995</c:v>
                </c:pt>
                <c:pt idx="17">
                  <c:v>1.0937653724182772</c:v>
                </c:pt>
                <c:pt idx="18">
                  <c:v>1.1080271313729484</c:v>
                </c:pt>
                <c:pt idx="19">
                  <c:v>1.1232878461480202</c:v>
                </c:pt>
                <c:pt idx="20">
                  <c:v>1.1395908974479856</c:v>
                </c:pt>
                <c:pt idx="21">
                  <c:v>1.1569879964049397</c:v>
                </c:pt>
                <c:pt idx="22">
                  <c:v>1.1755398581813299</c:v>
                </c:pt>
                <c:pt idx="23">
                  <c:v>1.1953170089130789</c:v>
                </c:pt>
                <c:pt idx="24">
                  <c:v>1.2164007397757497</c:v>
                </c:pt>
                <c:pt idx="25">
                  <c:v>1.2388842252553858</c:v>
                </c:pt>
                <c:pt idx="26">
                  <c:v>1.2628738263234918</c:v>
                </c:pt>
                <c:pt idx="27">
                  <c:v>1.2884906032762553</c:v>
                </c:pt>
                <c:pt idx="28">
                  <c:v>1.3158720676287929</c:v>
                </c:pt>
                <c:pt idx="29">
                  <c:v>1.3451742077943469</c:v>
                </c:pt>
                <c:pt idx="30">
                  <c:v>1.3765738294819181</c:v>
                </c:pt>
                <c:pt idx="31">
                  <c:v>1.4102712589940396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D472-4477-BA89-86098ACA3BE6}"/>
            </c:ext>
          </c:extLst>
        </c:ser>
        <c:ser>
          <c:idx val="19"/>
          <c:order val="19"/>
          <c:tx>
            <c:strRef>
              <c:f>z!$E$57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z!$F$57:$AK$57</c:f>
              <c:numCache>
                <c:formatCode>0.00</c:formatCode>
                <c:ptCount val="32"/>
                <c:pt idx="0">
                  <c:v>0.99931371770485045</c:v>
                </c:pt>
                <c:pt idx="1">
                  <c:v>0.99534359512371062</c:v>
                </c:pt>
                <c:pt idx="2">
                  <c:v>0.99343340790158607</c:v>
                </c:pt>
                <c:pt idx="3">
                  <c:v>0.99304974753735853</c:v>
                </c:pt>
                <c:pt idx="4">
                  <c:v>0.99398614158843068</c:v>
                </c:pt>
                <c:pt idx="5">
                  <c:v>0.99611788602505658</c:v>
                </c:pt>
                <c:pt idx="6">
                  <c:v>0.99935853528489271</c:v>
                </c:pt>
                <c:pt idx="7">
                  <c:v>1.0036445795354005</c:v>
                </c:pt>
                <c:pt idx="8">
                  <c:v>1.0089284291881184</c:v>
                </c:pt>
                <c:pt idx="9">
                  <c:v>1.0151746830850759</c:v>
                </c:pt>
                <c:pt idx="10">
                  <c:v>1.0223579500867517</c:v>
                </c:pt>
                <c:pt idx="11">
                  <c:v>1.0304615069897849</c:v>
                </c:pt>
                <c:pt idx="12">
                  <c:v>1.0394764558533738</c:v>
                </c:pt>
                <c:pt idx="13">
                  <c:v>1.0494012075715453</c:v>
                </c:pt>
                <c:pt idx="14">
                  <c:v>1.0602411968442658</c:v>
                </c:pt>
                <c:pt idx="15">
                  <c:v>1.0720087744677869</c:v>
                </c:pt>
                <c:pt idx="16">
                  <c:v>1.0847232457128713</c:v>
                </c:pt>
                <c:pt idx="17">
                  <c:v>1.0984110372893698</c:v>
                </c:pt>
                <c:pt idx="18">
                  <c:v>1.1131059842553035</c:v>
                </c:pt>
                <c:pt idx="19">
                  <c:v>1.1288497344032202</c:v>
                </c:pt>
                <c:pt idx="20">
                  <c:v>1.145692272337177</c:v>
                </c:pt>
                <c:pt idx="21">
                  <c:v>1.1636925693276765</c:v>
                </c:pt>
                <c:pt idx="22">
                  <c:v>1.1829193685217221</c:v>
                </c:pt>
                <c:pt idx="23">
                  <c:v>1.2034521184702207</c:v>
                </c:pt>
                <c:pt idx="24">
                  <c:v>1.2253820714172849</c:v>
                </c:pt>
                <c:pt idx="25">
                  <c:v>1.2488135665372093</c:v>
                </c:pt>
                <c:pt idx="26">
                  <c:v>1.2738655224486586</c:v>
                </c:pt>
                <c:pt idx="27">
                  <c:v>1.3006731680219874</c:v>
                </c:pt>
                <c:pt idx="28">
                  <c:v>1.3293900458713312</c:v>
                </c:pt>
                <c:pt idx="29">
                  <c:v>1.3601903291500064</c:v>
                </c:pt>
                <c:pt idx="30">
                  <c:v>1.3932714995301767</c:v>
                </c:pt>
                <c:pt idx="31">
                  <c:v>1.4288574427601286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D472-4477-BA89-86098ACA3BE6}"/>
            </c:ext>
          </c:extLst>
        </c:ser>
        <c:ser>
          <c:idx val="20"/>
          <c:order val="20"/>
          <c:tx>
            <c:strRef>
              <c:f>z!$E$58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z!$F$58:$AK$58</c:f>
              <c:numCache>
                <c:formatCode>0.00</c:formatCode>
                <c:ptCount val="32"/>
                <c:pt idx="0">
                  <c:v>0.9993707626961984</c:v>
                </c:pt>
                <c:pt idx="1">
                  <c:v>0.99574310806209831</c:v>
                </c:pt>
                <c:pt idx="2">
                  <c:v>0.99409713587558157</c:v>
                </c:pt>
                <c:pt idx="3">
                  <c:v>0.99393892156368391</c:v>
                </c:pt>
                <c:pt idx="4">
                  <c:v>0.99507446489621054</c:v>
                </c:pt>
                <c:pt idx="5">
                  <c:v>0.99738697543874977</c:v>
                </c:pt>
                <c:pt idx="6">
                  <c:v>1.0007962407119422</c:v>
                </c:pt>
                <c:pt idx="7">
                  <c:v>1.0052441566115018</c:v>
                </c:pt>
                <c:pt idx="8">
                  <c:v>1.010688068013454</c:v>
                </c:pt>
                <c:pt idx="9">
                  <c:v>1.0170972253592447</c:v>
                </c:pt>
                <c:pt idx="10">
                  <c:v>1.0244507266713683</c:v>
                </c:pt>
                <c:pt idx="11">
                  <c:v>1.032736265041843</c:v>
                </c:pt>
                <c:pt idx="12">
                  <c:v>1.0419493607475574</c:v>
                </c:pt>
                <c:pt idx="13">
                  <c:v>1.0520929127614551</c:v>
                </c:pt>
                <c:pt idx="14">
                  <c:v>1.0631769792631776</c:v>
                </c:pt>
                <c:pt idx="15">
                  <c:v>1.0752187359321157</c:v>
                </c:pt>
                <c:pt idx="16">
                  <c:v>1.0882425829121267</c:v>
                </c:pt>
                <c:pt idx="17">
                  <c:v>1.1022803847384455</c:v>
                </c:pt>
                <c:pt idx="18">
                  <c:v>1.1173718362704204</c:v>
                </c:pt>
                <c:pt idx="19">
                  <c:v>1.1335649538752264</c:v>
                </c:pt>
                <c:pt idx="20">
                  <c:v>1.1509166959072366</c:v>
                </c:pt>
                <c:pt idx="21">
                  <c:v>1.169493720594466</c:v>
                </c:pt>
                <c:pt idx="22">
                  <c:v>1.1893732931939034</c:v>
                </c:pt>
                <c:pt idx="23">
                  <c:v>1.2106443579923376</c:v>
                </c:pt>
                <c:pt idx="24">
                  <c:v>1.2334087946167185</c:v>
                </c:pt>
                <c:pt idx="25">
                  <c:v>1.2577828823500274</c:v>
                </c:pt>
                <c:pt idx="26">
                  <c:v>1.2838990008825115</c:v>
                </c:pt>
                <c:pt idx="27">
                  <c:v>1.31190760132166</c:v>
                </c:pt>
                <c:pt idx="28">
                  <c:v>1.3419794875060713</c:v>
                </c:pt>
                <c:pt idx="29">
                  <c:v>1.3743084549069668</c:v>
                </c:pt>
                <c:pt idx="30">
                  <c:v>1.4091143428735988</c:v>
                </c:pt>
                <c:pt idx="31">
                  <c:v>1.4466465659393342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472-4477-BA89-86098ACA3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dz/dt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4687404940370803E-2"/>
          <c:y val="7.5491019220966141E-2"/>
          <c:w val="0.79438565642817582"/>
          <c:h val="0.7856408202430571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z!$E$62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z!$F$62:$AK$62</c:f>
              <c:numCache>
                <c:formatCode>0.00</c:formatCode>
                <c:ptCount val="32"/>
                <c:pt idx="0">
                  <c:v>3.3274404117600298E-3</c:v>
                </c:pt>
                <c:pt idx="1">
                  <c:v>3.1071911702373889E-2</c:v>
                </c:pt>
                <c:pt idx="2">
                  <c:v>5.5808164267534544E-2</c:v>
                </c:pt>
                <c:pt idx="3">
                  <c:v>7.8137225954955092E-2</c:v>
                </c:pt>
                <c:pt idx="4">
                  <c:v>9.9121118403933117E-2</c:v>
                </c:pt>
                <c:pt idx="5">
                  <c:v>0.12080990027896199</c:v>
                </c:pt>
                <c:pt idx="6">
                  <c:v>0.14675438558020559</c:v>
                </c:pt>
                <c:pt idx="7">
                  <c:v>0.1824588935892546</c:v>
                </c:pt>
                <c:pt idx="8">
                  <c:v>0.23560704401570653</c:v>
                </c:pt>
                <c:pt idx="9">
                  <c:v>0.3157317602262566</c:v>
                </c:pt>
                <c:pt idx="10">
                  <c:v>0.43277033103339413</c:v>
                </c:pt>
                <c:pt idx="11">
                  <c:v>0.59375675801276451</c:v>
                </c:pt>
                <c:pt idx="12">
                  <c:v>0.79708443168513554</c:v>
                </c:pt>
                <c:pt idx="13">
                  <c:v>1.0249323590109105</c:v>
                </c:pt>
                <c:pt idx="14">
                  <c:v>1.2371846392262853</c:v>
                </c:pt>
                <c:pt idx="15">
                  <c:v>1.3738960178580895</c:v>
                </c:pt>
                <c:pt idx="16">
                  <c:v>1.3743395301423211</c:v>
                </c:pt>
                <c:pt idx="17">
                  <c:v>1.2121335847379289</c:v>
                </c:pt>
                <c:pt idx="18">
                  <c:v>0.92601688778937152</c:v>
                </c:pt>
                <c:pt idx="19">
                  <c:v>0.61205050284163232</c:v>
                </c:pt>
                <c:pt idx="20">
                  <c:v>0.36693512825602959</c:v>
                </c:pt>
                <c:pt idx="21">
                  <c:v>0.22797007673747149</c:v>
                </c:pt>
                <c:pt idx="22">
                  <c:v>0.16924348817526358</c:v>
                </c:pt>
                <c:pt idx="23">
                  <c:v>0.14710853265886836</c:v>
                </c:pt>
                <c:pt idx="24">
                  <c:v>0.13514914842482906</c:v>
                </c:pt>
                <c:pt idx="25">
                  <c:v>0.12484976823445848</c:v>
                </c:pt>
                <c:pt idx="26">
                  <c:v>0.11469805095165597</c:v>
                </c:pt>
                <c:pt idx="27">
                  <c:v>0.10455106761197985</c:v>
                </c:pt>
                <c:pt idx="28">
                  <c:v>9.4402172662877426E-2</c:v>
                </c:pt>
                <c:pt idx="29">
                  <c:v>8.425131951905751E-2</c:v>
                </c:pt>
                <c:pt idx="30">
                  <c:v>7.4098598439986674E-2</c:v>
                </c:pt>
                <c:pt idx="31">
                  <c:v>6.3944094041867849E-2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E8-4D87-BAFC-1B0E16D841FD}"/>
            </c:ext>
          </c:extLst>
        </c:ser>
        <c:ser>
          <c:idx val="1"/>
          <c:order val="1"/>
          <c:tx>
            <c:strRef>
              <c:f>z!$E$63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z!$F$63:$AK$63</c:f>
              <c:numCache>
                <c:formatCode>0.00</c:formatCode>
                <c:ptCount val="32"/>
                <c:pt idx="0">
                  <c:v>2.7990564985813648E-3</c:v>
                </c:pt>
                <c:pt idx="1">
                  <c:v>2.6985933637035942E-2</c:v>
                </c:pt>
                <c:pt idx="2">
                  <c:v>4.8736439231866768E-2</c:v>
                </c:pt>
                <c:pt idx="3">
                  <c:v>6.8259492666755683E-2</c:v>
                </c:pt>
                <c:pt idx="4">
                  <c:v>8.6047324207472187E-2</c:v>
                </c:pt>
                <c:pt idx="5">
                  <c:v>0.1029674592074592</c:v>
                </c:pt>
                <c:pt idx="6">
                  <c:v>0.12044886472617478</c:v>
                </c:pt>
                <c:pt idx="7">
                  <c:v>0.14067810758855437</c:v>
                </c:pt>
                <c:pt idx="8">
                  <c:v>0.16677086163319199</c:v>
                </c:pt>
                <c:pt idx="9">
                  <c:v>0.202865933631724</c:v>
                </c:pt>
                <c:pt idx="10">
                  <c:v>0.25404856329225289</c:v>
                </c:pt>
                <c:pt idx="11">
                  <c:v>0.3259510861980397</c:v>
                </c:pt>
                <c:pt idx="12">
                  <c:v>0.42381801501734095</c:v>
                </c:pt>
                <c:pt idx="13">
                  <c:v>0.55080483076086484</c:v>
                </c:pt>
                <c:pt idx="14">
                  <c:v>0.70539801073243869</c:v>
                </c:pt>
                <c:pt idx="15">
                  <c:v>0.87823469312697799</c:v>
                </c:pt>
                <c:pt idx="16">
                  <c:v>1.0493717362578536</c:v>
                </c:pt>
                <c:pt idx="17">
                  <c:v>1.1880804113646448</c:v>
                </c:pt>
                <c:pt idx="18">
                  <c:v>1.2578501133839737</c:v>
                </c:pt>
                <c:pt idx="19">
                  <c:v>1.2281308840961236</c:v>
                </c:pt>
                <c:pt idx="20">
                  <c:v>1.090216122914156</c:v>
                </c:pt>
                <c:pt idx="21">
                  <c:v>0.86866522018702597</c:v>
                </c:pt>
                <c:pt idx="22">
                  <c:v>0.61717579663544964</c:v>
                </c:pt>
                <c:pt idx="23">
                  <c:v>0.39559898488972234</c:v>
                </c:pt>
                <c:pt idx="24">
                  <c:v>0.24109947833905743</c:v>
                </c:pt>
                <c:pt idx="25">
                  <c:v>0.1552625823658671</c:v>
                </c:pt>
                <c:pt idx="26">
                  <c:v>0.11575201672608948</c:v>
                </c:pt>
                <c:pt idx="27">
                  <c:v>9.7970496487742587E-2</c:v>
                </c:pt>
                <c:pt idx="28">
                  <c:v>8.7244421749788081E-2</c:v>
                </c:pt>
                <c:pt idx="29">
                  <c:v>7.8066820963673678E-2</c:v>
                </c:pt>
                <c:pt idx="30">
                  <c:v>6.9115144381126647E-2</c:v>
                </c:pt>
                <c:pt idx="31">
                  <c:v>6.0189983292380234E-2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E8-4D87-BAFC-1B0E16D841FD}"/>
            </c:ext>
          </c:extLst>
        </c:ser>
        <c:ser>
          <c:idx val="2"/>
          <c:order val="2"/>
          <c:tx>
            <c:strRef>
              <c:f>z!$E$64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z!$F$64:$AK$64</c:f>
              <c:numCache>
                <c:formatCode>0.00</c:formatCode>
                <c:ptCount val="32"/>
                <c:pt idx="0">
                  <c:v>2.3490326565012154E-3</c:v>
                </c:pt>
                <c:pt idx="1">
                  <c:v>2.3541533967774697E-2</c:v>
                </c:pt>
                <c:pt idx="2">
                  <c:v>4.2828483174717213E-2</c:v>
                </c:pt>
                <c:pt idx="3">
                  <c:v>6.0149623307359512E-2</c:v>
                </c:pt>
                <c:pt idx="4">
                  <c:v>7.5750938776319998E-2</c:v>
                </c:pt>
                <c:pt idx="5">
                  <c:v>9.0042922325062058E-2</c:v>
                </c:pt>
                <c:pt idx="6">
                  <c:v>0.10364861908607192</c:v>
                </c:pt>
                <c:pt idx="7">
                  <c:v>0.11747624803593038</c:v>
                </c:pt>
                <c:pt idx="8">
                  <c:v>0.13279630250584429</c:v>
                </c:pt>
                <c:pt idx="9">
                  <c:v>0.15131185473482578</c:v>
                </c:pt>
                <c:pt idx="10">
                  <c:v>0.17520714599028597</c:v>
                </c:pt>
                <c:pt idx="11">
                  <c:v>0.20715006454941065</c:v>
                </c:pt>
                <c:pt idx="12">
                  <c:v>0.25020977993395199</c:v>
                </c:pt>
                <c:pt idx="13">
                  <c:v>0.30763339488781849</c:v>
                </c:pt>
                <c:pt idx="14">
                  <c:v>0.38241025630603165</c:v>
                </c:pt>
                <c:pt idx="15">
                  <c:v>0.47655112918998377</c:v>
                </c:pt>
                <c:pt idx="16">
                  <c:v>0.59004220067093716</c:v>
                </c:pt>
                <c:pt idx="17">
                  <c:v>0.71952921870632736</c:v>
                </c:pt>
                <c:pt idx="18">
                  <c:v>0.85697110739413329</c:v>
                </c:pt>
                <c:pt idx="19">
                  <c:v>0.98877164935307071</c:v>
                </c:pt>
                <c:pt idx="20">
                  <c:v>1.0961722125616413</c:v>
                </c:pt>
                <c:pt idx="21">
                  <c:v>1.1577646023447352</c:v>
                </c:pt>
                <c:pt idx="22">
                  <c:v>1.1545504712464627</c:v>
                </c:pt>
                <c:pt idx="23">
                  <c:v>1.0767929456084735</c:v>
                </c:pt>
                <c:pt idx="24">
                  <c:v>0.93018873655192902</c:v>
                </c:pt>
                <c:pt idx="25">
                  <c:v>0.73765952742133045</c:v>
                </c:pt>
                <c:pt idx="26">
                  <c:v>0.533912478474452</c:v>
                </c:pt>
                <c:pt idx="27">
                  <c:v>0.35364262767278998</c:v>
                </c:pt>
                <c:pt idx="28">
                  <c:v>0.21904020820151526</c:v>
                </c:pt>
                <c:pt idx="29">
                  <c:v>0.13392172941051328</c:v>
                </c:pt>
                <c:pt idx="30">
                  <c:v>8.7586934214733958E-2</c:v>
                </c:pt>
                <c:pt idx="31">
                  <c:v>6.43899864340991E-2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E8-4D87-BAFC-1B0E16D841FD}"/>
            </c:ext>
          </c:extLst>
        </c:ser>
        <c:ser>
          <c:idx val="3"/>
          <c:order val="3"/>
          <c:tx>
            <c:strRef>
              <c:f>z!$E$65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z!$F$65:$AK$65</c:f>
              <c:numCache>
                <c:formatCode>0.00</c:formatCode>
                <c:ptCount val="32"/>
                <c:pt idx="0">
                  <c:v>1.9652155055505105E-3</c:v>
                </c:pt>
                <c:pt idx="1">
                  <c:v>2.0600382444557752E-2</c:v>
                </c:pt>
                <c:pt idx="2">
                  <c:v>3.7805841936910944E-2</c:v>
                </c:pt>
                <c:pt idx="3">
                  <c:v>5.3316873524722475E-2</c:v>
                </c:pt>
                <c:pt idx="4">
                  <c:v>6.7255806726285172E-2</c:v>
                </c:pt>
                <c:pt idx="5">
                  <c:v>7.984512545200495E-2</c:v>
                </c:pt>
                <c:pt idx="6">
                  <c:v>9.1394684206824728E-2</c:v>
                </c:pt>
                <c:pt idx="7">
                  <c:v>0.10232131407450495</c:v>
                </c:pt>
                <c:pt idx="8">
                  <c:v>0.1131775908166377</c:v>
                </c:pt>
                <c:pt idx="9">
                  <c:v>0.12468350516015025</c:v>
                </c:pt>
                <c:pt idx="10">
                  <c:v>0.13775754762213044</c:v>
                </c:pt>
                <c:pt idx="11">
                  <c:v>0.15354328594718858</c:v>
                </c:pt>
                <c:pt idx="12">
                  <c:v>0.17342550391163947</c:v>
                </c:pt>
                <c:pt idx="13">
                  <c:v>0.19902667595850243</c:v>
                </c:pt>
                <c:pt idx="14">
                  <c:v>0.23217012284848515</c:v>
                </c:pt>
                <c:pt idx="15">
                  <c:v>0.27479107362915478</c:v>
                </c:pt>
                <c:pt idx="16">
                  <c:v>0.3287721813346467</c:v>
                </c:pt>
                <c:pt idx="17">
                  <c:v>0.39567808981499919</c:v>
                </c:pt>
                <c:pt idx="18">
                  <c:v>0.47636831641961752</c:v>
                </c:pt>
                <c:pt idx="19">
                  <c:v>0.57048462143660661</c:v>
                </c:pt>
                <c:pt idx="20">
                  <c:v>0.67584472169857079</c:v>
                </c:pt>
                <c:pt idx="21">
                  <c:v>0.78783344652255671</c:v>
                </c:pt>
                <c:pt idx="22">
                  <c:v>0.89896274248846275</c:v>
                </c:pt>
                <c:pt idx="23">
                  <c:v>0.9988553183429838</c:v>
                </c:pt>
                <c:pt idx="24">
                  <c:v>1.0749515695871459</c:v>
                </c:pt>
                <c:pt idx="25">
                  <c:v>1.1141802881576846</c:v>
                </c:pt>
                <c:pt idx="26">
                  <c:v>1.105601532427114</c:v>
                </c:pt>
                <c:pt idx="27">
                  <c:v>1.0436035830695412</c:v>
                </c:pt>
                <c:pt idx="28">
                  <c:v>0.93071505788344666</c:v>
                </c:pt>
                <c:pt idx="29">
                  <c:v>0.77874593434779094</c:v>
                </c:pt>
                <c:pt idx="30">
                  <c:v>0.60716562722562539</c:v>
                </c:pt>
                <c:pt idx="31">
                  <c:v>0.43858629270032701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E8-4D87-BAFC-1B0E16D841FD}"/>
            </c:ext>
          </c:extLst>
        </c:ser>
        <c:ser>
          <c:idx val="4"/>
          <c:order val="4"/>
          <c:tx>
            <c:strRef>
              <c:f>z!$E$66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z!$F$66:$AK$66</c:f>
              <c:numCache>
                <c:formatCode>0.00</c:formatCode>
                <c:ptCount val="32"/>
                <c:pt idx="0">
                  <c:v>1.6389383454828987E-3</c:v>
                </c:pt>
                <c:pt idx="1">
                  <c:v>1.8066445162223665E-2</c:v>
                </c:pt>
                <c:pt idx="2">
                  <c:v>3.3480772483773791E-2</c:v>
                </c:pt>
                <c:pt idx="3">
                  <c:v>4.7456597506823073E-2</c:v>
                </c:pt>
                <c:pt idx="4">
                  <c:v>6.0042084139788621E-2</c:v>
                </c:pt>
                <c:pt idx="5">
                  <c:v>7.1372880222630997E-2</c:v>
                </c:pt>
                <c:pt idx="6">
                  <c:v>8.1629923014303607E-2</c:v>
                </c:pt>
                <c:pt idx="7">
                  <c:v>9.1036272095834647E-2</c:v>
                </c:pt>
                <c:pt idx="8">
                  <c:v>9.9864691959550278E-2</c:v>
                </c:pt>
                <c:pt idx="9">
                  <c:v>0.10844940668663927</c:v>
                </c:pt>
                <c:pt idx="10">
                  <c:v>0.11719979590563145</c:v>
                </c:pt>
                <c:pt idx="11">
                  <c:v>0.12661490721443958</c:v>
                </c:pt>
                <c:pt idx="12">
                  <c:v>0.13729779273929932</c:v>
                </c:pt>
                <c:pt idx="13">
                  <c:v>0.14996834273905968</c:v>
                </c:pt>
                <c:pt idx="14">
                  <c:v>0.16547260631061267</c:v>
                </c:pt>
                <c:pt idx="15">
                  <c:v>0.18478557816081764</c:v>
                </c:pt>
                <c:pt idx="16">
                  <c:v>0.2090031033568085</c:v>
                </c:pt>
                <c:pt idx="17">
                  <c:v>0.23931696997747665</c:v>
                </c:pt>
                <c:pt idx="18">
                  <c:v>0.27696559311507496</c:v>
                </c:pt>
                <c:pt idx="19">
                  <c:v>0.32315129854132429</c:v>
                </c:pt>
                <c:pt idx="20">
                  <c:v>0.37891472003748206</c:v>
                </c:pt>
                <c:pt idx="21">
                  <c:v>0.44495821254419976</c:v>
                </c:pt>
                <c:pt idx="22">
                  <c:v>0.5214148070852298</c:v>
                </c:pt>
                <c:pt idx="23">
                  <c:v>0.60756868842248846</c:v>
                </c:pt>
                <c:pt idx="24">
                  <c:v>0.70154889483642346</c:v>
                </c:pt>
                <c:pt idx="25">
                  <c:v>0.80004036608172235</c:v>
                </c:pt>
                <c:pt idx="26">
                  <c:v>0.89808374452038375</c:v>
                </c:pt>
                <c:pt idx="27">
                  <c:v>0.98906166718115696</c:v>
                </c:pt>
                <c:pt idx="28">
                  <c:v>1.0649835857892143</c:v>
                </c:pt>
                <c:pt idx="29">
                  <c:v>1.1171672734193727</c:v>
                </c:pt>
                <c:pt idx="30">
                  <c:v>1.137355568239018</c:v>
                </c:pt>
                <c:pt idx="31">
                  <c:v>1.1191912705119655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1E8-4D87-BAFC-1B0E16D841FD}"/>
            </c:ext>
          </c:extLst>
        </c:ser>
        <c:ser>
          <c:idx val="5"/>
          <c:order val="5"/>
          <c:tx>
            <c:strRef>
              <c:f>z!$E$67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z!$F$67:$AK$67</c:f>
              <c:numCache>
                <c:formatCode>0.00</c:formatCode>
                <c:ptCount val="32"/>
                <c:pt idx="0">
                  <c:v>1.3636222208068816E-3</c:v>
                </c:pt>
                <c:pt idx="1">
                  <c:v>1.5870351167124319E-2</c:v>
                </c:pt>
                <c:pt idx="2">
                  <c:v>2.9720750520323413E-2</c:v>
                </c:pt>
                <c:pt idx="3">
                  <c:v>4.2365076761252674E-2</c:v>
                </c:pt>
                <c:pt idx="4">
                  <c:v>5.3800155000227612E-2</c:v>
                </c:pt>
                <c:pt idx="5">
                  <c:v>6.4114296131845272E-2</c:v>
                </c:pt>
                <c:pt idx="6">
                  <c:v>7.3429214197395787E-2</c:v>
                </c:pt>
                <c:pt idx="7">
                  <c:v>8.1886521094753917E-2</c:v>
                </c:pt>
                <c:pt idx="8">
                  <c:v>8.9646174926127919E-2</c:v>
                </c:pt>
                <c:pt idx="9">
                  <c:v>9.6889409434086637E-2</c:v>
                </c:pt>
                <c:pt idx="10">
                  <c:v>0.10382377652307095</c:v>
                </c:pt>
                <c:pt idx="11">
                  <c:v>0.11068939821579082</c:v>
                </c:pt>
                <c:pt idx="12">
                  <c:v>0.11776601797330866</c:v>
                </c:pt>
                <c:pt idx="13">
                  <c:v>0.12538059446365324</c:v>
                </c:pt>
                <c:pt idx="14">
                  <c:v>0.13391517554450783</c:v>
                </c:pt>
                <c:pt idx="15">
                  <c:v>0.14381468220681093</c:v>
                </c:pt>
                <c:pt idx="16">
                  <c:v>0.15559403498510704</c:v>
                </c:pt>
                <c:pt idx="17">
                  <c:v>0.16984376668993661</c:v>
                </c:pt>
                <c:pt idx="18">
                  <c:v>0.18723287910049624</c:v>
                </c:pt>
                <c:pt idx="19">
                  <c:v>0.20850721516685322</c:v>
                </c:pt>
                <c:pt idx="20">
                  <c:v>0.23448104268042336</c:v>
                </c:pt>
                <c:pt idx="21">
                  <c:v>0.26601891485600326</c:v>
                </c:pt>
                <c:pt idx="22">
                  <c:v>0.30400426149879145</c:v>
                </c:pt>
                <c:pt idx="23">
                  <c:v>0.34929070291567221</c:v>
                </c:pt>
                <c:pt idx="24">
                  <c:v>0.40263197602397049</c:v>
                </c:pt>
                <c:pt idx="25">
                  <c:v>0.46458691957895759</c:v>
                </c:pt>
                <c:pt idx="26">
                  <c:v>0.5353975778390474</c:v>
                </c:pt>
                <c:pt idx="27">
                  <c:v>0.61484160856806191</c:v>
                </c:pt>
                <c:pt idx="28">
                  <c:v>0.70206526380256484</c:v>
                </c:pt>
                <c:pt idx="29">
                  <c:v>0.79541051681752961</c:v>
                </c:pt>
                <c:pt idx="30">
                  <c:v>0.89225927575808939</c:v>
                </c:pt>
                <c:pt idx="31">
                  <c:v>0.98892812916795414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1E8-4D87-BAFC-1B0E16D841FD}"/>
            </c:ext>
          </c:extLst>
        </c:ser>
        <c:ser>
          <c:idx val="6"/>
          <c:order val="6"/>
          <c:tx>
            <c:strRef>
              <c:f>z!$E$68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z!$F$68:$AK$68</c:f>
              <c:numCache>
                <c:formatCode>0.00</c:formatCode>
                <c:ptCount val="32"/>
                <c:pt idx="0">
                  <c:v>1.1339603982474245E-3</c:v>
                </c:pt>
                <c:pt idx="1">
                  <c:v>1.396030613798338E-2</c:v>
                </c:pt>
                <c:pt idx="2">
                  <c:v>2.6428805497746843E-2</c:v>
                </c:pt>
                <c:pt idx="3">
                  <c:v>3.7898329463548208E-2</c:v>
                </c:pt>
                <c:pt idx="4">
                  <c:v>4.8327403127768065E-2</c:v>
                </c:pt>
                <c:pt idx="5">
                  <c:v>5.7773810484662569E-2</c:v>
                </c:pt>
                <c:pt idx="6">
                  <c:v>6.6327273615107707E-2</c:v>
                </c:pt>
                <c:pt idx="7">
                  <c:v>7.4090869212173338E-2</c:v>
                </c:pt>
                <c:pt idx="8">
                  <c:v>8.117538902341348E-2</c:v>
                </c:pt>
                <c:pt idx="9">
                  <c:v>8.7698426936566598E-2</c:v>
                </c:pt>
                <c:pt idx="10">
                  <c:v>9.3785580405958413E-2</c:v>
                </c:pt>
                <c:pt idx="11">
                  <c:v>9.957277613148463E-2</c:v>
                </c:pt>
                <c:pt idx="12">
                  <c:v>0.10520930802759842</c:v>
                </c:pt>
                <c:pt idx="13">
                  <c:v>0.11086141001648286</c:v>
                </c:pt>
                <c:pt idx="14">
                  <c:v>0.11671628627019093</c:v>
                </c:pt>
                <c:pt idx="15">
                  <c:v>0.12298655937525993</c:v>
                </c:pt>
                <c:pt idx="16">
                  <c:v>0.12991509942616997</c:v>
                </c:pt>
                <c:pt idx="17">
                  <c:v>0.13778017378551777</c:v>
                </c:pt>
                <c:pt idx="18">
                  <c:v>0.14690081020019008</c:v>
                </c:pt>
                <c:pt idx="19">
                  <c:v>0.15764219336733554</c:v>
                </c:pt>
                <c:pt idx="20">
                  <c:v>0.17042081314366797</c:v>
                </c:pt>
                <c:pt idx="21">
                  <c:v>0.18570894672920168</c:v>
                </c:pt>
                <c:pt idx="22">
                  <c:v>0.20403788279454993</c:v>
                </c:pt>
                <c:pt idx="23">
                  <c:v>0.22599907969489408</c:v>
                </c:pt>
                <c:pt idx="24">
                  <c:v>0.25224219311970053</c:v>
                </c:pt>
                <c:pt idx="25">
                  <c:v>0.28346861757633235</c:v>
                </c:pt>
                <c:pt idx="26">
                  <c:v>0.32041887783496037</c:v>
                </c:pt>
                <c:pt idx="27">
                  <c:v>0.363851912491997</c:v>
                </c:pt>
                <c:pt idx="28">
                  <c:v>0.41451406419712455</c:v>
                </c:pt>
                <c:pt idx="29">
                  <c:v>0.47309550784291332</c:v>
                </c:pt>
                <c:pt idx="30">
                  <c:v>0.54017201783396196</c:v>
                </c:pt>
                <c:pt idx="31">
                  <c:v>0.6161305385599114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1E8-4D87-BAFC-1B0E16D841FD}"/>
            </c:ext>
          </c:extLst>
        </c:ser>
        <c:ser>
          <c:idx val="7"/>
          <c:order val="7"/>
          <c:tx>
            <c:strRef>
              <c:f>z!$E$69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z!$F$69:$AK$69</c:f>
              <c:numCache>
                <c:formatCode>0.00</c:formatCode>
                <c:ptCount val="32"/>
                <c:pt idx="0">
                  <c:v>9.4542367123917614E-4</c:v>
                </c:pt>
                <c:pt idx="1">
                  <c:v>1.2296534192879349E-2</c:v>
                </c:pt>
                <c:pt idx="2">
                  <c:v>2.3531916218066939E-2</c:v>
                </c:pt>
                <c:pt idx="3">
                  <c:v>3.3950404989768757E-2</c:v>
                </c:pt>
                <c:pt idx="4">
                  <c:v>4.3481609916740105E-2</c:v>
                </c:pt>
                <c:pt idx="5">
                  <c:v>5.2161222699687038E-2</c:v>
                </c:pt>
                <c:pt idx="6">
                  <c:v>6.0058460289669213E-2</c:v>
                </c:pt>
                <c:pt idx="7">
                  <c:v>6.7254856118137418E-2</c:v>
                </c:pt>
                <c:pt idx="8">
                  <c:v>7.3836688306183618E-2</c:v>
                </c:pt>
                <c:pt idx="9">
                  <c:v>7.989234239158538E-2</c:v>
                </c:pt>
                <c:pt idx="10">
                  <c:v>8.551182101457222E-2</c:v>
                </c:pt>
                <c:pt idx="11">
                  <c:v>9.0787327469810108E-2</c:v>
                </c:pt>
                <c:pt idx="12">
                  <c:v>9.5814463360488489E-2</c:v>
                </c:pt>
                <c:pt idx="13">
                  <c:v>0.10069383419064604</c:v>
                </c:pt>
                <c:pt idx="14">
                  <c:v>0.1055329734377386</c:v>
                </c:pt>
                <c:pt idx="15">
                  <c:v>0.11044855380415441</c:v>
                </c:pt>
                <c:pt idx="16">
                  <c:v>0.1155688847902514</c:v>
                </c:pt>
                <c:pt idx="17">
                  <c:v>0.12103671159868767</c:v>
                </c:pt>
                <c:pt idx="18">
                  <c:v>0.12701233740552986</c:v>
                </c:pt>
                <c:pt idx="19">
                  <c:v>0.13367709158007557</c:v>
                </c:pt>
                <c:pt idx="20">
                  <c:v>0.14123716109737394</c:v>
                </c:pt>
                <c:pt idx="21">
                  <c:v>0.14992779069689099</c:v>
                </c:pt>
                <c:pt idx="22">
                  <c:v>0.16001783812957804</c:v>
                </c:pt>
                <c:pt idx="23">
                  <c:v>0.17181464227689069</c:v>
                </c:pt>
                <c:pt idx="24">
                  <c:v>0.18566912173323402</c:v>
                </c:pt>
                <c:pt idx="25">
                  <c:v>0.20198096686119271</c:v>
                </c:pt>
                <c:pt idx="26">
                  <c:v>0.22120371625655721</c:v>
                </c:pt>
                <c:pt idx="27">
                  <c:v>0.24384941581723218</c:v>
                </c:pt>
                <c:pt idx="28">
                  <c:v>0.27049244217702828</c:v>
                </c:pt>
                <c:pt idx="29">
                  <c:v>0.30177192994784718</c:v>
                </c:pt>
                <c:pt idx="30">
                  <c:v>0.33839207328334453</c:v>
                </c:pt>
                <c:pt idx="31">
                  <c:v>0.38111937876705859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1E8-4D87-BAFC-1B0E16D841FD}"/>
            </c:ext>
          </c:extLst>
        </c:ser>
        <c:ser>
          <c:idx val="8"/>
          <c:order val="8"/>
          <c:tx>
            <c:strRef>
              <c:f>z!$E$70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z!$F$70:$AK$70</c:f>
              <c:numCache>
                <c:formatCode>0.00</c:formatCode>
                <c:ptCount val="32"/>
                <c:pt idx="0">
                  <c:v>7.9395231411538703E-4</c:v>
                </c:pt>
                <c:pt idx="1">
                  <c:v>1.084772766135611E-2</c:v>
                </c:pt>
                <c:pt idx="2">
                  <c:v>2.0973792930867319E-2</c:v>
                </c:pt>
                <c:pt idx="3">
                  <c:v>3.0440984336910226E-2</c:v>
                </c:pt>
                <c:pt idx="4">
                  <c:v>3.9157957475777216E-2</c:v>
                </c:pt>
                <c:pt idx="5">
                  <c:v>4.7143632419199832E-2</c:v>
                </c:pt>
                <c:pt idx="6">
                  <c:v>5.4452355644052375E-2</c:v>
                </c:pt>
                <c:pt idx="7">
                  <c:v>6.1151427750316678E-2</c:v>
                </c:pt>
                <c:pt idx="8">
                  <c:v>6.7312606363945093E-2</c:v>
                </c:pt>
                <c:pt idx="9">
                  <c:v>7.3008666894081031E-2</c:v>
                </c:pt>
                <c:pt idx="10">
                  <c:v>7.8312145381120857E-2</c:v>
                </c:pt>
                <c:pt idx="11">
                  <c:v>8.3295144173711755E-2</c:v>
                </c:pt>
                <c:pt idx="12">
                  <c:v>8.8029710387349525E-2</c:v>
                </c:pt>
                <c:pt idx="13">
                  <c:v>9.2588557379147396E-2</c:v>
                </c:pt>
                <c:pt idx="14">
                  <c:v>9.704601946936009E-2</c:v>
                </c:pt>
                <c:pt idx="15">
                  <c:v>0.10147919056946453</c:v>
                </c:pt>
                <c:pt idx="16">
                  <c:v>0.10596923034356109</c:v>
                </c:pt>
                <c:pt idx="17">
                  <c:v>0.11060284097919038</c:v>
                </c:pt>
                <c:pt idx="18">
                  <c:v>0.11547393010569174</c:v>
                </c:pt>
                <c:pt idx="19">
                  <c:v>0.12068548411892088</c:v>
                </c:pt>
                <c:pt idx="20">
                  <c:v>0.126351682748993</c:v>
                </c:pt>
                <c:pt idx="21">
                  <c:v>0.13260029101047621</c:v>
                </c:pt>
                <c:pt idx="22">
                  <c:v>0.13957536900721657</c:v>
                </c:pt>
                <c:pt idx="23">
                  <c:v>0.14744034353419977</c:v>
                </c:pt>
                <c:pt idx="24">
                  <c:v>0.15638148782404215</c:v>
                </c:pt>
                <c:pt idx="25">
                  <c:v>0.16661185678468193</c:v>
                </c:pt>
                <c:pt idx="26">
                  <c:v>0.17837572410184244</c:v>
                </c:pt>
                <c:pt idx="27">
                  <c:v>0.19195356383550077</c:v>
                </c:pt>
                <c:pt idx="28">
                  <c:v>0.20766761159785041</c:v>
                </c:pt>
                <c:pt idx="29">
                  <c:v>0.22588802772283145</c:v>
                </c:pt>
                <c:pt idx="30">
                  <c:v>0.24703966535044586</c:v>
                </c:pt>
                <c:pt idx="31">
                  <c:v>0.27160941804194039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1E8-4D87-BAFC-1B0E16D841FD}"/>
            </c:ext>
          </c:extLst>
        </c:ser>
        <c:ser>
          <c:idx val="9"/>
          <c:order val="9"/>
          <c:tx>
            <c:strRef>
              <c:f>z!$E$71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z!$F$71:$AK$71</c:f>
              <c:numCache>
                <c:formatCode>0.00</c:formatCode>
                <c:ptCount val="32"/>
                <c:pt idx="0">
                  <c:v>6.7576220585952029E-4</c:v>
                </c:pt>
                <c:pt idx="1">
                  <c:v>9.5886929107891206E-3</c:v>
                </c:pt>
                <c:pt idx="2">
                  <c:v>1.8710187454140659E-2</c:v>
                </c:pt>
                <c:pt idx="3">
                  <c:v>2.7307788095565222E-2</c:v>
                </c:pt>
                <c:pt idx="4">
                  <c:v>3.5276551038965209E-2</c:v>
                </c:pt>
                <c:pt idx="5">
                  <c:v>4.2622772119194074E-2</c:v>
                </c:pt>
                <c:pt idx="6">
                  <c:v>4.9389377555164593E-2</c:v>
                </c:pt>
                <c:pt idx="7">
                  <c:v>5.5633122104103983E-2</c:v>
                </c:pt>
                <c:pt idx="8">
                  <c:v>6.1415722672819584E-2</c:v>
                </c:pt>
                <c:pt idx="9">
                  <c:v>6.6800059579930071E-2</c:v>
                </c:pt>
                <c:pt idx="10">
                  <c:v>7.1848566378096557E-2</c:v>
                </c:pt>
                <c:pt idx="11">
                  <c:v>7.6622678704230118E-2</c:v>
                </c:pt>
                <c:pt idx="12">
                  <c:v>8.1182841352389623E-2</c:v>
                </c:pt>
                <c:pt idx="13">
                  <c:v>8.5588833209082615E-2</c:v>
                </c:pt>
                <c:pt idx="14">
                  <c:v>8.9900289626188012E-2</c:v>
                </c:pt>
                <c:pt idx="15">
                  <c:v>9.4177361907643586E-2</c:v>
                </c:pt>
                <c:pt idx="16">
                  <c:v>9.8481486024315501E-2</c:v>
                </c:pt>
                <c:pt idx="17">
                  <c:v>0.10287625149296709</c:v>
                </c:pt>
                <c:pt idx="18">
                  <c:v>0.10742837318766796</c:v>
                </c:pt>
                <c:pt idx="19">
                  <c:v>0.11220877702977639</c:v>
                </c:pt>
                <c:pt idx="20">
                  <c:v>0.11729381681013784</c:v>
                </c:pt>
                <c:pt idx="21">
                  <c:v>0.12276664479893284</c:v>
                </c:pt>
                <c:pt idx="22">
                  <c:v>0.12871876394426884</c:v>
                </c:pt>
                <c:pt idx="23">
                  <c:v>0.1352517946791032</c:v>
                </c:pt>
                <c:pt idx="24">
                  <c:v>0.14247949491341672</c:v>
                </c:pt>
                <c:pt idx="25">
                  <c:v>0.150530077885902</c:v>
                </c:pt>
                <c:pt idx="26">
                  <c:v>0.15954887928271155</c:v>
                </c:pt>
                <c:pt idx="27">
                  <c:v>0.16970143251437975</c:v>
                </c:pt>
                <c:pt idx="28">
                  <c:v>0.18117701935671526</c:v>
                </c:pt>
                <c:pt idx="29">
                  <c:v>0.19419277226861986</c:v>
                </c:pt>
                <c:pt idx="30">
                  <c:v>0.20899841468047242</c:v>
                </c:pt>
                <c:pt idx="31">
                  <c:v>0.22588173620152752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1E8-4D87-BAFC-1B0E16D841FD}"/>
            </c:ext>
          </c:extLst>
        </c:ser>
        <c:ser>
          <c:idx val="10"/>
          <c:order val="10"/>
          <c:tx>
            <c:strRef>
              <c:f>z!$E$72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z!$F$72:$AK$72</c:f>
              <c:numCache>
                <c:formatCode>0.00</c:formatCode>
                <c:ptCount val="32"/>
                <c:pt idx="0">
                  <c:v>5.8722417650702852E-4</c:v>
                </c:pt>
                <c:pt idx="1">
                  <c:v>8.4987365334132647E-3</c:v>
                </c:pt>
                <c:pt idx="2">
                  <c:v>1.6705732460708944E-2</c:v>
                </c:pt>
                <c:pt idx="3">
                  <c:v>2.4501661261999708E-2</c:v>
                </c:pt>
                <c:pt idx="4">
                  <c:v>3.1775025105207355E-2</c:v>
                </c:pt>
                <c:pt idx="5">
                  <c:v>3.8523191966621795E-2</c:v>
                </c:pt>
                <c:pt idx="6">
                  <c:v>4.478029999877009E-2</c:v>
                </c:pt>
                <c:pt idx="7">
                  <c:v>5.059488640857257E-2</c:v>
                </c:pt>
                <c:pt idx="8">
                  <c:v>5.6021030852337894E-2</c:v>
                </c:pt>
                <c:pt idx="9">
                  <c:v>6.1114450032651035E-2</c:v>
                </c:pt>
                <c:pt idx="10">
                  <c:v>6.5930742299213918E-2</c:v>
                </c:pt>
                <c:pt idx="11">
                  <c:v>7.0524675370164935E-2</c:v>
                </c:pt>
                <c:pt idx="12">
                  <c:v>7.495002217217106E-2</c:v>
                </c:pt>
                <c:pt idx="13">
                  <c:v>7.9259704144130083E-2</c:v>
                </c:pt>
                <c:pt idx="14">
                  <c:v>8.3506118684351094E-2</c:v>
                </c:pt>
                <c:pt idx="15">
                  <c:v>8.7741586155543061E-2</c:v>
                </c:pt>
                <c:pt idx="16">
                  <c:v>9.2018883359523684E-2</c:v>
                </c:pt>
                <c:pt idx="17">
                  <c:v>9.6391848395604995E-2</c:v>
                </c:pt>
                <c:pt idx="18">
                  <c:v>0.10091605281692395</c:v>
                </c:pt>
                <c:pt idx="19">
                  <c:v>0.10564954427128015</c:v>
                </c:pt>
                <c:pt idx="20">
                  <c:v>0.1106536680888226</c:v>
                </c:pt>
                <c:pt idx="21">
                  <c:v>0.11599398056016952</c:v>
                </c:pt>
                <c:pt idx="22">
                  <c:v>0.12174127050834649</c:v>
                </c:pt>
                <c:pt idx="23">
                  <c:v>0.12797270958819773</c:v>
                </c:pt>
                <c:pt idx="24">
                  <c:v>0.13477315582344218</c:v>
                </c:pt>
                <c:pt idx="25">
                  <c:v>0.14223663941526077</c:v>
                </c:pt>
                <c:pt idx="26">
                  <c:v>0.15046806502572174</c:v>
                </c:pt>
                <c:pt idx="27">
                  <c:v>0.1595851707343332</c:v>
                </c:pt>
                <c:pt idx="28">
                  <c:v>0.1697207908717413</c:v>
                </c:pt>
                <c:pt idx="29">
                  <c:v>0.18102547816378767</c:v>
                </c:pt>
                <c:pt idx="30">
                  <c:v>0.19367055028296498</c:v>
                </c:pt>
                <c:pt idx="31">
                  <c:v>0.20785163729919454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1E8-4D87-BAFC-1B0E16D841FD}"/>
            </c:ext>
          </c:extLst>
        </c:ser>
        <c:ser>
          <c:idx val="11"/>
          <c:order val="11"/>
          <c:tx>
            <c:strRef>
              <c:f>z!$E$73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z!$F$73:$AK$73</c:f>
              <c:numCache>
                <c:formatCode>0.00</c:formatCode>
                <c:ptCount val="32"/>
                <c:pt idx="0">
                  <c:v>5.2479259160520542E-4</c:v>
                </c:pt>
                <c:pt idx="1">
                  <c:v>7.5605251049770672E-3</c:v>
                </c:pt>
                <c:pt idx="2">
                  <c:v>1.49317436537455E-2</c:v>
                </c:pt>
                <c:pt idx="3">
                  <c:v>2.1983249374080138E-2</c:v>
                </c:pt>
                <c:pt idx="4">
                  <c:v>2.8603831978335492E-2</c:v>
                </c:pt>
                <c:pt idx="5">
                  <c:v>3.4785451034191617E-2</c:v>
                </c:pt>
                <c:pt idx="6">
                  <c:v>4.0555786231410984E-2</c:v>
                </c:pt>
                <c:pt idx="7">
                  <c:v>4.5956979475625381E-2</c:v>
                </c:pt>
                <c:pt idx="8">
                  <c:v>5.1037096634898305E-2</c:v>
                </c:pt>
                <c:pt idx="9">
                  <c:v>5.5846293949612935E-2</c:v>
                </c:pt>
                <c:pt idx="10">
                  <c:v>6.0435043654827325E-2</c:v>
                </c:pt>
                <c:pt idx="11">
                  <c:v>6.4853365517314465E-2</c:v>
                </c:pt>
                <c:pt idx="12">
                  <c:v>6.9150589726563183E-2</c:v>
                </c:pt>
                <c:pt idx="13">
                  <c:v>7.3375418434107331E-2</c:v>
                </c:pt>
                <c:pt idx="14">
                  <c:v>7.7576165247839057E-2</c:v>
                </c:pt>
                <c:pt idx="15">
                  <c:v>8.1801108219980989E-2</c:v>
                </c:pt>
                <c:pt idx="16">
                  <c:v>8.6098922003952083E-2</c:v>
                </c:pt>
                <c:pt idx="17">
                  <c:v>9.0519172026182204E-2</c:v>
                </c:pt>
                <c:pt idx="18">
                  <c:v>9.5112863865320918E-2</c:v>
                </c:pt>
                <c:pt idx="19">
                  <c:v>9.9933047735811797E-2</c:v>
                </c:pt>
                <c:pt idx="20">
                  <c:v>0.1050354826359623</c:v>
                </c:pt>
                <c:pt idx="21">
                  <c:v>0.11047936834462924</c:v>
                </c:pt>
                <c:pt idx="22">
                  <c:v>0.11632815654016859</c:v>
                </c:pt>
                <c:pt idx="23">
                  <c:v>0.12265045524717522</c:v>
                </c:pt>
                <c:pt idx="24">
                  <c:v>0.12952104385033358</c:v>
                </c:pt>
                <c:pt idx="25">
                  <c:v>0.13702201919718604</c:v>
                </c:pt>
                <c:pt idx="26">
                  <c:v>0.14524409703864372</c:v>
                </c:pt>
                <c:pt idx="27">
                  <c:v>0.15428809738082805</c:v>
                </c:pt>
                <c:pt idx="28">
                  <c:v>0.16426664736246543</c:v>
                </c:pt>
                <c:pt idx="29">
                  <c:v>0.17530614125482735</c:v>
                </c:pt>
                <c:pt idx="30">
                  <c:v>0.18754900427220278</c:v>
                </c:pt>
                <c:pt idx="31">
                  <c:v>0.20115631531147926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1E8-4D87-BAFC-1B0E16D841FD}"/>
            </c:ext>
          </c:extLst>
        </c:ser>
        <c:ser>
          <c:idx val="12"/>
          <c:order val="12"/>
          <c:tx>
            <c:strRef>
              <c:f>z!$E$74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z!$F$74:$AK$74</c:f>
              <c:numCache>
                <c:formatCode>0.00</c:formatCode>
                <c:ptCount val="32"/>
                <c:pt idx="0">
                  <c:v>4.84968682101794E-4</c:v>
                </c:pt>
                <c:pt idx="1">
                  <c:v>6.7592566229679463E-3</c:v>
                </c:pt>
                <c:pt idx="2">
                  <c:v>1.3364648698943604E-2</c:v>
                </c:pt>
                <c:pt idx="3">
                  <c:v>1.9720672703837927E-2</c:v>
                </c:pt>
                <c:pt idx="4">
                  <c:v>2.572306936998725E-2</c:v>
                </c:pt>
                <c:pt idx="5">
                  <c:v>3.1361839118226875E-2</c:v>
                </c:pt>
                <c:pt idx="6">
                  <c:v>3.6660430106860709E-2</c:v>
                </c:pt>
                <c:pt idx="7">
                  <c:v>4.1656232000919502E-2</c:v>
                </c:pt>
                <c:pt idx="8">
                  <c:v>4.6392634738268157E-2</c:v>
                </c:pt>
                <c:pt idx="9">
                  <c:v>5.0915416089036825E-2</c:v>
                </c:pt>
                <c:pt idx="10">
                  <c:v>5.5271042793236802E-2</c:v>
                </c:pt>
                <c:pt idx="11">
                  <c:v>5.9505915080304561E-2</c:v>
                </c:pt>
                <c:pt idx="12">
                  <c:v>6.3666114092253423E-2</c:v>
                </c:pt>
                <c:pt idx="13">
                  <c:v>6.7797434655014754E-2</c:v>
                </c:pt>
                <c:pt idx="14">
                  <c:v>7.1945589716015945E-2</c:v>
                </c:pt>
                <c:pt idx="15">
                  <c:v>7.6156525164128297E-2</c:v>
                </c:pt>
                <c:pt idx="16">
                  <c:v>8.04768119633259E-2</c:v>
                </c:pt>
                <c:pt idx="17">
                  <c:v>8.4954098640954712E-2</c:v>
                </c:pt>
                <c:pt idx="18">
                  <c:v>8.9637616895732464E-2</c:v>
                </c:pt>
                <c:pt idx="19">
                  <c:v>9.4578739352924046E-2</c:v>
                </c:pt>
                <c:pt idx="20">
                  <c:v>9.9831592829779936E-2</c:v>
                </c:pt>
                <c:pt idx="21">
                  <c:v>0.10545373378345602</c:v>
                </c:pt>
                <c:pt idx="22">
                  <c:v>0.11150689537253733</c:v>
                </c:pt>
                <c:pt idx="23">
                  <c:v>0.11805781814522298</c:v>
                </c:pt>
                <c:pt idx="24">
                  <c:v>0.12517917896315289</c:v>
                </c:pt>
                <c:pt idx="25">
                  <c:v>0.13295063555407438</c:v>
                </c:pt>
                <c:pt idx="26">
                  <c:v>0.14146000721404484</c:v>
                </c:pt>
                <c:pt idx="27">
                  <c:v>0.15080461575722737</c:v>
                </c:pt>
                <c:pt idx="28">
                  <c:v>0.16109281498799533</c:v>
                </c:pt>
                <c:pt idx="29">
                  <c:v>0.17244574188590711</c:v>
                </c:pt>
                <c:pt idx="30">
                  <c:v>0.18499932849991296</c:v>
                </c:pt>
                <c:pt idx="31">
                  <c:v>0.19890662046972984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1E8-4D87-BAFC-1B0E16D841FD}"/>
            </c:ext>
          </c:extLst>
        </c:ser>
        <c:ser>
          <c:idx val="13"/>
          <c:order val="13"/>
          <c:tx>
            <c:strRef>
              <c:f>z!$E$75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z!$F$75:$AK$75</c:f>
              <c:numCache>
                <c:formatCode>0.00</c:formatCode>
                <c:ptCount val="32"/>
                <c:pt idx="0">
                  <c:v>4.6428958844213497E-4</c:v>
                </c:pt>
                <c:pt idx="1">
                  <c:v>6.0820423452012662E-3</c:v>
                </c:pt>
                <c:pt idx="2">
                  <c:v>1.1984835405209893E-2</c:v>
                </c:pt>
                <c:pt idx="3">
                  <c:v>1.7687853356651573E-2</c:v>
                </c:pt>
                <c:pt idx="4">
                  <c:v>2.3100256285712994E-2</c:v>
                </c:pt>
                <c:pt idx="5">
                  <c:v>2.8213504793983546E-2</c:v>
                </c:pt>
                <c:pt idx="6">
                  <c:v>3.3049020966124942E-2</c:v>
                </c:pt>
                <c:pt idx="7">
                  <c:v>3.7641036447877418E-2</c:v>
                </c:pt>
                <c:pt idx="8">
                  <c:v>4.2029511333363523E-2</c:v>
                </c:pt>
                <c:pt idx="9">
                  <c:v>4.6256880346651208E-2</c:v>
                </c:pt>
                <c:pt idx="10">
                  <c:v>5.0366511852084628E-2</c:v>
                </c:pt>
                <c:pt idx="11">
                  <c:v>5.4402020835064846E-2</c:v>
                </c:pt>
                <c:pt idx="12">
                  <c:v>5.8407042459185377E-2</c:v>
                </c:pt>
                <c:pt idx="13">
                  <c:v>6.2425270504373742E-2</c:v>
                </c:pt>
                <c:pt idx="14">
                  <c:v>6.6500657865065094E-2</c:v>
                </c:pt>
                <c:pt idx="15">
                  <c:v>7.0677723473355769E-2</c:v>
                </c:pt>
                <c:pt idx="16">
                  <c:v>7.5001935626151095E-2</c:v>
                </c:pt>
                <c:pt idx="17">
                  <c:v>7.9520156398782404E-2</c:v>
                </c:pt>
                <c:pt idx="18">
                  <c:v>8.4281140808606381E-2</c:v>
                </c:pt>
                <c:pt idx="19">
                  <c:v>8.9336090218994357E-2</c:v>
                </c:pt>
                <c:pt idx="20">
                  <c:v>9.473926354774953E-2</c:v>
                </c:pt>
                <c:pt idx="21">
                  <c:v>0.10054865300501703</c:v>
                </c:pt>
                <c:pt idx="22">
                  <c:v>0.10682673373096918</c:v>
                </c:pt>
                <c:pt idx="23">
                  <c:v>0.113641299211098</c:v>
                </c:pt>
                <c:pt idx="24">
                  <c:v>0.12106639686360054</c:v>
                </c:pt>
                <c:pt idx="25">
                  <c:v>0.12918338090628367</c:v>
                </c:pt>
                <c:pt idx="26">
                  <c:v>0.13808210265131571</c:v>
                </c:pt>
                <c:pt idx="27">
                  <c:v>0.14786226182827988</c:v>
                </c:pt>
                <c:pt idx="28">
                  <c:v>0.15863494659251742</c:v>
                </c:pt>
                <c:pt idx="29">
                  <c:v>0.17052439458820068</c:v>
                </c:pt>
                <c:pt idx="30">
                  <c:v>0.1836700130397606</c:v>
                </c:pt>
                <c:pt idx="31">
                  <c:v>0.19822870243602075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1E8-4D87-BAFC-1B0E16D841FD}"/>
            </c:ext>
          </c:extLst>
        </c:ser>
        <c:ser>
          <c:idx val="14"/>
          <c:order val="14"/>
          <c:tx>
            <c:strRef>
              <c:f>z!$E$76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z!$F$76:$AK$76</c:f>
              <c:numCache>
                <c:formatCode>0.00</c:formatCode>
                <c:ptCount val="32"/>
                <c:pt idx="0">
                  <c:v>4.5933725767444145E-4</c:v>
                </c:pt>
                <c:pt idx="1">
                  <c:v>5.5174340853891835E-3</c:v>
                </c:pt>
                <c:pt idx="2">
                  <c:v>1.0775786701500145E-2</c:v>
                </c:pt>
                <c:pt idx="3">
                  <c:v>1.5863283650108251E-2</c:v>
                </c:pt>
                <c:pt idx="4">
                  <c:v>2.0708726687801438E-2</c:v>
                </c:pt>
                <c:pt idx="5">
                  <c:v>2.530843415260442E-2</c:v>
                </c:pt>
                <c:pt idx="6">
                  <c:v>2.9684019774989245E-2</c:v>
                </c:pt>
                <c:pt idx="7">
                  <c:v>3.386815805783705E-2</c:v>
                </c:pt>
                <c:pt idx="8">
                  <c:v>3.7898614059006519E-2</c:v>
                </c:pt>
                <c:pt idx="9">
                  <c:v>4.1815479673079636E-2</c:v>
                </c:pt>
                <c:pt idx="10">
                  <c:v>4.5659868135983217E-2</c:v>
                </c:pt>
                <c:pt idx="11">
                  <c:v>4.947334593174979E-2</c:v>
                </c:pt>
                <c:pt idx="12">
                  <c:v>5.3297768211502117E-2</c:v>
                </c:pt>
                <c:pt idx="13">
                  <c:v>5.7175350294924598E-2</c:v>
                </c:pt>
                <c:pt idx="14">
                  <c:v>6.114888689867648E-2</c:v>
                </c:pt>
                <c:pt idx="15">
                  <c:v>6.5262071324845294E-2</c:v>
                </c:pt>
                <c:pt idx="16">
                  <c:v>6.9559889108727901E-2</c:v>
                </c:pt>
                <c:pt idx="17">
                  <c:v>7.4089073566652175E-2</c:v>
                </c:pt>
                <c:pt idx="18">
                  <c:v>7.8898618704803525E-2</c:v>
                </c:pt>
                <c:pt idx="19">
                  <c:v>8.4040350248892892E-2</c:v>
                </c:pt>
                <c:pt idx="20">
                  <c:v>8.9569559390767495E-2</c:v>
                </c:pt>
                <c:pt idx="21">
                  <c:v>9.5545706854771595E-2</c:v>
                </c:pt>
                <c:pt idx="22">
                  <c:v>0.1020332075500896</c:v>
                </c:pt>
                <c:pt idx="23">
                  <c:v>0.10910230860439185</c:v>
                </c:pt>
                <c:pt idx="24">
                  <c:v>0.11683007620510999</c:v>
                </c:pt>
                <c:pt idx="25">
                  <c:v>0.12530150952039243</c:v>
                </c:pt>
                <c:pt idx="26">
                  <c:v>0.13461080318832863</c:v>
                </c:pt>
                <c:pt idx="27">
                  <c:v>0.14486278354763904</c:v>
                </c:pt>
                <c:pt idx="28">
                  <c:v>0.15617454808491971</c:v>
                </c:pt>
                <c:pt idx="29">
                  <c:v>0.16867734260572753</c:v>
                </c:pt>
                <c:pt idx="30">
                  <c:v>0.18251871659114016</c:v>
                </c:pt>
                <c:pt idx="31">
                  <c:v>0.1978650042264718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1E8-4D87-BAFC-1B0E16D841FD}"/>
            </c:ext>
          </c:extLst>
        </c:ser>
        <c:ser>
          <c:idx val="15"/>
          <c:order val="15"/>
          <c:tx>
            <c:strRef>
              <c:f>z!$E$77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z!$F$77:$AK$77</c:f>
              <c:numCache>
                <c:formatCode>0.00</c:formatCode>
                <c:ptCount val="32"/>
                <c:pt idx="0">
                  <c:v>4.6676311327153996E-4</c:v>
                </c:pt>
                <c:pt idx="1">
                  <c:v>5.0550545344085762E-3</c:v>
                </c:pt>
                <c:pt idx="2">
                  <c:v>9.7234153867420403E-3</c:v>
                </c:pt>
                <c:pt idx="3">
                  <c:v>1.4229100351093038E-2</c:v>
                </c:pt>
                <c:pt idx="4">
                  <c:v>1.8526442779553953E-2</c:v>
                </c:pt>
                <c:pt idx="5">
                  <c:v>2.2619980110105686E-2</c:v>
                </c:pt>
                <c:pt idx="6">
                  <c:v>2.6533758352709214E-2</c:v>
                </c:pt>
                <c:pt idx="7">
                  <c:v>3.0300527058990667E-2</c:v>
                </c:pt>
                <c:pt idx="8">
                  <c:v>3.3957116211902338E-2</c:v>
                </c:pt>
                <c:pt idx="9">
                  <c:v>3.7542288939818036E-2</c:v>
                </c:pt>
                <c:pt idx="10">
                  <c:v>4.109574664812321E-2</c:v>
                </c:pt>
                <c:pt idx="11">
                  <c:v>4.4657728435648636E-2</c:v>
                </c:pt>
                <c:pt idx="12">
                  <c:v>4.8268942091089784E-2</c:v>
                </c:pt>
                <c:pt idx="13">
                  <c:v>5.1970693611291807E-2</c:v>
                </c:pt>
                <c:pt idx="14">
                  <c:v>5.5805144782539173E-2</c:v>
                </c:pt>
                <c:pt idx="15">
                  <c:v>5.981566102075675E-2</c:v>
                </c:pt>
                <c:pt idx="16">
                  <c:v>6.4047229848984699E-2</c:v>
                </c:pt>
                <c:pt idx="17">
                  <c:v>6.8546941160096964E-2</c:v>
                </c:pt>
                <c:pt idx="18">
                  <c:v>7.3364527250152634E-2</c:v>
                </c:pt>
                <c:pt idx="19">
                  <c:v>7.8552965274480968E-2</c:v>
                </c:pt>
                <c:pt idx="20">
                  <c:v>8.4169148276025396E-2</c:v>
                </c:pt>
                <c:pt idx="21">
                  <c:v>9.027463384336798E-2</c:v>
                </c:pt>
                <c:pt idx="22">
                  <c:v>9.6936482099296839E-2</c:v>
                </c:pt>
                <c:pt idx="23">
                  <c:v>0.10422819737221367</c:v>
                </c:pt>
                <c:pt idx="24">
                  <c:v>0.11223079070354913</c:v>
                </c:pt>
                <c:pt idx="25">
                  <c:v>0.12103398344942562</c:v>
                </c:pt>
                <c:pt idx="26">
                  <c:v>0.13073757576420597</c:v>
                </c:pt>
                <c:pt idx="27">
                  <c:v>0.14145300785206594</c:v>
                </c:pt>
                <c:pt idx="28">
                  <c:v>0.15330514664180228</c:v>
                </c:pt>
                <c:pt idx="29">
                  <c:v>0.16643433616847503</c:v>
                </c:pt>
                <c:pt idx="30">
                  <c:v>0.18099875658572628</c:v>
                </c:pt>
                <c:pt idx="31">
                  <c:v>0.19717714459610569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1E8-4D87-BAFC-1B0E16D841FD}"/>
            </c:ext>
          </c:extLst>
        </c:ser>
        <c:ser>
          <c:idx val="16"/>
          <c:order val="16"/>
          <c:tx>
            <c:strRef>
              <c:f>z!$E$78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z!$F$78:$AK$78</c:f>
              <c:numCache>
                <c:formatCode>0.00</c:formatCode>
                <c:ptCount val="32"/>
                <c:pt idx="0">
                  <c:v>4.8332533364447983E-4</c:v>
                </c:pt>
                <c:pt idx="1">
                  <c:v>4.6853025853499375E-3</c:v>
                </c:pt>
                <c:pt idx="2">
                  <c:v>8.8155400543854512E-3</c:v>
                </c:pt>
                <c:pt idx="3">
                  <c:v>1.2770375030557446E-2</c:v>
                </c:pt>
                <c:pt idx="4">
                  <c:v>1.6535102296155735E-2</c:v>
                </c:pt>
                <c:pt idx="5">
                  <c:v>2.0125766245771004E-2</c:v>
                </c:pt>
                <c:pt idx="6">
                  <c:v>2.3571102726882565E-2</c:v>
                </c:pt>
                <c:pt idx="7">
                  <c:v>2.6905608286886817E-2</c:v>
                </c:pt>
                <c:pt idx="8">
                  <c:v>3.0166480053939182E-2</c:v>
                </c:pt>
                <c:pt idx="9">
                  <c:v>3.3392204190851871E-2</c:v>
                </c:pt>
                <c:pt idx="10">
                  <c:v>3.6621944116577154E-2</c:v>
                </c:pt>
                <c:pt idx="11">
                  <c:v>3.9895354815744355E-2</c:v>
                </c:pt>
                <c:pt idx="12">
                  <c:v>4.325264236215709E-2</c:v>
                </c:pt>
                <c:pt idx="13">
                  <c:v>4.673477563654771E-2</c:v>
                </c:pt>
                <c:pt idx="14">
                  <c:v>5.0383800943132329E-2</c:v>
                </c:pt>
                <c:pt idx="15">
                  <c:v>5.4243233654771572E-2</c:v>
                </c:pt>
                <c:pt idx="16">
                  <c:v>5.8358514434031505E-2</c:v>
                </c:pt>
                <c:pt idx="17">
                  <c:v>6.2777525778434651E-2</c:v>
                </c:pt>
                <c:pt idx="18">
                  <c:v>6.7551170052748688E-2</c:v>
                </c:pt>
                <c:pt idx="19">
                  <c:v>7.2734014068265296E-2</c:v>
                </c:pt>
                <c:pt idx="20">
                  <c:v>7.8385008376535836E-2</c:v>
                </c:pt>
                <c:pt idx="21">
                  <c:v>8.4568292185505101E-2</c:v>
                </c:pt>
                <c:pt idx="22">
                  <c:v>9.1354097472295948E-2</c:v>
                </c:pt>
                <c:pt idx="23">
                  <c:v>9.8819768621583037E-2</c:v>
                </c:pt>
                <c:pt idx="24">
                  <c:v>0.10705091696694424</c:v>
                </c:pt>
                <c:pt idx="25">
                  <c:v>0.11614273301319145</c:v>
                </c:pt>
                <c:pt idx="26">
                  <c:v>0.12620148308761792</c:v>
                </c:pt>
                <c:pt idx="27">
                  <c:v>0.13734622174199629</c:v>
                </c:pt>
                <c:pt idx="28">
                  <c:v>0.14971075665948241</c:v>
                </c:pt>
                <c:pt idx="29">
                  <c:v>0.16344590918260238</c:v>
                </c:pt>
                <c:pt idx="30">
                  <c:v>0.17872212114311559</c:v>
                </c:pt>
                <c:pt idx="31">
                  <c:v>0.19573246764537089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1E8-4D87-BAFC-1B0E16D841FD}"/>
            </c:ext>
          </c:extLst>
        </c:ser>
        <c:ser>
          <c:idx val="17"/>
          <c:order val="17"/>
          <c:tx>
            <c:strRef>
              <c:f>z!$E$79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z!$F$79:$AK$79</c:f>
              <c:numCache>
                <c:formatCode>0.00</c:formatCode>
                <c:ptCount val="32"/>
                <c:pt idx="0">
                  <c:v>5.059358983983131E-4</c:v>
                </c:pt>
                <c:pt idx="1">
                  <c:v>4.3991151964517528E-3</c:v>
                </c:pt>
                <c:pt idx="2">
                  <c:v>8.0414618864876886E-3</c:v>
                </c:pt>
                <c:pt idx="3">
                  <c:v>1.1474559310831189E-2</c:v>
                </c:pt>
                <c:pt idx="4">
                  <c:v>1.471945668141128E-2</c:v>
                </c:pt>
                <c:pt idx="5">
                  <c:v>1.7806854693769303E-2</c:v>
                </c:pt>
                <c:pt idx="6">
                  <c:v>2.0772429833226802E-2</c:v>
                </c:pt>
                <c:pt idx="7">
                  <c:v>2.365413252891635E-2</c:v>
                </c:pt>
                <c:pt idx="8">
                  <c:v>2.6490876734674984E-2</c:v>
                </c:pt>
                <c:pt idx="9">
                  <c:v>2.9321972555340636E-2</c:v>
                </c:pt>
                <c:pt idx="10">
                  <c:v>3.2186965667202472E-2</c:v>
                </c:pt>
                <c:pt idx="11">
                  <c:v>3.5125712082084704E-2</c:v>
                </c:pt>
                <c:pt idx="12">
                  <c:v>3.8178598361859883E-2</c:v>
                </c:pt>
                <c:pt idx="13">
                  <c:v>4.1386859332304127E-2</c:v>
                </c:pt>
                <c:pt idx="14">
                  <c:v>4.479296812598399E-2</c:v>
                </c:pt>
                <c:pt idx="15">
                  <c:v>4.8441086472506001E-2</c:v>
                </c:pt>
                <c:pt idx="16">
                  <c:v>5.2377571158501723E-2</c:v>
                </c:pt>
                <c:pt idx="17">
                  <c:v>5.6651537847063338E-2</c:v>
                </c:pt>
                <c:pt idx="18">
                  <c:v>6.1315487218660536E-2</c:v>
                </c:pt>
                <c:pt idx="19">
                  <c:v>6.6426001383845801E-2</c:v>
                </c:pt>
                <c:pt idx="20">
                  <c:v>7.204452116305049E-2</c:v>
                </c:pt>
                <c:pt idx="21">
                  <c:v>7.8238217371406904E-2</c:v>
                </c:pt>
                <c:pt idx="22">
                  <c:v>8.5080971896189794E-2</c:v>
                </c:pt>
                <c:pt idx="23">
                  <c:v>9.265448727280301E-2</c:v>
                </c:pt>
                <c:pt idx="24">
                  <c:v>0.10104954673173516</c:v>
                </c:pt>
                <c:pt idx="25">
                  <c:v>0.11036745049719521</c:v>
                </c:pt>
                <c:pt idx="26">
                  <c:v>0.12072165852394789</c:v>
                </c:pt>
                <c:pt idx="27">
                  <c:v>0.13223967507647316</c:v>
                </c:pt>
                <c:pt idx="28">
                  <c:v>0.14506521668744554</c:v>
                </c:pt>
                <c:pt idx="29">
                  <c:v>0.15936071231936744</c:v>
                </c:pt>
                <c:pt idx="30">
                  <c:v>0.17531019320093932</c:v>
                </c:pt>
                <c:pt idx="31">
                  <c:v>0.19312264008664037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1E8-4D87-BAFC-1B0E16D841FD}"/>
            </c:ext>
          </c:extLst>
        </c:ser>
        <c:ser>
          <c:idx val="18"/>
          <c:order val="18"/>
          <c:tx>
            <c:strRef>
              <c:f>z!$E$80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z!$F$80:$AK$80</c:f>
              <c:numCache>
                <c:formatCode>0.00</c:formatCode>
                <c:ptCount val="32"/>
                <c:pt idx="0">
                  <c:v>5.3171448932687326E-4</c:v>
                </c:pt>
                <c:pt idx="1">
                  <c:v>4.1877738514717322E-3</c:v>
                </c:pt>
                <c:pt idx="2">
                  <c:v>7.3916141275498504E-3</c:v>
                </c:pt>
                <c:pt idx="3">
                  <c:v>1.0331042143540969E-2</c:v>
                </c:pt>
                <c:pt idx="4">
                  <c:v>1.3066783288828709E-2</c:v>
                </c:pt>
                <c:pt idx="5">
                  <c:v>1.5647105113369975E-2</c:v>
                </c:pt>
                <c:pt idx="6">
                  <c:v>1.8116822438907221E-2</c:v>
                </c:pt>
                <c:pt idx="7">
                  <c:v>2.0519060900170416E-2</c:v>
                </c:pt>
                <c:pt idx="8">
                  <c:v>2.2895841786274573E-2</c:v>
                </c:pt>
                <c:pt idx="9">
                  <c:v>2.5288450658189632E-2</c:v>
                </c:pt>
                <c:pt idx="10">
                  <c:v>2.7737788750092918E-2</c:v>
                </c:pt>
                <c:pt idx="11">
                  <c:v>3.0284750377251868E-2</c:v>
                </c:pt>
                <c:pt idx="12">
                  <c:v>3.2970634406881416E-2</c:v>
                </c:pt>
                <c:pt idx="13">
                  <c:v>3.5837591021214976E-2</c:v>
                </c:pt>
                <c:pt idx="14">
                  <c:v>3.892910524538884E-2</c:v>
                </c:pt>
                <c:pt idx="15">
                  <c:v>4.2290520563037504E-2</c:v>
                </c:pt>
                <c:pt idx="16">
                  <c:v>4.5969608031715126E-2</c:v>
                </c:pt>
                <c:pt idx="17">
                  <c:v>5.0017188290230052E-2</c:v>
                </c:pt>
                <c:pt idx="18">
                  <c:v>5.4487815807746642E-2</c:v>
                </c:pt>
                <c:pt idx="19">
                  <c:v>5.9440536682275891E-2</c:v>
                </c:pt>
                <c:pt idx="20">
                  <c:v>6.4939733391611298E-2</c:v>
                </c:pt>
                <c:pt idx="21">
                  <c:v>7.1056072225683664E-2</c:v>
                </c:pt>
                <c:pt idx="22">
                  <c:v>7.7867571754097753E-2</c:v>
                </c:pt>
                <c:pt idx="23">
                  <c:v>8.5460813742388453E-2</c:v>
                </c:pt>
                <c:pt idx="24">
                  <c:v>9.3932321495460158E-2</c:v>
                </c:pt>
                <c:pt idx="25">
                  <c:v>0.1033901348035382</c:v>
                </c:pt>
                <c:pt idx="26">
                  <c:v>0.11395561563687373</c:v>
                </c:pt>
                <c:pt idx="27">
                  <c:v>0.12576552461163182</c:v>
                </c:pt>
                <c:pt idx="28">
                  <c:v>0.13897441525023702</c:v>
                </c:pt>
                <c:pt idx="29">
                  <c:v>0.15375740135548099</c:v>
                </c:pt>
                <c:pt idx="30">
                  <c:v>0.17031336272932407</c:v>
                </c:pt>
                <c:pt idx="31">
                  <c:v>0.18886866626832699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1E8-4D87-BAFC-1B0E16D841FD}"/>
            </c:ext>
          </c:extLst>
        </c:ser>
        <c:ser>
          <c:idx val="19"/>
          <c:order val="19"/>
          <c:tx>
            <c:strRef>
              <c:f>z!$E$81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z!$F$81:$AK$81</c:f>
              <c:numCache>
                <c:formatCode>0.00</c:formatCode>
                <c:ptCount val="32"/>
                <c:pt idx="0">
                  <c:v>5.5804599674580402E-4</c:v>
                </c:pt>
                <c:pt idx="1">
                  <c:v>4.0427483452010193E-3</c:v>
                </c:pt>
                <c:pt idx="2">
                  <c:v>6.8572643188158366E-3</c:v>
                </c:pt>
                <c:pt idx="3">
                  <c:v>9.3307884089233184E-3</c:v>
                </c:pt>
                <c:pt idx="4">
                  <c:v>1.1566471656010435E-2</c:v>
                </c:pt>
                <c:pt idx="5">
                  <c:v>1.363267470422258E-2</c:v>
                </c:pt>
                <c:pt idx="6">
                  <c:v>1.5585418296382159E-2</c:v>
                </c:pt>
                <c:pt idx="7">
                  <c:v>1.7474696939911993E-2</c:v>
                </c:pt>
                <c:pt idx="8">
                  <c:v>1.9347048124007671E-2</c:v>
                </c:pt>
                <c:pt idx="9">
                  <c:v>2.1246924333473416E-2</c:v>
                </c:pt>
                <c:pt idx="10">
                  <c:v>2.3217605587877443E-2</c:v>
                </c:pt>
                <c:pt idx="11">
                  <c:v>2.5301915801856367E-2</c:v>
                </c:pt>
                <c:pt idx="12">
                  <c:v>2.7542852991668809E-2</c:v>
                </c:pt>
                <c:pt idx="13">
                  <c:v>2.9984186489029341E-2</c:v>
                </c:pt>
                <c:pt idx="14">
                  <c:v>3.2671051134691709E-2</c:v>
                </c:pt>
                <c:pt idx="15">
                  <c:v>3.5650558472655192E-2</c:v>
                </c:pt>
                <c:pt idx="16">
                  <c:v>3.8972440736362302E-2</c:v>
                </c:pt>
                <c:pt idx="17">
                  <c:v>4.2689741918344737E-2</c:v>
                </c:pt>
                <c:pt idx="18">
                  <c:v>4.6859570168367171E-2</c:v>
                </c:pt>
                <c:pt idx="19">
                  <c:v>5.1543926619546099E-2</c:v>
                </c:pt>
                <c:pt idx="20">
                  <c:v>5.6810627228065513E-2</c:v>
                </c:pt>
                <c:pt idx="21">
                  <c:v>6.2734336288894355E-2</c:v>
                </c:pt>
                <c:pt idx="22">
                  <c:v>6.9397732884945995E-2</c:v>
                </c:pt>
                <c:pt idx="23">
                  <c:v>7.6892834758535145E-2</c:v>
                </c:pt>
                <c:pt idx="24">
                  <c:v>8.5322507955565285E-2</c:v>
                </c:pt>
                <c:pt idx="25">
                  <c:v>9.4802195260479394E-2</c:v>
                </c:pt>
                <c:pt idx="26">
                  <c:v>0.1054619020144365</c:v>
                </c:pt>
                <c:pt idx="27">
                  <c:v>0.1174484845529733</c:v>
                </c:pt>
                <c:pt idx="28">
                  <c:v>0.13092829444394383</c:v>
                </c:pt>
                <c:pt idx="29">
                  <c:v>0.14609024119249803</c:v>
                </c:pt>
                <c:pt idx="30">
                  <c:v>0.1631493473879253</c:v>
                </c:pt>
                <c:pt idx="31">
                  <c:v>0.18235088380880171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1E8-4D87-BAFC-1B0E16D841FD}"/>
            </c:ext>
          </c:extLst>
        </c:ser>
        <c:ser>
          <c:idx val="20"/>
          <c:order val="20"/>
          <c:tx>
            <c:strRef>
              <c:f>z!$E$82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z!$F$82:$AK$82</c:f>
              <c:numCache>
                <c:formatCode>0.00</c:formatCode>
                <c:ptCount val="32"/>
                <c:pt idx="0">
                  <c:v>5.8263789537438271E-4</c:v>
                </c:pt>
                <c:pt idx="1">
                  <c:v>3.9555740435348596E-3</c:v>
                </c:pt>
                <c:pt idx="2">
                  <c:v>6.4302551974204647E-3</c:v>
                </c:pt>
                <c:pt idx="3">
                  <c:v>8.4660363247612835E-3</c:v>
                </c:pt>
                <c:pt idx="4">
                  <c:v>1.0209695137652908E-2</c:v>
                </c:pt>
                <c:pt idx="5">
                  <c:v>1.1751624013123241E-2</c:v>
                </c:pt>
                <c:pt idx="6">
                  <c:v>1.3160868171713247E-2</c:v>
                </c:pt>
                <c:pt idx="7">
                  <c:v>1.4495884013143723E-2</c:v>
                </c:pt>
                <c:pt idx="8">
                  <c:v>1.5809106644670834E-2</c:v>
                </c:pt>
                <c:pt idx="9">
                  <c:v>1.7149358190637898E-2</c:v>
                </c:pt>
                <c:pt idx="10">
                  <c:v>1.8563353195721888E-2</c:v>
                </c:pt>
                <c:pt idx="11">
                  <c:v>2.0096780797951297E-2</c:v>
                </c:pt>
                <c:pt idx="12">
                  <c:v>2.1795175797034716E-2</c:v>
                </c:pt>
                <c:pt idx="13">
                  <c:v>2.3704684586567382E-2</c:v>
                </c:pt>
                <c:pt idx="14">
                  <c:v>2.587278533927595E-2</c:v>
                </c:pt>
                <c:pt idx="15">
                  <c:v>2.8348999922656049E-2</c:v>
                </c:pt>
                <c:pt idx="16">
                  <c:v>3.1185624352003671E-2</c:v>
                </c:pt>
                <c:pt idx="17">
                  <c:v>3.4438499469713335E-2</c:v>
                </c:pt>
                <c:pt idx="18">
                  <c:v>3.8167841430514216E-2</c:v>
                </c:pt>
                <c:pt idx="19">
                  <c:v>4.2439151235473815E-2</c:v>
                </c:pt>
                <c:pt idx="20">
                  <c:v>4.7324223444222824E-2</c:v>
                </c:pt>
                <c:pt idx="21">
                  <c:v>5.2902275976318691E-2</c:v>
                </c:pt>
                <c:pt idx="22">
                  <c:v>5.9261225512585725E-2</c:v>
                </c:pt>
                <c:pt idx="23">
                  <c:v>6.6499136403219694E-2</c:v>
                </c:pt>
                <c:pt idx="24">
                  <c:v>7.4725875219172622E-2</c:v>
                </c:pt>
                <c:pt idx="25">
                  <c:v>8.4065008253864093E-2</c:v>
                </c:pt>
                <c:pt idx="26">
                  <c:v>9.4655985529712439E-2</c:v>
                </c:pt>
                <c:pt idx="27">
                  <c:v>0.10665666239240146</c:v>
                </c:pt>
                <c:pt idx="28">
                  <c:v>0.12024621876660646</c:v>
                </c:pt>
                <c:pt idx="29">
                  <c:v>0.13562854696269611</c:v>
                </c:pt>
                <c:pt idx="30">
                  <c:v>0.15303619183848483</c:v>
                </c:pt>
                <c:pt idx="31">
                  <c:v>0.17273494261416111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1E8-4D87-BAFC-1B0E16D84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dz/dt * 100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dz/dp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z!$E$85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z!$F$85:$AK$85</c:f>
              <c:numCache>
                <c:formatCode>0.00</c:formatCode>
                <c:ptCount val="32"/>
                <c:pt idx="0">
                  <c:v>-2.7682500857673098</c:v>
                </c:pt>
                <c:pt idx="1">
                  <c:v>-2.5287999607526146</c:v>
                </c:pt>
                <c:pt idx="2">
                  <c:v>-2.1837390695345071</c:v>
                </c:pt>
                <c:pt idx="3">
                  <c:v>-1.8592077613122093</c:v>
                </c:pt>
                <c:pt idx="4">
                  <c:v>-1.5727035950197088</c:v>
                </c:pt>
                <c:pt idx="5">
                  <c:v>-1.3392909773868311</c:v>
                </c:pt>
                <c:pt idx="6">
                  <c:v>-1.1781615076966734</c:v>
                </c:pt>
                <c:pt idx="7">
                  <c:v>-1.1134960914194192</c:v>
                </c:pt>
                <c:pt idx="8">
                  <c:v>-1.1729474220201208</c:v>
                </c:pt>
                <c:pt idx="9">
                  <c:v>-1.3831912922368517</c:v>
                </c:pt>
                <c:pt idx="10">
                  <c:v>-1.7609787575267877</c:v>
                </c:pt>
                <c:pt idx="11">
                  <c:v>-2.298173518937574</c:v>
                </c:pt>
                <c:pt idx="12">
                  <c:v>-2.9413291973046096</c:v>
                </c:pt>
                <c:pt idx="13">
                  <c:v>-3.5720128923710792</c:v>
                </c:pt>
                <c:pt idx="14">
                  <c:v>-4.0035272506255826</c:v>
                </c:pt>
                <c:pt idx="15">
                  <c:v>-4.0175706130785027</c:v>
                </c:pt>
                <c:pt idx="16">
                  <c:v>-3.4558305330656403</c:v>
                </c:pt>
                <c:pt idx="17">
                  <c:v>-2.3396018618904169</c:v>
                </c:pt>
                <c:pt idx="18">
                  <c:v>-0.92817198728001316</c:v>
                </c:pt>
                <c:pt idx="19">
                  <c:v>0.3812006704162485</c:v>
                </c:pt>
                <c:pt idx="20">
                  <c:v>1.2842979687488487</c:v>
                </c:pt>
                <c:pt idx="21">
                  <c:v>1.735837221209513</c:v>
                </c:pt>
                <c:pt idx="22">
                  <c:v>1.8915158606780391</c:v>
                </c:pt>
                <c:pt idx="23">
                  <c:v>1.9248455344622606</c:v>
                </c:pt>
                <c:pt idx="24">
                  <c:v>1.9268361404445322</c:v>
                </c:pt>
                <c:pt idx="25">
                  <c:v>1.9241697724969864</c:v>
                </c:pt>
                <c:pt idx="26">
                  <c:v>1.9212241884813963</c:v>
                </c:pt>
                <c:pt idx="27">
                  <c:v>1.9183768413510993</c:v>
                </c:pt>
                <c:pt idx="28">
                  <c:v>1.9156362788386172</c:v>
                </c:pt>
                <c:pt idx="29">
                  <c:v>1.9129952137875161</c:v>
                </c:pt>
                <c:pt idx="30">
                  <c:v>1.9104467998198871</c:v>
                </c:pt>
                <c:pt idx="31">
                  <c:v>1.9079848674663502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3F-454D-9965-B3EC0196B4B1}"/>
            </c:ext>
          </c:extLst>
        </c:ser>
        <c:ser>
          <c:idx val="1"/>
          <c:order val="1"/>
          <c:tx>
            <c:strRef>
              <c:f>z!$E$86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z!$F$86:$AK$86</c:f>
              <c:numCache>
                <c:formatCode>0.00</c:formatCode>
                <c:ptCount val="32"/>
                <c:pt idx="0">
                  <c:v>-2.464352917512791</c:v>
                </c:pt>
                <c:pt idx="1">
                  <c:v>-2.2565159150211844</c:v>
                </c:pt>
                <c:pt idx="2">
                  <c:v>-1.9399298721800573</c:v>
                </c:pt>
                <c:pt idx="3">
                  <c:v>-1.6380261956461251</c:v>
                </c:pt>
                <c:pt idx="4">
                  <c:v>-1.3629850636809326</c:v>
                </c:pt>
                <c:pt idx="5">
                  <c:v>-1.1210233059844033</c:v>
                </c:pt>
                <c:pt idx="6">
                  <c:v>-0.91881721024700269</c:v>
                </c:pt>
                <c:pt idx="7">
                  <c:v>-0.7648979769281361</c:v>
                </c:pt>
                <c:pt idx="8">
                  <c:v>-0.66988190210004461</c:v>
                </c:pt>
                <c:pt idx="9">
                  <c:v>-0.64602714952455287</c:v>
                </c:pt>
                <c:pt idx="10">
                  <c:v>-0.70598228491869364</c:v>
                </c:pt>
                <c:pt idx="11">
                  <c:v>-0.86034476927898673</c:v>
                </c:pt>
                <c:pt idx="12">
                  <c:v>-1.113565982625575</c:v>
                </c:pt>
                <c:pt idx="13">
                  <c:v>-1.4579317170970718</c:v>
                </c:pt>
                <c:pt idx="14">
                  <c:v>-1.8660597577546678</c:v>
                </c:pt>
                <c:pt idx="15">
                  <c:v>-2.2838506759148558</c:v>
                </c:pt>
                <c:pt idx="16">
                  <c:v>-2.6280632468811405</c:v>
                </c:pt>
                <c:pt idx="17">
                  <c:v>-2.794719170629012</c:v>
                </c:pt>
                <c:pt idx="18">
                  <c:v>-2.6839471829598338</c:v>
                </c:pt>
                <c:pt idx="19">
                  <c:v>-2.240285659942387</c:v>
                </c:pt>
                <c:pt idx="20">
                  <c:v>-1.4938710546741341</c:v>
                </c:pt>
                <c:pt idx="21">
                  <c:v>-0.5744445910882412</c:v>
                </c:pt>
                <c:pt idx="22">
                  <c:v>0.32660204498324852</c:v>
                </c:pt>
                <c:pt idx="23">
                  <c:v>1.0385642666743689</c:v>
                </c:pt>
                <c:pt idx="24">
                  <c:v>1.4871927927773143</c:v>
                </c:pt>
                <c:pt idx="25">
                  <c:v>1.7070687962517095</c:v>
                </c:pt>
                <c:pt idx="26">
                  <c:v>1.7874837645270869</c:v>
                </c:pt>
                <c:pt idx="27">
                  <c:v>1.8074194086559192</c:v>
                </c:pt>
                <c:pt idx="28">
                  <c:v>1.8090546967552967</c:v>
                </c:pt>
                <c:pt idx="29">
                  <c:v>1.8069987858271297</c:v>
                </c:pt>
                <c:pt idx="30">
                  <c:v>1.8045272925459876</c:v>
                </c:pt>
                <c:pt idx="31">
                  <c:v>1.8020993305345456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3F-454D-9965-B3EC0196B4B1}"/>
            </c:ext>
          </c:extLst>
        </c:ser>
        <c:ser>
          <c:idx val="2"/>
          <c:order val="2"/>
          <c:tx>
            <c:strRef>
              <c:f>z!$E$87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z!$F$87:$AK$87</c:f>
              <c:numCache>
                <c:formatCode>0.00</c:formatCode>
                <c:ptCount val="32"/>
                <c:pt idx="0">
                  <c:v>-2.2040930266331582</c:v>
                </c:pt>
                <c:pt idx="1">
                  <c:v>-2.0165390415061157</c:v>
                </c:pt>
                <c:pt idx="2">
                  <c:v>-1.7244821913786623</c:v>
                </c:pt>
                <c:pt idx="3">
                  <c:v>-1.4443177046064015</c:v>
                </c:pt>
                <c:pt idx="4">
                  <c:v>-1.1858227279060163</c:v>
                </c:pt>
                <c:pt idx="5">
                  <c:v>-0.95187413591490966</c:v>
                </c:pt>
                <c:pt idx="6">
                  <c:v>-0.74444578739618628</c:v>
                </c:pt>
                <c:pt idx="7">
                  <c:v>-0.56595325196195923</c:v>
                </c:pt>
                <c:pt idx="8">
                  <c:v>-0.41967340904891515</c:v>
                </c:pt>
                <c:pt idx="9">
                  <c:v>-0.30985144432671419</c:v>
                </c:pt>
                <c:pt idx="10">
                  <c:v>-0.24161604292305405</c:v>
                </c:pt>
                <c:pt idx="11">
                  <c:v>-0.22068371309358348</c:v>
                </c:pt>
                <c:pt idx="12">
                  <c:v>-0.25276717586009134</c:v>
                </c:pt>
                <c:pt idx="13">
                  <c:v>-0.34256440910596098</c:v>
                </c:pt>
                <c:pt idx="14">
                  <c:v>-0.4921993136119962</c:v>
                </c:pt>
                <c:pt idx="15">
                  <c:v>-0.69904140592713659</c:v>
                </c:pt>
                <c:pt idx="16">
                  <c:v>-0.95299700689222</c:v>
                </c:pt>
                <c:pt idx="17">
                  <c:v>-1.2336871153950657</c:v>
                </c:pt>
                <c:pt idx="18">
                  <c:v>-1.5084199315962277</c:v>
                </c:pt>
                <c:pt idx="19">
                  <c:v>-1.7324307280752738</c:v>
                </c:pt>
                <c:pt idx="20">
                  <c:v>-1.8531964950507795</c:v>
                </c:pt>
                <c:pt idx="21">
                  <c:v>-1.8201953145435823</c:v>
                </c:pt>
                <c:pt idx="22">
                  <c:v>-1.5996676280505273</c:v>
                </c:pt>
                <c:pt idx="23">
                  <c:v>-1.1906422383212156</c:v>
                </c:pt>
                <c:pt idx="24">
                  <c:v>-0.63493377393197825</c:v>
                </c:pt>
                <c:pt idx="25">
                  <c:v>-1.2891343977861069E-2</c:v>
                </c:pt>
                <c:pt idx="26">
                  <c:v>0.57848955989370232</c:v>
                </c:pt>
                <c:pt idx="27">
                  <c:v>1.0581008104249001</c:v>
                </c:pt>
                <c:pt idx="28">
                  <c:v>1.3874423164417227</c:v>
                </c:pt>
                <c:pt idx="29">
                  <c:v>1.576043645102887</c:v>
                </c:pt>
                <c:pt idx="30">
                  <c:v>1.6640174754056769</c:v>
                </c:pt>
                <c:pt idx="31">
                  <c:v>1.6960533231391572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3F-454D-9965-B3EC0196B4B1}"/>
            </c:ext>
          </c:extLst>
        </c:ser>
        <c:ser>
          <c:idx val="3"/>
          <c:order val="3"/>
          <c:tx>
            <c:strRef>
              <c:f>z!$E$88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z!$F$88:$AK$88</c:f>
              <c:numCache>
                <c:formatCode>0.00</c:formatCode>
                <c:ptCount val="32"/>
                <c:pt idx="0">
                  <c:v>-1.9810266984865432</c:v>
                </c:pt>
                <c:pt idx="1">
                  <c:v>-1.8037752444233224</c:v>
                </c:pt>
                <c:pt idx="2">
                  <c:v>-1.5324182174158985</c:v>
                </c:pt>
                <c:pt idx="3">
                  <c:v>-1.2718474296735671</c:v>
                </c:pt>
                <c:pt idx="4">
                  <c:v>-1.0302274199502914</c:v>
                </c:pt>
                <c:pt idx="5">
                  <c:v>-0.80905121692453896</c:v>
                </c:pt>
                <c:pt idx="6">
                  <c:v>-0.60852317151915969</c:v>
                </c:pt>
                <c:pt idx="7">
                  <c:v>-0.42875580797629986</c:v>
                </c:pt>
                <c:pt idx="8">
                  <c:v>-0.2701575835051262</c:v>
                </c:pt>
                <c:pt idx="9">
                  <c:v>-0.13358285904097045</c:v>
                </c:pt>
                <c:pt idx="10">
                  <c:v>-2.0388055917974768E-2</c:v>
                </c:pt>
                <c:pt idx="11">
                  <c:v>6.7566754923253924E-2</c:v>
                </c:pt>
                <c:pt idx="12">
                  <c:v>0.12796828119610026</c:v>
                </c:pt>
                <c:pt idx="13">
                  <c:v>0.15816847859562166</c:v>
                </c:pt>
                <c:pt idx="14">
                  <c:v>0.15539970097289135</c:v>
                </c:pt>
                <c:pt idx="15">
                  <c:v>0.117124020770909</c:v>
                </c:pt>
                <c:pt idx="16">
                  <c:v>4.155719971810079E-2</c:v>
                </c:pt>
                <c:pt idx="17">
                  <c:v>-7.1600376273517341E-2</c:v>
                </c:pt>
                <c:pt idx="18">
                  <c:v>-0.22022101002439065</c:v>
                </c:pt>
                <c:pt idx="19">
                  <c:v>-0.3986473124284462</c:v>
                </c:pt>
                <c:pt idx="20">
                  <c:v>-0.59657656322653629</c:v>
                </c:pt>
                <c:pt idx="21">
                  <c:v>-0.79820922612716672</c:v>
                </c:pt>
                <c:pt idx="22">
                  <c:v>-0.98208469482830019</c:v>
                </c:pt>
                <c:pt idx="23">
                  <c:v>-1.1221310743569912</c:v>
                </c:pt>
                <c:pt idx="24">
                  <c:v>-1.190419632380868</c:v>
                </c:pt>
                <c:pt idx="25">
                  <c:v>-1.1618167778026933</c:v>
                </c:pt>
                <c:pt idx="26">
                  <c:v>-1.0200837737139867</c:v>
                </c:pt>
                <c:pt idx="27">
                  <c:v>-0.76405344090035854</c:v>
                </c:pt>
                <c:pt idx="28">
                  <c:v>-0.41164653872161061</c:v>
                </c:pt>
                <c:pt idx="29">
                  <c:v>7.1896995357256799E-4</c:v>
                </c:pt>
                <c:pt idx="30">
                  <c:v>0.42470939655925299</c:v>
                </c:pt>
                <c:pt idx="31">
                  <c:v>0.81160760960097278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33F-454D-9965-B3EC0196B4B1}"/>
            </c:ext>
          </c:extLst>
        </c:ser>
        <c:ser>
          <c:idx val="4"/>
          <c:order val="4"/>
          <c:tx>
            <c:strRef>
              <c:f>z!$E$89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z!$F$89:$AK$89</c:f>
              <c:numCache>
                <c:formatCode>0.00</c:formatCode>
                <c:ptCount val="32"/>
                <c:pt idx="0">
                  <c:v>-1.7898282614547956</c:v>
                </c:pt>
                <c:pt idx="1">
                  <c:v>-1.6143305736859848</c:v>
                </c:pt>
                <c:pt idx="2">
                  <c:v>-1.3601514133421144</c:v>
                </c:pt>
                <c:pt idx="3">
                  <c:v>-1.1167548265333949</c:v>
                </c:pt>
                <c:pt idx="4">
                  <c:v>-0.8907518128919989</c:v>
                </c:pt>
                <c:pt idx="5">
                  <c:v>-0.68289824228129348</c:v>
                </c:pt>
                <c:pt idx="6">
                  <c:v>-0.49269387580430646</c:v>
                </c:pt>
                <c:pt idx="7">
                  <c:v>-0.31939630436239597</c:v>
                </c:pt>
                <c:pt idx="8">
                  <c:v>-0.16234509828128019</c:v>
                </c:pt>
                <c:pt idx="9">
                  <c:v>-2.1087635874161847E-2</c:v>
                </c:pt>
                <c:pt idx="10">
                  <c:v>0.1045658629761359</c:v>
                </c:pt>
                <c:pt idx="11">
                  <c:v>0.21451682960083041</c:v>
                </c:pt>
                <c:pt idx="12">
                  <c:v>0.30836804643885607</c:v>
                </c:pt>
                <c:pt idx="13">
                  <c:v>0.38542489301129912</c:v>
                </c:pt>
                <c:pt idx="14">
                  <c:v>0.4447099557158829</c:v>
                </c:pt>
                <c:pt idx="15">
                  <c:v>0.48499654599742925</c:v>
                </c:pt>
                <c:pt idx="16">
                  <c:v>0.50486977164254654</c:v>
                </c:pt>
                <c:pt idx="17">
                  <c:v>0.50282650827848663</c:v>
                </c:pt>
                <c:pt idx="18">
                  <c:v>0.47742762349534118</c:v>
                </c:pt>
                <c:pt idx="19">
                  <c:v>0.42751633898885366</c:v>
                </c:pt>
                <c:pt idx="20">
                  <c:v>0.35251438816885639</c:v>
                </c:pt>
                <c:pt idx="21">
                  <c:v>0.25280083072121151</c:v>
                </c:pt>
                <c:pt idx="22">
                  <c:v>0.13016485408967604</c:v>
                </c:pt>
                <c:pt idx="23">
                  <c:v>-1.1698420743222471E-2</c:v>
                </c:pt>
                <c:pt idx="24">
                  <c:v>-0.16671212994312512</c:v>
                </c:pt>
                <c:pt idx="25">
                  <c:v>-0.326064740323595</c:v>
                </c:pt>
                <c:pt idx="26">
                  <c:v>-0.47812385715495509</c:v>
                </c:pt>
                <c:pt idx="27">
                  <c:v>-0.60878880648207456</c:v>
                </c:pt>
                <c:pt idx="28">
                  <c:v>-0.70244788038409389</c:v>
                </c:pt>
                <c:pt idx="29">
                  <c:v>-0.74363949846945054</c:v>
                </c:pt>
                <c:pt idx="30">
                  <c:v>-0.71936814006412497</c:v>
                </c:pt>
                <c:pt idx="31">
                  <c:v>-0.62179605055279197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33F-454D-9965-B3EC0196B4B1}"/>
            </c:ext>
          </c:extLst>
        </c:ser>
        <c:ser>
          <c:idx val="5"/>
          <c:order val="5"/>
          <c:tx>
            <c:strRef>
              <c:f>z!$E$90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z!$F$90:$AK$90</c:f>
              <c:numCache>
                <c:formatCode>0.00</c:formatCode>
                <c:ptCount val="32"/>
                <c:pt idx="0">
                  <c:v>-1.6259794219875001</c:v>
                </c:pt>
                <c:pt idx="1">
                  <c:v>-1.4451419551764211</c:v>
                </c:pt>
                <c:pt idx="2">
                  <c:v>-1.2049840025818437</c:v>
                </c:pt>
                <c:pt idx="3">
                  <c:v>-0.97641301233242217</c:v>
                </c:pt>
                <c:pt idx="4">
                  <c:v>-0.7643254298750346</c:v>
                </c:pt>
                <c:pt idx="5">
                  <c:v>-0.56891449475404698</c:v>
                </c:pt>
                <c:pt idx="6">
                  <c:v>-0.3893409848976237</c:v>
                </c:pt>
                <c:pt idx="7">
                  <c:v>-0.22453726966520371</c:v>
                </c:pt>
                <c:pt idx="8">
                  <c:v>-7.3459809006859444E-2</c:v>
                </c:pt>
                <c:pt idx="9">
                  <c:v>6.4816509415255297E-2</c:v>
                </c:pt>
                <c:pt idx="10">
                  <c:v>0.19105979341405011</c:v>
                </c:pt>
                <c:pt idx="11">
                  <c:v>0.3058644910280961</c:v>
                </c:pt>
                <c:pt idx="12">
                  <c:v>0.40964370426110897</c:v>
                </c:pt>
                <c:pt idx="13">
                  <c:v>0.50262515558507914</c:v>
                </c:pt>
                <c:pt idx="14">
                  <c:v>0.58484876441555755</c:v>
                </c:pt>
                <c:pt idx="15">
                  <c:v>0.65616546638280759</c:v>
                </c:pt>
                <c:pt idx="16">
                  <c:v>0.716237978454215</c:v>
                </c:pt>
                <c:pt idx="17">
                  <c:v>0.7645450754223404</c:v>
                </c:pt>
                <c:pt idx="18">
                  <c:v>0.80039176765467346</c:v>
                </c:pt>
                <c:pt idx="19">
                  <c:v>0.82292861817823137</c:v>
                </c:pt>
                <c:pt idx="20">
                  <c:v>0.8311843013986131</c:v>
                </c:pt>
                <c:pt idx="21">
                  <c:v>0.82411631199930113</c:v>
                </c:pt>
                <c:pt idx="22">
                  <c:v>0.80068532787525015</c:v>
                </c:pt>
                <c:pt idx="23">
                  <c:v>0.75995886575697114</c:v>
                </c:pt>
                <c:pt idx="24">
                  <c:v>0.70124917887826044</c:v>
                </c:pt>
                <c:pt idx="25">
                  <c:v>0.62428835338801392</c:v>
                </c:pt>
                <c:pt idx="26">
                  <c:v>0.52943969828911364</c:v>
                </c:pt>
                <c:pt idx="27">
                  <c:v>0.41793822541213999</c:v>
                </c:pt>
                <c:pt idx="28">
                  <c:v>0.29214388446385797</c:v>
                </c:pt>
                <c:pt idx="29">
                  <c:v>0.15577930310595178</c:v>
                </c:pt>
                <c:pt idx="30">
                  <c:v>1.4109969013187396E-2</c:v>
                </c:pt>
                <c:pt idx="31">
                  <c:v>-0.12598875338998283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33F-454D-9965-B3EC0196B4B1}"/>
            </c:ext>
          </c:extLst>
        </c:ser>
        <c:ser>
          <c:idx val="6"/>
          <c:order val="6"/>
          <c:tx>
            <c:strRef>
              <c:f>z!$E$91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z!$F$91:$AK$91</c:f>
              <c:numCache>
                <c:formatCode>0.00</c:formatCode>
                <c:ptCount val="32"/>
                <c:pt idx="0">
                  <c:v>-1.4855685915304839</c:v>
                </c:pt>
                <c:pt idx="1">
                  <c:v>-1.2937418140257506</c:v>
                </c:pt>
                <c:pt idx="2">
                  <c:v>-1.0648219674380677</c:v>
                </c:pt>
                <c:pt idx="3">
                  <c:v>-0.84891220647809185</c:v>
                </c:pt>
                <c:pt idx="4">
                  <c:v>-0.64900049238980628</c:v>
                </c:pt>
                <c:pt idx="5">
                  <c:v>-0.46473090474563605</c:v>
                </c:pt>
                <c:pt idx="6">
                  <c:v>-0.29503439118228059</c:v>
                </c:pt>
                <c:pt idx="7">
                  <c:v>-0.13870040158070474</c:v>
                </c:pt>
                <c:pt idx="8">
                  <c:v>5.4478999556017982E-3</c:v>
                </c:pt>
                <c:pt idx="9">
                  <c:v>0.13849189345771507</c:v>
                </c:pt>
                <c:pt idx="10">
                  <c:v>0.26139557115278933</c:v>
                </c:pt>
                <c:pt idx="11">
                  <c:v>0.37499905892079965</c:v>
                </c:pt>
                <c:pt idx="12">
                  <c:v>0.48001818515053252</c:v>
                </c:pt>
                <c:pt idx="13">
                  <c:v>0.5770460642540165</c:v>
                </c:pt>
                <c:pt idx="14">
                  <c:v>0.66655485331246211</c:v>
                </c:pt>
                <c:pt idx="15">
                  <c:v>0.74889683364776083</c:v>
                </c:pt>
                <c:pt idx="16">
                  <c:v>0.82430447184478339</c:v>
                </c:pt>
                <c:pt idx="17">
                  <c:v>0.89288940881449008</c:v>
                </c:pt>
                <c:pt idx="18">
                  <c:v>0.954640535438811</c:v>
                </c:pt>
                <c:pt idx="19">
                  <c:v>1.0094215002220963</c:v>
                </c:pt>
                <c:pt idx="20">
                  <c:v>1.0569681912842022</c:v>
                </c:pt>
                <c:pt idx="21">
                  <c:v>1.0968869616556631</c:v>
                </c:pt>
                <c:pt idx="22">
                  <c:v>1.1286546345568027</c:v>
                </c:pt>
                <c:pt idx="23">
                  <c:v>1.1516216385110134</c:v>
                </c:pt>
                <c:pt idx="24">
                  <c:v>1.1650199766410907</c:v>
                </c:pt>
                <c:pt idx="25">
                  <c:v>1.1679781144735557</c:v>
                </c:pt>
                <c:pt idx="26">
                  <c:v>1.1595452438828424</c:v>
                </c:pt>
                <c:pt idx="27">
                  <c:v>1.1387276932262047</c:v>
                </c:pt>
                <c:pt idx="28">
                  <c:v>1.1045404226206479</c:v>
                </c:pt>
                <c:pt idx="29">
                  <c:v>1.0560764523015465</c:v>
                </c:pt>
                <c:pt idx="30">
                  <c:v>0.99259656872741076</c:v>
                </c:pt>
                <c:pt idx="31">
                  <c:v>0.91364055313736259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33F-454D-9965-B3EC0196B4B1}"/>
            </c:ext>
          </c:extLst>
        </c:ser>
        <c:ser>
          <c:idx val="7"/>
          <c:order val="7"/>
          <c:tx>
            <c:strRef>
              <c:f>z!$E$92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z!$F$92:$AK$92</c:f>
              <c:numCache>
                <c:formatCode>0.00</c:formatCode>
                <c:ptCount val="32"/>
                <c:pt idx="0">
                  <c:v>-1.3651565462036164</c:v>
                </c:pt>
                <c:pt idx="1">
                  <c:v>-1.1581009647076979</c:v>
                </c:pt>
                <c:pt idx="2">
                  <c:v>-0.93800026502499634</c:v>
                </c:pt>
                <c:pt idx="3">
                  <c:v>-0.73280180927115524</c:v>
                </c:pt>
                <c:pt idx="4">
                  <c:v>-0.54342604504653558</c:v>
                </c:pt>
                <c:pt idx="5">
                  <c:v>-0.36893561909501216</c:v>
                </c:pt>
                <c:pt idx="6">
                  <c:v>-0.20805075105045923</c:v>
                </c:pt>
                <c:pt idx="7">
                  <c:v>-5.9471827915658082E-2</c:v>
                </c:pt>
                <c:pt idx="8">
                  <c:v>7.8027357590659818E-2</c:v>
                </c:pt>
                <c:pt idx="9">
                  <c:v>0.20557147470845472</c:v>
                </c:pt>
                <c:pt idx="10">
                  <c:v>0.32417790839400773</c:v>
                </c:pt>
                <c:pt idx="11">
                  <c:v>0.4347593380371606</c:v>
                </c:pt>
                <c:pt idx="12">
                  <c:v>0.53812926184559906</c:v>
                </c:pt>
                <c:pt idx="13">
                  <c:v>0.63500819234674211</c:v>
                </c:pt>
                <c:pt idx="14">
                  <c:v>0.72602949623745694</c:v>
                </c:pt>
                <c:pt idx="15">
                  <c:v>0.81174439703790569</c:v>
                </c:pt>
                <c:pt idx="16">
                  <c:v>0.89262591138172809</c:v>
                </c:pt>
                <c:pt idx="17">
                  <c:v>0.96907161162063105</c:v>
                </c:pt>
                <c:pt idx="18">
                  <c:v>1.0414051684692893</c:v>
                </c:pt>
                <c:pt idx="19">
                  <c:v>1.1098766605543986</c:v>
                </c:pt>
                <c:pt idx="20">
                  <c:v>1.1746616597019255</c:v>
                </c:pt>
                <c:pt idx="21">
                  <c:v>1.235859121091476</c:v>
                </c:pt>
                <c:pt idx="22">
                  <c:v>1.2934881326098768</c:v>
                </c:pt>
                <c:pt idx="23">
                  <c:v>1.3474836124260925</c:v>
                </c:pt>
                <c:pt idx="24">
                  <c:v>1.3976910928059638</c:v>
                </c:pt>
                <c:pt idx="25">
                  <c:v>1.4438607954359028</c:v>
                </c:pt>
                <c:pt idx="26">
                  <c:v>1.4856412936503638</c:v>
                </c:pt>
                <c:pt idx="27">
                  <c:v>1.5225731737733561</c:v>
                </c:pt>
                <c:pt idx="28">
                  <c:v>1.5540832551108608</c:v>
                </c:pt>
                <c:pt idx="29">
                  <c:v>1.5794801082269494</c:v>
                </c:pt>
                <c:pt idx="30">
                  <c:v>1.5979518240771817</c:v>
                </c:pt>
                <c:pt idx="31">
                  <c:v>1.6085672289456454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3F-454D-9965-B3EC0196B4B1}"/>
            </c:ext>
          </c:extLst>
        </c:ser>
        <c:ser>
          <c:idx val="8"/>
          <c:order val="8"/>
          <c:tx>
            <c:strRef>
              <c:f>z!$E$93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z!$F$93:$AK$93</c:f>
              <c:numCache>
                <c:formatCode>0.00</c:formatCode>
                <c:ptCount val="32"/>
                <c:pt idx="0">
                  <c:v>-1.2616841316248628</c:v>
                </c:pt>
                <c:pt idx="1">
                  <c:v>-1.0365196175476932</c:v>
                </c:pt>
                <c:pt idx="2">
                  <c:v>-0.82316861931941432</c:v>
                </c:pt>
                <c:pt idx="3">
                  <c:v>-0.62694748744429596</c:v>
                </c:pt>
                <c:pt idx="4">
                  <c:v>-0.4466087657617468</c:v>
                </c:pt>
                <c:pt idx="5">
                  <c:v>-0.28059824268233946</c:v>
                </c:pt>
                <c:pt idx="6">
                  <c:v>-0.12741678410033153</c:v>
                </c:pt>
                <c:pt idx="7">
                  <c:v>1.4315786430740829E-2</c:v>
                </c:pt>
                <c:pt idx="8">
                  <c:v>0.14585255441401657</c:v>
                </c:pt>
                <c:pt idx="9">
                  <c:v>0.26832593544523498</c:v>
                </c:pt>
                <c:pt idx="10">
                  <c:v>0.38275809304377795</c:v>
                </c:pt>
                <c:pt idx="11">
                  <c:v>0.49007200940032192</c:v>
                </c:pt>
                <c:pt idx="12">
                  <c:v>0.59110203301848685</c:v>
                </c:pt>
                <c:pt idx="13">
                  <c:v>0.6866034868913129</c:v>
                </c:pt>
                <c:pt idx="14">
                  <c:v>0.77726121288201888</c:v>
                </c:pt>
                <c:pt idx="15">
                  <c:v>0.86369704427546878</c:v>
                </c:pt>
                <c:pt idx="16">
                  <c:v>0.94647624235166816</c:v>
                </c:pt>
                <c:pt idx="17">
                  <c:v>1.0261129450039874</c:v>
                </c:pt>
                <c:pt idx="18">
                  <c:v>1.1030746728657448</c:v>
                </c:pt>
                <c:pt idx="19">
                  <c:v>1.177785929080688</c:v>
                </c:pt>
                <c:pt idx="20">
                  <c:v>1.2506309163096141</c:v>
                </c:pt>
                <c:pt idx="21">
                  <c:v>1.3219553806398388</c:v>
                </c:pt>
                <c:pt idx="22">
                  <c:v>1.3920675777989722</c:v>
                </c:pt>
                <c:pt idx="23">
                  <c:v>1.4612383430456788</c:v>
                </c:pt>
                <c:pt idx="24">
                  <c:v>1.5297002327718801</c:v>
                </c:pt>
                <c:pt idx="25">
                  <c:v>1.5976456938116002</c:v>
                </c:pt>
                <c:pt idx="26">
                  <c:v>1.6652242062642486</c:v>
                </c:pt>
                <c:pt idx="27">
                  <c:v>1.732538338161671</c:v>
                </c:pt>
                <c:pt idx="28">
                  <c:v>1.7996386467244996</c:v>
                </c:pt>
                <c:pt idx="29">
                  <c:v>1.8665173624810016</c:v>
                </c:pt>
                <c:pt idx="30">
                  <c:v>1.9331008013145912</c:v>
                </c:pt>
                <c:pt idx="31">
                  <c:v>1.999240467482899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33F-454D-9965-B3EC0196B4B1}"/>
            </c:ext>
          </c:extLst>
        </c:ser>
        <c:ser>
          <c:idx val="9"/>
          <c:order val="9"/>
          <c:tx>
            <c:strRef>
              <c:f>z!$E$94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z!$F$94:$AK$94</c:f>
              <c:numCache>
                <c:formatCode>0.00</c:formatCode>
                <c:ptCount val="32"/>
                <c:pt idx="0">
                  <c:v>-1.1724078469632637</c:v>
                </c:pt>
                <c:pt idx="1">
                  <c:v>-0.92754924186366772</c:v>
                </c:pt>
                <c:pt idx="2">
                  <c:v>-0.7192130848110434</c:v>
                </c:pt>
                <c:pt idx="3">
                  <c:v>-0.53044405513791304</c:v>
                </c:pt>
                <c:pt idx="4">
                  <c:v>-0.35779239440869581</c:v>
                </c:pt>
                <c:pt idx="5">
                  <c:v>-0.19906403665115313</c:v>
                </c:pt>
                <c:pt idx="6">
                  <c:v>-5.2527438101357404E-2</c:v>
                </c:pt>
                <c:pt idx="7">
                  <c:v>8.3283589332738828E-2</c:v>
                </c:pt>
                <c:pt idx="8">
                  <c:v>0.20964797913580746</c:v>
                </c:pt>
                <c:pt idx="9">
                  <c:v>0.32769884361627533</c:v>
                </c:pt>
                <c:pt idx="10">
                  <c:v>0.43845013121490695</c:v>
                </c:pt>
                <c:pt idx="11">
                  <c:v>0.54281600735839319</c:v>
                </c:pt>
                <c:pt idx="12">
                  <c:v>0.64162604115680644</c:v>
                </c:pt>
                <c:pt idx="13">
                  <c:v>0.73563766335382752</c:v>
                </c:pt>
                <c:pt idx="14">
                  <c:v>0.82554668360934613</c:v>
                </c:pt>
                <c:pt idx="15">
                  <c:v>0.91199633805105762</c:v>
                </c:pt>
                <c:pt idx="16">
                  <c:v>0.99558517389741752</c:v>
                </c:pt>
                <c:pt idx="17">
                  <c:v>1.0768739852462517</c:v>
                </c:pt>
                <c:pt idx="18">
                  <c:v>1.1563919567691983</c:v>
                </c:pt>
                <c:pt idx="19">
                  <c:v>1.2346421338804703</c:v>
                </c:pt>
                <c:pt idx="20">
                  <c:v>1.3121063103649355</c:v>
                </c:pt>
                <c:pt idx="21">
                  <c:v>1.3892494031519931</c:v>
                </c:pt>
                <c:pt idx="22">
                  <c:v>1.4665233664468147</c:v>
                </c:pt>
                <c:pt idx="23">
                  <c:v>1.5443706821094416</c:v>
                </c:pt>
                <c:pt idx="24">
                  <c:v>1.6232274491434495</c:v>
                </c:pt>
                <c:pt idx="25">
                  <c:v>1.7035260816444797</c:v>
                </c:pt>
                <c:pt idx="26">
                  <c:v>1.7856976110564027</c:v>
                </c:pt>
                <c:pt idx="27">
                  <c:v>1.87017357459629</c:v>
                </c:pt>
                <c:pt idx="28">
                  <c:v>1.9573874570344429</c:v>
                </c:pt>
                <c:pt idx="29">
                  <c:v>2.0477756369774447</c:v>
                </c:pt>
                <c:pt idx="30">
                  <c:v>2.1417777716559172</c:v>
                </c:pt>
                <c:pt idx="31">
                  <c:v>2.2398365350517757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33F-454D-9965-B3EC0196B4B1}"/>
            </c:ext>
          </c:extLst>
        </c:ser>
        <c:ser>
          <c:idx val="10"/>
          <c:order val="10"/>
          <c:tx>
            <c:strRef>
              <c:f>z!$E$95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z!$F$95:$AK$95</c:f>
              <c:numCache>
                <c:formatCode>0.00</c:formatCode>
                <c:ptCount val="32"/>
                <c:pt idx="0">
                  <c:v>-1.094854702113901</c:v>
                </c:pt>
                <c:pt idx="1">
                  <c:v>-0.82993494181282657</c:v>
                </c:pt>
                <c:pt idx="2">
                  <c:v>-0.62520001160359939</c:v>
                </c:pt>
                <c:pt idx="3">
                  <c:v>-0.44255811262661204</c:v>
                </c:pt>
                <c:pt idx="4">
                  <c:v>-0.27638989874012587</c:v>
                </c:pt>
                <c:pt idx="5">
                  <c:v>-0.12385642676693287</c:v>
                </c:pt>
                <c:pt idx="6">
                  <c:v>1.7015053475066821E-2</c:v>
                </c:pt>
                <c:pt idx="7">
                  <c:v>0.14778427270600858</c:v>
                </c:pt>
                <c:pt idx="8">
                  <c:v>0.26976120593436015</c:v>
                </c:pt>
                <c:pt idx="9">
                  <c:v>0.38408224675601232</c:v>
                </c:pt>
                <c:pt idx="10">
                  <c:v>0.49175299906001335</c:v>
                </c:pt>
                <c:pt idx="11">
                  <c:v>0.59367586632275149</c:v>
                </c:pt>
                <c:pt idx="12">
                  <c:v>0.69066972823939032</c:v>
                </c:pt>
                <c:pt idx="13">
                  <c:v>0.78348503198100161</c:v>
                </c:pt>
                <c:pt idx="14">
                  <c:v>0.87281598766475454</c:v>
                </c:pt>
                <c:pt idx="15">
                  <c:v>0.95931080923428169</c:v>
                </c:pt>
                <c:pt idx="16">
                  <c:v>1.0435805700459433</c:v>
                </c:pt>
                <c:pt idx="17">
                  <c:v>1.1262070442064065</c:v>
                </c:pt>
                <c:pt idx="18">
                  <c:v>1.2077497920026659</c:v>
                </c:pt>
                <c:pt idx="19">
                  <c:v>1.2887526803440075</c:v>
                </c:pt>
                <c:pt idx="20">
                  <c:v>1.3697499865239493</c:v>
                </c:pt>
                <c:pt idx="21">
                  <c:v>1.451272205901244</c:v>
                </c:pt>
                <c:pt idx="22">
                  <c:v>1.5338516651586254</c:v>
                </c:pt>
                <c:pt idx="23">
                  <c:v>1.6180280297950489</c:v>
                </c:pt>
                <c:pt idx="24">
                  <c:v>1.704353785147994</c:v>
                </c:pt>
                <c:pt idx="25">
                  <c:v>1.7933997637986643</c:v>
                </c:pt>
                <c:pt idx="26">
                  <c:v>1.8857607872702076</c:v>
                </c:pt>
                <c:pt idx="27">
                  <c:v>1.9820614866405961</c:v>
                </c:pt>
                <c:pt idx="28">
                  <c:v>2.082962364080565</c:v>
                </c:pt>
                <c:pt idx="29">
                  <c:v>2.1891661553929964</c:v>
                </c:pt>
                <c:pt idx="30">
                  <c:v>2.3014245519559218</c:v>
                </c:pt>
                <c:pt idx="31">
                  <c:v>2.4205453388703724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33F-454D-9965-B3EC0196B4B1}"/>
            </c:ext>
          </c:extLst>
        </c:ser>
        <c:ser>
          <c:idx val="11"/>
          <c:order val="11"/>
          <c:tx>
            <c:strRef>
              <c:f>z!$E$96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z!$F$96:$AK$96</c:f>
              <c:numCache>
                <c:formatCode>0.00</c:formatCode>
                <c:ptCount val="32"/>
                <c:pt idx="0">
                  <c:v>-1.0267909148686805</c:v>
                </c:pt>
                <c:pt idx="1">
                  <c:v>-0.74257190486481939</c:v>
                </c:pt>
                <c:pt idx="2">
                  <c:v>-0.54033469261360878</c:v>
                </c:pt>
                <c:pt idx="3">
                  <c:v>-0.36268803108807646</c:v>
                </c:pt>
                <c:pt idx="4">
                  <c:v>-0.20194136752915703</c:v>
                </c:pt>
                <c:pt idx="5">
                  <c:v>-5.4625623334692008E-2</c:v>
                </c:pt>
                <c:pt idx="6">
                  <c:v>8.147447086215287E-2</c:v>
                </c:pt>
                <c:pt idx="7">
                  <c:v>0.20801730901132132</c:v>
                </c:pt>
                <c:pt idx="8">
                  <c:v>0.32634950838050791</c:v>
                </c:pt>
                <c:pt idx="9">
                  <c:v>0.43761571203670968</c:v>
                </c:pt>
                <c:pt idx="10">
                  <c:v>0.54281708913750393</c:v>
                </c:pt>
                <c:pt idx="11">
                  <c:v>0.64284694364591388</c:v>
                </c:pt>
                <c:pt idx="12">
                  <c:v>0.73851477095487894</c:v>
                </c:pt>
                <c:pt idx="13">
                  <c:v>0.83056388828772754</c:v>
                </c:pt>
                <c:pt idx="14">
                  <c:v>0.91968520096186168</c:v>
                </c:pt>
                <c:pt idx="15">
                  <c:v>1.0065285004556834</c:v>
                </c:pt>
                <c:pt idx="16">
                  <c:v>1.0917121158149357</c:v>
                </c:pt>
                <c:pt idx="17">
                  <c:v>1.1758314381227208</c:v>
                </c:pt>
                <c:pt idx="18">
                  <c:v>1.2594666699627943</c:v>
                </c:pt>
                <c:pt idx="19">
                  <c:v>1.3431900545679554</c:v>
                </c:pt>
                <c:pt idx="20">
                  <c:v>1.4275727807611105</c:v>
                </c:pt>
                <c:pt idx="21">
                  <c:v>1.5131917242738879</c:v>
                </c:pt>
                <c:pt idx="22">
                  <c:v>1.6006361640918954</c:v>
                </c:pt>
                <c:pt idx="23">
                  <c:v>1.6905146000012472</c:v>
                </c:pt>
                <c:pt idx="24">
                  <c:v>1.783461791105001</c:v>
                </c:pt>
                <c:pt idx="25">
                  <c:v>1.8801461335526959</c:v>
                </c:pt>
                <c:pt idx="26">
                  <c:v>1.9812774976490921</c:v>
                </c:pt>
                <c:pt idx="27">
                  <c:v>2.0876156500482246</c:v>
                </c:pt>
                <c:pt idx="28">
                  <c:v>2.1999793947968804</c:v>
                </c:pt>
                <c:pt idx="29">
                  <c:v>2.3192565781759988</c:v>
                </c:pt>
                <c:pt idx="30">
                  <c:v>2.4464151162861825</c:v>
                </c:pt>
                <c:pt idx="31">
                  <c:v>2.5825152213077018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33F-454D-9965-B3EC0196B4B1}"/>
            </c:ext>
          </c:extLst>
        </c:ser>
        <c:ser>
          <c:idx val="12"/>
          <c:order val="12"/>
          <c:tx>
            <c:strRef>
              <c:f>z!$E$97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z!$F$97:$AK$97</c:f>
              <c:numCache>
                <c:formatCode>0.00</c:formatCode>
                <c:ptCount val="32"/>
                <c:pt idx="0">
                  <c:v>-0.9662008726118998</c:v>
                </c:pt>
                <c:pt idx="1">
                  <c:v>-0.66447178654671646</c:v>
                </c:pt>
                <c:pt idx="2">
                  <c:v>-0.46392996962518751</c:v>
                </c:pt>
                <c:pt idx="3">
                  <c:v>-0.29033480992701755</c:v>
                </c:pt>
                <c:pt idx="4">
                  <c:v>-0.13408581595375502</c:v>
                </c:pt>
                <c:pt idx="5">
                  <c:v>8.88137621113394E-3</c:v>
                </c:pt>
                <c:pt idx="6">
                  <c:v>0.14101720888670677</c:v>
                </c:pt>
                <c:pt idx="7">
                  <c:v>0.26407973185094136</c:v>
                </c:pt>
                <c:pt idx="8">
                  <c:v>0.37945597325172997</c:v>
                </c:pt>
                <c:pt idx="9">
                  <c:v>0.48830337709970806</c:v>
                </c:pt>
                <c:pt idx="10">
                  <c:v>0.59162320345418351</c:v>
                </c:pt>
                <c:pt idx="11">
                  <c:v>0.69030380202894648</c:v>
                </c:pt>
                <c:pt idx="12">
                  <c:v>0.78514888388170334</c:v>
                </c:pt>
                <c:pt idx="13">
                  <c:v>0.87689760724041221</c:v>
                </c:pt>
                <c:pt idx="14">
                  <c:v>0.96623986312271981</c:v>
                </c:pt>
                <c:pt idx="15">
                  <c:v>1.0538285871919406</c:v>
                </c:pt>
                <c:pt idx="16">
                  <c:v>1.1402901584300906</c:v>
                </c:pt>
                <c:pt idx="17">
                  <c:v>1.2262335448487427</c:v>
                </c:pt>
                <c:pt idx="18">
                  <c:v>1.3122586358793598</c:v>
                </c:pt>
                <c:pt idx="19">
                  <c:v>1.3989640747080756</c:v>
                </c:pt>
                <c:pt idx="20">
                  <c:v>1.4869548295570745</c:v>
                </c:pt>
                <c:pt idx="21">
                  <c:v>1.5768496987966785</c:v>
                </c:pt>
                <c:pt idx="22">
                  <c:v>1.669288919456946</c:v>
                </c:pt>
                <c:pt idx="23">
                  <c:v>1.7649420353604839</c:v>
                </c:pt>
                <c:pt idx="24">
                  <c:v>1.8645161765107332</c:v>
                </c:pt>
                <c:pt idx="25">
                  <c:v>1.9687649029997978</c:v>
                </c:pt>
                <c:pt idx="26">
                  <c:v>2.0784977737520194</c:v>
                </c:pt>
                <c:pt idx="27">
                  <c:v>2.1945908123366387</c:v>
                </c:pt>
                <c:pt idx="28">
                  <c:v>2.3179980583210025</c:v>
                </c:pt>
                <c:pt idx="29">
                  <c:v>2.4497644138787855</c:v>
                </c:pt>
                <c:pt idx="30">
                  <c:v>2.5910400214201879</c:v>
                </c:pt>
                <c:pt idx="31">
                  <c:v>2.7430964397701096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33F-454D-9965-B3EC0196B4B1}"/>
            </c:ext>
          </c:extLst>
        </c:ser>
        <c:ser>
          <c:idx val="13"/>
          <c:order val="13"/>
          <c:tx>
            <c:strRef>
              <c:f>z!$E$98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z!$F$98:$AK$98</c:f>
              <c:numCache>
                <c:formatCode>0.00</c:formatCode>
                <c:ptCount val="32"/>
                <c:pt idx="0">
                  <c:v>-0.91127388087808292</c:v>
                </c:pt>
                <c:pt idx="1">
                  <c:v>-0.59473631008666317</c:v>
                </c:pt>
                <c:pt idx="2">
                  <c:v>-0.39538176965669969</c:v>
                </c:pt>
                <c:pt idx="3">
                  <c:v>-0.22508011846000819</c:v>
                </c:pt>
                <c:pt idx="4">
                  <c:v>-7.2541275383253279E-2</c:v>
                </c:pt>
                <c:pt idx="5">
                  <c:v>6.6839743356750247E-2</c:v>
                </c:pt>
                <c:pt idx="6">
                  <c:v>0.19573216047286124</c:v>
                </c:pt>
                <c:pt idx="7">
                  <c:v>0.31598987611070051</c:v>
                </c:pt>
                <c:pt idx="8">
                  <c:v>0.42904138112365153</c:v>
                </c:pt>
                <c:pt idx="9">
                  <c:v>0.53605995332883793</c:v>
                </c:pt>
                <c:pt idx="10">
                  <c:v>0.63805074201228607</c:v>
                </c:pt>
                <c:pt idx="11">
                  <c:v>0.7359011521401726</c:v>
                </c:pt>
                <c:pt idx="12">
                  <c:v>0.83041306892628342</c:v>
                </c:pt>
                <c:pt idx="13">
                  <c:v>0.92232527517444041</c:v>
                </c:pt>
                <c:pt idx="14">
                  <c:v>1.0123302005671242</c:v>
                </c:pt>
                <c:pt idx="15">
                  <c:v>1.1010872254901827</c:v>
                </c:pt>
                <c:pt idx="16">
                  <c:v>1.1892338212060594</c:v>
                </c:pt>
                <c:pt idx="17">
                  <c:v>1.2773953172184882</c:v>
                </c:pt>
                <c:pt idx="18">
                  <c:v>1.3661938172759847</c:v>
                </c:pt>
                <c:pt idx="19">
                  <c:v>1.4562566322884329</c:v>
                </c:pt>
                <c:pt idx="20">
                  <c:v>1.5482245090958635</c:v>
                </c:pt>
                <c:pt idx="21">
                  <c:v>1.6427598822188472</c:v>
                </c:pt>
                <c:pt idx="22">
                  <c:v>1.7405553466431911</c:v>
                </c:pt>
                <c:pt idx="23">
                  <c:v>1.8423425356806078</c:v>
                </c:pt>
                <c:pt idx="24">
                  <c:v>1.9489015845275404</c:v>
                </c:pt>
                <c:pt idx="25">
                  <c:v>2.0610713646074252</c:v>
                </c:pt>
                <c:pt idx="26">
                  <c:v>2.179760685250276</c:v>
                </c:pt>
                <c:pt idx="27">
                  <c:v>2.3059606764785912</c:v>
                </c:pt>
                <c:pt idx="28">
                  <c:v>2.440758590407377</c:v>
                </c:pt>
                <c:pt idx="29">
                  <c:v>2.585353288382386</c:v>
                </c:pt>
                <c:pt idx="30">
                  <c:v>2.7410727178400762</c:v>
                </c:pt>
                <c:pt idx="31">
                  <c:v>2.9093937272017811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33F-454D-9965-B3EC0196B4B1}"/>
            </c:ext>
          </c:extLst>
        </c:ser>
        <c:ser>
          <c:idx val="14"/>
          <c:order val="14"/>
          <c:tx>
            <c:strRef>
              <c:f>z!$E$99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z!$F$99:$AK$99</c:f>
              <c:numCache>
                <c:formatCode>0.00</c:formatCode>
                <c:ptCount val="32"/>
                <c:pt idx="0">
                  <c:v>-0.86039686035932483</c:v>
                </c:pt>
                <c:pt idx="1">
                  <c:v>-0.5325362609553963</c:v>
                </c:pt>
                <c:pt idx="2">
                  <c:v>-0.334149557263963</c:v>
                </c:pt>
                <c:pt idx="3">
                  <c:v>-0.16656925178826221</c:v>
                </c:pt>
                <c:pt idx="4">
                  <c:v>-1.7090209609715856E-2</c:v>
                </c:pt>
                <c:pt idx="5">
                  <c:v>0.11935938090457121</c:v>
                </c:pt>
                <c:pt idx="6">
                  <c:v>0.24564203662147399</c:v>
                </c:pt>
                <c:pt idx="7">
                  <c:v>0.36369864136687191</c:v>
                </c:pt>
                <c:pt idx="8">
                  <c:v>0.47499711411047585</c:v>
                </c:pt>
                <c:pt idx="9">
                  <c:v>0.58072762502581199</c:v>
                </c:pt>
                <c:pt idx="10">
                  <c:v>0.68190173732496362</c:v>
                </c:pt>
                <c:pt idx="11">
                  <c:v>0.77940913450591509</c:v>
                </c:pt>
                <c:pt idx="12">
                  <c:v>0.87405341988811003</c:v>
                </c:pt>
                <c:pt idx="13">
                  <c:v>0.96657667898014665</c:v>
                </c:pt>
                <c:pt idx="14">
                  <c:v>1.0576776059356696</c:v>
                </c:pt>
                <c:pt idx="15">
                  <c:v>1.1480257676987904</c:v>
                </c:pt>
                <c:pt idx="16">
                  <c:v>1.2382734855465038</c:v>
                </c:pt>
                <c:pt idx="17">
                  <c:v>1.3290662428233624</c:v>
                </c:pt>
                <c:pt idx="18">
                  <c:v>1.4210522153468297</c:v>
                </c:pt>
                <c:pt idx="19">
                  <c:v>1.5148913437501577</c:v>
                </c:pt>
                <c:pt idx="20">
                  <c:v>1.6112642649046549</c:v>
                </c:pt>
                <c:pt idx="21">
                  <c:v>1.7108813605792861</c:v>
                </c:pt>
                <c:pt idx="22">
                  <c:v>1.8144921497276201</c:v>
                </c:pt>
                <c:pt idx="23">
                  <c:v>1.9228952362904117</c:v>
                </c:pt>
                <c:pt idx="24">
                  <c:v>2.036949022532486</c:v>
                </c:pt>
                <c:pt idx="25">
                  <c:v>2.1575834054421428</c:v>
                </c:pt>
                <c:pt idx="26">
                  <c:v>2.285812689490907</c:v>
                </c:pt>
                <c:pt idx="27">
                  <c:v>2.4227499722329071</c:v>
                </c:pt>
                <c:pt idx="28">
                  <c:v>2.5696232898897442</c:v>
                </c:pt>
                <c:pt idx="29">
                  <c:v>2.7277938486314213</c:v>
                </c:pt>
                <c:pt idx="30">
                  <c:v>2.8987767146926302</c:v>
                </c:pt>
                <c:pt idx="31">
                  <c:v>3.0842643936379588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33F-454D-9965-B3EC0196B4B1}"/>
            </c:ext>
          </c:extLst>
        </c:ser>
        <c:ser>
          <c:idx val="15"/>
          <c:order val="15"/>
          <c:tx>
            <c:strRef>
              <c:f>z!$E$100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z!$F$100:$AK$100</c:f>
              <c:numCache>
                <c:formatCode>0.00</c:formatCode>
                <c:ptCount val="32"/>
                <c:pt idx="0">
                  <c:v>-0.81215150601332553</c:v>
                </c:pt>
                <c:pt idx="1">
                  <c:v>-0.47709465114120775</c:v>
                </c:pt>
                <c:pt idx="2">
                  <c:v>-0.27974032539512805</c:v>
                </c:pt>
                <c:pt idx="3">
                  <c:v>-0.11449751350145476</c:v>
                </c:pt>
                <c:pt idx="4">
                  <c:v>3.2431457130943642E-2</c:v>
                </c:pt>
                <c:pt idx="5">
                  <c:v>0.16649337855279001</c:v>
                </c:pt>
                <c:pt idx="6">
                  <c:v>0.29070964063127036</c:v>
                </c:pt>
                <c:pt idx="7">
                  <c:v>0.40709410189965212</c:v>
                </c:pt>
                <c:pt idx="8">
                  <c:v>0.51714882382647431</c:v>
                </c:pt>
                <c:pt idx="9">
                  <c:v>0.62207974595329674</c:v>
                </c:pt>
                <c:pt idx="10">
                  <c:v>0.72290585478640423</c:v>
                </c:pt>
                <c:pt idx="11">
                  <c:v>0.8205212705036935</c:v>
                </c:pt>
                <c:pt idx="12">
                  <c:v>0.91573412065448778</c:v>
                </c:pt>
                <c:pt idx="13">
                  <c:v>1.0092929888472213</c:v>
                </c:pt>
                <c:pt idx="14">
                  <c:v>1.1019062893402598</c:v>
                </c:pt>
                <c:pt idx="15">
                  <c:v>1.1942574363610348</c:v>
                </c:pt>
                <c:pt idx="16">
                  <c:v>1.2870174563461845</c:v>
                </c:pt>
                <c:pt idx="17">
                  <c:v>1.3808560541517245</c:v>
                </c:pt>
                <c:pt idx="18">
                  <c:v>1.4764517960785817</c:v>
                </c:pt>
                <c:pt idx="19">
                  <c:v>1.5745018756252449</c:v>
                </c:pt>
                <c:pt idx="20">
                  <c:v>1.6757318148963307</c:v>
                </c:pt>
                <c:pt idx="21">
                  <c:v>1.7809053906137073</c:v>
                </c:pt>
                <c:pt idx="22">
                  <c:v>1.8908350396773521</c:v>
                </c:pt>
                <c:pt idx="23">
                  <c:v>2.0063929853963991</c:v>
                </c:pt>
                <c:pt idx="24">
                  <c:v>2.1285233256729263</c:v>
                </c:pt>
                <c:pt idx="25">
                  <c:v>2.2582553356964574</c:v>
                </c:pt>
                <c:pt idx="26">
                  <c:v>2.3967182584039293</c:v>
                </c:pt>
                <c:pt idx="27">
                  <c:v>2.5451578856361401</c:v>
                </c:pt>
                <c:pt idx="28">
                  <c:v>2.7049552715330272</c:v>
                </c:pt>
                <c:pt idx="29">
                  <c:v>2.8776479679271105</c:v>
                </c:pt>
                <c:pt idx="30">
                  <c:v>3.0649542305871691</c:v>
                </c:pt>
                <c:pt idx="31">
                  <c:v>3.2688007163517163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33F-454D-9965-B3EC0196B4B1}"/>
            </c:ext>
          </c:extLst>
        </c:ser>
        <c:ser>
          <c:idx val="16"/>
          <c:order val="16"/>
          <c:tx>
            <c:strRef>
              <c:f>z!$E$101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z!$F$101:$AK$101</c:f>
              <c:numCache>
                <c:formatCode>0.00</c:formatCode>
                <c:ptCount val="32"/>
                <c:pt idx="0">
                  <c:v>-0.76531458925277462</c:v>
                </c:pt>
                <c:pt idx="1">
                  <c:v>-0.42767323424675041</c:v>
                </c:pt>
                <c:pt idx="2">
                  <c:v>-0.23169516460419537</c:v>
                </c:pt>
                <c:pt idx="3">
                  <c:v>-6.8599001631364231E-2</c:v>
                </c:pt>
                <c:pt idx="4">
                  <c:v>7.6142783488331034E-2</c:v>
                </c:pt>
                <c:pt idx="5">
                  <c:v>0.20824360071558523</c:v>
                </c:pt>
                <c:pt idx="6">
                  <c:v>0.33084071582534236</c:v>
                </c:pt>
                <c:pt idx="7">
                  <c:v>0.44600185034826545</c:v>
                </c:pt>
                <c:pt idx="8">
                  <c:v>0.55525460767702484</c:v>
                </c:pt>
                <c:pt idx="9">
                  <c:v>0.65981728926578498</c:v>
                </c:pt>
                <c:pt idx="10">
                  <c:v>0.76071567727709066</c:v>
                </c:pt>
                <c:pt idx="11">
                  <c:v>0.85884928604285093</c:v>
                </c:pt>
                <c:pt idx="12">
                  <c:v>0.95503268545460429</c:v>
                </c:pt>
                <c:pt idx="13">
                  <c:v>1.0500235015498127</c:v>
                </c:pt>
                <c:pt idx="14">
                  <c:v>1.1445428629630605</c:v>
                </c:pt>
                <c:pt idx="15">
                  <c:v>1.2392913907710579</c:v>
                </c:pt>
                <c:pt idx="16">
                  <c:v>1.3349625133018961</c:v>
                </c:pt>
                <c:pt idx="17">
                  <c:v>1.4322542001576899</c:v>
                </c:pt>
                <c:pt idx="18">
                  <c:v>1.5318798340913098</c:v>
                </c:pt>
                <c:pt idx="19">
                  <c:v>1.6345787277627366</c:v>
                </c:pt>
                <c:pt idx="20">
                  <c:v>1.7411266716216289</c:v>
                </c:pt>
                <c:pt idx="21">
                  <c:v>1.8523468318254466</c:v>
                </c:pt>
                <c:pt idx="22">
                  <c:v>1.9691212826433713</c:v>
                </c:pt>
                <c:pt idx="23">
                  <c:v>2.0924034453551066</c:v>
                </c:pt>
                <c:pt idx="24">
                  <c:v>2.2232317090264964</c:v>
                </c:pt>
                <c:pt idx="25">
                  <c:v>2.3627445243157297</c:v>
                </c:pt>
                <c:pt idx="26">
                  <c:v>2.5121972881891885</c:v>
                </c:pt>
                <c:pt idx="27">
                  <c:v>2.6729813745252073</c:v>
                </c:pt>
                <c:pt idx="28">
                  <c:v>2.8466457133591305</c:v>
                </c:pt>
                <c:pt idx="29">
                  <c:v>3.0349213807978614</c:v>
                </c:pt>
                <c:pt idx="30">
                  <c:v>3.2397497340497239</c:v>
                </c:pt>
                <c:pt idx="31">
                  <c:v>3.4633147132057118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033F-454D-9965-B3EC0196B4B1}"/>
            </c:ext>
          </c:extLst>
        </c:ser>
        <c:ser>
          <c:idx val="17"/>
          <c:order val="17"/>
          <c:tx>
            <c:strRef>
              <c:f>z!$E$102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z!$F$102:$AK$102</c:f>
              <c:numCache>
                <c:formatCode>0.00</c:formatCode>
                <c:ptCount val="32"/>
                <c:pt idx="0">
                  <c:v>-0.71886013386479597</c:v>
                </c:pt>
                <c:pt idx="1">
                  <c:v>-0.38356183933108134</c:v>
                </c:pt>
                <c:pt idx="2">
                  <c:v>-0.18957773524896915</c:v>
                </c:pt>
                <c:pt idx="3">
                  <c:v>-2.8637065293546371E-2</c:v>
                </c:pt>
                <c:pt idx="4">
                  <c:v>0.1141244590796564</c:v>
                </c:pt>
                <c:pt idx="5">
                  <c:v>0.24456413720841397</c:v>
                </c:pt>
                <c:pt idx="6">
                  <c:v>0.3658841501841259</c:v>
                </c:pt>
                <c:pt idx="7">
                  <c:v>0.4801820364697118</c:v>
                </c:pt>
                <c:pt idx="8">
                  <c:v>0.58899904159082084</c:v>
                </c:pt>
                <c:pt idx="9">
                  <c:v>0.69356009518628525</c:v>
                </c:pt>
                <c:pt idx="10">
                  <c:v>0.79489544547506341</c:v>
                </c:pt>
                <c:pt idx="11">
                  <c:v>0.89390968246672031</c:v>
                </c:pt>
                <c:pt idx="12">
                  <c:v>0.9914247671072296</c:v>
                </c:pt>
                <c:pt idx="13">
                  <c:v>1.0882091742625555</c:v>
                </c:pt>
                <c:pt idx="14">
                  <c:v>1.1849991862500353</c:v>
                </c:pt>
                <c:pt idx="15">
                  <c:v>1.282515586988886</c:v>
                </c:pt>
                <c:pt idx="16">
                  <c:v>1.3814776310283605</c:v>
                </c:pt>
                <c:pt idx="17">
                  <c:v>1.4826154425628957</c:v>
                </c:pt>
                <c:pt idx="18">
                  <c:v>1.586681606482454</c:v>
                </c:pt>
                <c:pt idx="19">
                  <c:v>1.6944624928627583</c:v>
                </c:pt>
                <c:pt idx="20">
                  <c:v>1.8067897313511772</c:v>
                </c:pt>
                <c:pt idx="21">
                  <c:v>1.9245521834854173</c:v>
                </c:pt>
                <c:pt idx="22">
                  <c:v>2.04870872759777</c:v>
                </c:pt>
                <c:pt idx="23">
                  <c:v>2.1803021614474893</c:v>
                </c:pt>
                <c:pt idx="24">
                  <c:v>2.3204745351557143</c:v>
                </c:pt>
                <c:pt idx="25">
                  <c:v>2.4704842487377476</c:v>
                </c:pt>
                <c:pt idx="26">
                  <c:v>2.6317252821161929</c:v>
                </c:pt>
                <c:pt idx="27">
                  <c:v>2.805748971672628</c:v>
                </c:pt>
                <c:pt idx="28">
                  <c:v>2.994288805546752</c:v>
                </c:pt>
                <c:pt idx="29">
                  <c:v>3.1992887822096527</c:v>
                </c:pt>
                <c:pt idx="30">
                  <c:v>3.4229359645676638</c:v>
                </c:pt>
                <c:pt idx="31">
                  <c:v>3.6676979675576149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33F-454D-9965-B3EC0196B4B1}"/>
            </c:ext>
          </c:extLst>
        </c:ser>
        <c:ser>
          <c:idx val="18"/>
          <c:order val="18"/>
          <c:tx>
            <c:strRef>
              <c:f>z!$E$103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z!$F$103:$AK$103</c:f>
              <c:numCache>
                <c:formatCode>0.00</c:formatCode>
                <c:ptCount val="32"/>
                <c:pt idx="0">
                  <c:v>-0.67196217669041047</c:v>
                </c:pt>
                <c:pt idx="1">
                  <c:v>-0.34407020053084381</c:v>
                </c:pt>
                <c:pt idx="2">
                  <c:v>-0.15296417011700925</c:v>
                </c:pt>
                <c:pt idx="3">
                  <c:v>5.6041098239756337E-3</c:v>
                </c:pt>
                <c:pt idx="4">
                  <c:v>0.14642418298072002</c:v>
                </c:pt>
                <c:pt idx="5">
                  <c:v>0.27536307420916728</c:v>
                </c:pt>
                <c:pt idx="6">
                  <c:v>0.39562990983066371</c:v>
                </c:pt>
                <c:pt idx="7">
                  <c:v>0.50932340561082867</c:v>
                </c:pt>
                <c:pt idx="8">
                  <c:v>0.6179833633646048</c:v>
                </c:pt>
                <c:pt idx="9">
                  <c:v>0.72283330054156991</c:v>
                </c:pt>
                <c:pt idx="10">
                  <c:v>0.82490387880884697</c:v>
                </c:pt>
                <c:pt idx="11">
                  <c:v>0.92510313033589142</c:v>
                </c:pt>
                <c:pt idx="12">
                  <c:v>1.0242603391397154</c:v>
                </c:pt>
                <c:pt idx="13">
                  <c:v>1.1231558462032609</c:v>
                </c:pt>
                <c:pt idx="14">
                  <c:v>1.222542918413172</c:v>
                </c:pt>
                <c:pt idx="15">
                  <c:v>1.323164999365023</c:v>
                </c:pt>
                <c:pt idx="16">
                  <c:v>1.4257702635878111</c:v>
                </c:pt>
                <c:pt idx="17">
                  <c:v>1.5311246645755006</c:v>
                </c:pt>
                <c:pt idx="18">
                  <c:v>1.6400242680592036</c:v>
                </c:pt>
                <c:pt idx="19">
                  <c:v>1.7533074384901148</c:v>
                </c:pt>
                <c:pt idx="20">
                  <c:v>1.8718673216411297</c:v>
                </c:pt>
                <c:pt idx="21">
                  <c:v>1.9966649993707897</c:v>
                </c:pt>
                <c:pt idx="22">
                  <c:v>2.1287436622707823</c:v>
                </c:pt>
                <c:pt idx="23">
                  <c:v>2.2692441406313435</c:v>
                </c:pt>
                <c:pt idx="24">
                  <c:v>2.4194221473905486</c:v>
                </c:pt>
                <c:pt idx="25">
                  <c:v>2.5806676151685082</c:v>
                </c:pt>
                <c:pt idx="26">
                  <c:v>2.7545265520423357</c:v>
                </c:pt>
                <c:pt idx="27">
                  <c:v>2.9427258967040792</c:v>
                </c:pt>
                <c:pt idx="28">
                  <c:v>3.1472019247447136</c:v>
                </c:pt>
                <c:pt idx="29">
                  <c:v>3.3701328446755774</c:v>
                </c:pt>
                <c:pt idx="30">
                  <c:v>3.6139763280740311</c:v>
                </c:pt>
                <c:pt idx="31">
                  <c:v>3.8815128455760295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033F-454D-9965-B3EC0196B4B1}"/>
            </c:ext>
          </c:extLst>
        </c:ser>
        <c:ser>
          <c:idx val="19"/>
          <c:order val="19"/>
          <c:tx>
            <c:strRef>
              <c:f>z!$E$104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z!$F$104:$AK$104</c:f>
              <c:numCache>
                <c:formatCode>0.00</c:formatCode>
                <c:ptCount val="32"/>
                <c:pt idx="0">
                  <c:v>-0.6239967762378118</c:v>
                </c:pt>
                <c:pt idx="1">
                  <c:v>-0.30852211513776595</c:v>
                </c:pt>
                <c:pt idx="2">
                  <c:v>-0.12143408674059053</c:v>
                </c:pt>
                <c:pt idx="3">
                  <c:v>3.4327199069927872E-2</c:v>
                </c:pt>
                <c:pt idx="4">
                  <c:v>0.1730611687333905</c:v>
                </c:pt>
                <c:pt idx="5">
                  <c:v>0.30050288054472851</c:v>
                </c:pt>
                <c:pt idx="6">
                  <c:v>0.41980483634684873</c:v>
                </c:pt>
                <c:pt idx="7">
                  <c:v>0.53303427731465902</c:v>
                </c:pt>
                <c:pt idx="8">
                  <c:v>0.64171154096737126</c:v>
                </c:pt>
                <c:pt idx="9">
                  <c:v>0.74704849010842622</c:v>
                </c:pt>
                <c:pt idx="10">
                  <c:v>0.85007045880436394</c:v>
                </c:pt>
                <c:pt idx="11">
                  <c:v>0.95168597257000442</c:v>
                </c:pt>
                <c:pt idx="12">
                  <c:v>1.0527305360885642</c:v>
                </c:pt>
                <c:pt idx="13">
                  <c:v>1.1539965580897871</c:v>
                </c:pt>
                <c:pt idx="14">
                  <c:v>1.2562554816786253</c:v>
                </c:pt>
                <c:pt idx="15">
                  <c:v>1.3602754152564067</c:v>
                </c:pt>
                <c:pt idx="16">
                  <c:v>1.4668361832015364</c:v>
                </c:pt>
                <c:pt idx="17">
                  <c:v>1.5767429944690825</c:v>
                </c:pt>
                <c:pt idx="18">
                  <c:v>1.6908395339720883</c:v>
                </c:pt>
                <c:pt idx="19">
                  <c:v>1.8100210626892377</c:v>
                </c:pt>
                <c:pt idx="20">
                  <c:v>1.9352479916601162</c:v>
                </c:pt>
                <c:pt idx="21">
                  <c:v>2.0675603325015501</c:v>
                </c:pt>
                <c:pt idx="22">
                  <c:v>2.2080934020363152</c:v>
                </c:pt>
                <c:pt idx="23">
                  <c:v>2.3580951594182054</c:v>
                </c:pt>
                <c:pt idx="24">
                  <c:v>2.5189455743945821</c:v>
                </c:pt>
                <c:pt idx="25">
                  <c:v>2.6921784624356349</c:v>
                </c:pt>
                <c:pt idx="26">
                  <c:v>2.8795062750619493</c:v>
                </c:pt>
                <c:pt idx="27">
                  <c:v>3.0828484018941005</c:v>
                </c:pt>
                <c:pt idx="28">
                  <c:v>3.304363626408513</c:v>
                </c:pt>
                <c:pt idx="29">
                  <c:v>3.5464874817892067</c:v>
                </c:pt>
                <c:pt idx="30">
                  <c:v>3.8119753796905798</c:v>
                </c:pt>
                <c:pt idx="31">
                  <c:v>4.1039525370800689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33F-454D-9965-B3EC0196B4B1}"/>
            </c:ext>
          </c:extLst>
        </c:ser>
        <c:ser>
          <c:idx val="20"/>
          <c:order val="20"/>
          <c:tx>
            <c:strRef>
              <c:f>z!$E$105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z!$F$105:$AK$105</c:f>
              <c:numCache>
                <c:formatCode>0.00</c:formatCode>
                <c:ptCount val="32"/>
                <c:pt idx="0">
                  <c:v>-0.57454189457462057</c:v>
                </c:pt>
                <c:pt idx="1">
                  <c:v>-0.27625187952073915</c:v>
                </c:pt>
                <c:pt idx="2">
                  <c:v>-9.4562509367346337E-2</c:v>
                </c:pt>
                <c:pt idx="3">
                  <c:v>5.7729039883991362E-2</c:v>
                </c:pt>
                <c:pt idx="4">
                  <c:v>0.19403008941099031</c:v>
                </c:pt>
                <c:pt idx="5">
                  <c:v>0.31979959901562438</c:v>
                </c:pt>
                <c:pt idx="6">
                  <c:v>0.43806627904263706</c:v>
                </c:pt>
                <c:pt idx="7">
                  <c:v>0.5508301433176932</c:v>
                </c:pt>
                <c:pt idx="8">
                  <c:v>0.65957155921836375</c:v>
                </c:pt>
                <c:pt idx="9">
                  <c:v>0.76547852052355481</c:v>
                </c:pt>
                <c:pt idx="10">
                  <c:v>0.86956372209012756</c:v>
                </c:pt>
                <c:pt idx="11">
                  <c:v>0.97273197592562255</c:v>
                </c:pt>
                <c:pt idx="12">
                  <c:v>1.0758228938678727</c:v>
                </c:pt>
                <c:pt idx="13">
                  <c:v>1.1796403424924051</c:v>
                </c:pt>
                <c:pt idx="14">
                  <c:v>1.2849744869147806</c:v>
                </c:pt>
                <c:pt idx="15">
                  <c:v>1.3926196011659897</c:v>
                </c:pt>
                <c:pt idx="16">
                  <c:v>1.5033895101890238</c:v>
                </c:pt>
                <c:pt idx="17">
                  <c:v>1.6181318398511557</c:v>
                </c:pt>
                <c:pt idx="18">
                  <c:v>1.7377418765307517</c:v>
                </c:pt>
                <c:pt idx="19">
                  <c:v>1.8631766309229469</c:v>
                </c:pt>
                <c:pt idx="20">
                  <c:v>1.9954695887403062</c:v>
                </c:pt>
                <c:pt idx="21">
                  <c:v>2.1357465762306127</c:v>
                </c:pt>
                <c:pt idx="22">
                  <c:v>2.2852431508946225</c:v>
                </c:pt>
                <c:pt idx="23">
                  <c:v>2.4453239363930734</c:v>
                </c:pt>
                <c:pt idx="24">
                  <c:v>2.617504350004296</c:v>
                </c:pt>
                <c:pt idx="25">
                  <c:v>2.803475218133844</c:v>
                </c:pt>
                <c:pt idx="26">
                  <c:v>3.0051308399436927</c:v>
                </c:pt>
                <c:pt idx="27">
                  <c:v>3.2246011416292575</c:v>
                </c:pt>
                <c:pt idx="28">
                  <c:v>3.4642886660241068</c:v>
                </c:pt>
                <c:pt idx="29">
                  <c:v>3.7269112668547599</c:v>
                </c:pt>
                <c:pt idx="30">
                  <c:v>4.0155515274475917</c:v>
                </c:pt>
                <c:pt idx="31">
                  <c:v>4.333714105115849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033F-454D-9965-B3EC0196B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p_atma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max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dz/dp * 100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8</xdr:row>
      <xdr:rowOff>158582</xdr:rowOff>
    </xdr:from>
    <xdr:to>
      <xdr:col>11</xdr:col>
      <xdr:colOff>571500</xdr:colOff>
      <xdr:row>33</xdr:row>
      <xdr:rowOff>24120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595995</xdr:colOff>
      <xdr:row>8</xdr:row>
      <xdr:rowOff>166007</xdr:rowOff>
    </xdr:from>
    <xdr:to>
      <xdr:col>22</xdr:col>
      <xdr:colOff>180975</xdr:colOff>
      <xdr:row>33</xdr:row>
      <xdr:rowOff>31545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208720</xdr:colOff>
      <xdr:row>8</xdr:row>
      <xdr:rowOff>155299</xdr:rowOff>
    </xdr:from>
    <xdr:to>
      <xdr:col>32</xdr:col>
      <xdr:colOff>333375</xdr:colOff>
      <xdr:row>33</xdr:row>
      <xdr:rowOff>20837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381000</xdr:colOff>
      <xdr:row>0</xdr:row>
      <xdr:rowOff>122465</xdr:rowOff>
    </xdr:from>
    <xdr:to>
      <xdr:col>25</xdr:col>
      <xdr:colOff>598714</xdr:colOff>
      <xdr:row>6</xdr:row>
      <xdr:rowOff>108857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1402786" y="122465"/>
          <a:ext cx="4503964" cy="11566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time to calc comparison for z factor. 100000 runs</a:t>
          </a:r>
        </a:p>
        <a:p>
          <a:r>
            <a:rPr lang="en-US" sz="1100"/>
            <a:t>z_cor = 0. Beggs Brill. time = 0.1289063</a:t>
          </a:r>
        </a:p>
        <a:p>
          <a:r>
            <a:rPr lang="en-US" sz="1100"/>
            <a:t>z_cor = 1. Dranchuk.  time = 5.355469</a:t>
          </a:r>
        </a:p>
        <a:p>
          <a:r>
            <a:rPr lang="en-US" sz="1100"/>
            <a:t>z_cor = 2. Kareem.  time = 0.25</a:t>
          </a:r>
        </a:p>
        <a:p>
          <a:endParaRPr lang="en-US" sz="1100"/>
        </a:p>
        <a:p>
          <a:r>
            <a:rPr lang="en-US" sz="1100"/>
            <a:t>run macro time_compare and read result in immediate window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285750</xdr:colOff>
          <xdr:row>1</xdr:row>
          <xdr:rowOff>190500</xdr:rowOff>
        </xdr:from>
        <xdr:to>
          <xdr:col>29</xdr:col>
          <xdr:colOff>342900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time_compare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3CF1F-355D-45E3-BD70-D728E399707B}">
  <sheetPr codeName="Лист1"/>
  <dimension ref="A1:AK107"/>
  <sheetViews>
    <sheetView tabSelected="1" zoomScale="85" zoomScaleNormal="85" workbookViewId="0">
      <selection activeCell="AH6" sqref="AH6"/>
    </sheetView>
  </sheetViews>
  <sheetFormatPr defaultRowHeight="15" x14ac:dyDescent="0.25"/>
  <sheetData>
    <row r="1" spans="1:17" x14ac:dyDescent="0.25">
      <c r="A1" s="7" t="s">
        <v>10</v>
      </c>
      <c r="F1" t="s">
        <v>11</v>
      </c>
      <c r="G1" t="str">
        <f>[1]!getUFVersion()</f>
        <v>7.22</v>
      </c>
    </row>
    <row r="2" spans="1:17" ht="15.75" thickBot="1" x14ac:dyDescent="0.3">
      <c r="A2" t="s">
        <v>0</v>
      </c>
      <c r="O2" t="s">
        <v>6</v>
      </c>
      <c r="P2">
        <v>0</v>
      </c>
      <c r="Q2" t="s">
        <v>7</v>
      </c>
    </row>
    <row r="3" spans="1:17" x14ac:dyDescent="0.25">
      <c r="K3" s="3" t="s">
        <v>5</v>
      </c>
      <c r="L3" s="4">
        <v>0.7</v>
      </c>
      <c r="P3">
        <v>1</v>
      </c>
      <c r="Q3" t="s">
        <v>8</v>
      </c>
    </row>
    <row r="4" spans="1:17" ht="15.75" thickBot="1" x14ac:dyDescent="0.3">
      <c r="K4" s="5" t="s">
        <v>6</v>
      </c>
      <c r="L4" s="6">
        <v>0</v>
      </c>
      <c r="P4">
        <v>2</v>
      </c>
      <c r="Q4" t="s">
        <v>9</v>
      </c>
    </row>
    <row r="32" ht="18" customHeight="1" x14ac:dyDescent="0.25"/>
    <row r="35" spans="3:37" x14ac:dyDescent="0.25">
      <c r="E35" t="s">
        <v>3</v>
      </c>
      <c r="F35">
        <v>1</v>
      </c>
      <c r="G35">
        <v>10</v>
      </c>
      <c r="H35">
        <v>19</v>
      </c>
      <c r="I35">
        <v>28</v>
      </c>
      <c r="J35">
        <v>37</v>
      </c>
      <c r="K35">
        <v>46</v>
      </c>
      <c r="L35">
        <v>55</v>
      </c>
      <c r="M35">
        <v>64</v>
      </c>
      <c r="N35">
        <v>73</v>
      </c>
      <c r="O35">
        <v>82</v>
      </c>
      <c r="P35">
        <v>91</v>
      </c>
      <c r="Q35">
        <v>100</v>
      </c>
      <c r="R35">
        <v>109</v>
      </c>
      <c r="S35">
        <v>118</v>
      </c>
      <c r="T35">
        <v>127</v>
      </c>
      <c r="U35">
        <v>136</v>
      </c>
      <c r="V35">
        <v>145</v>
      </c>
      <c r="W35">
        <v>154</v>
      </c>
      <c r="X35">
        <v>163</v>
      </c>
      <c r="Y35">
        <v>172</v>
      </c>
      <c r="Z35">
        <v>181</v>
      </c>
      <c r="AA35">
        <v>190</v>
      </c>
      <c r="AB35">
        <v>199</v>
      </c>
      <c r="AC35">
        <v>208</v>
      </c>
      <c r="AD35">
        <v>217</v>
      </c>
      <c r="AE35">
        <v>226</v>
      </c>
      <c r="AF35">
        <v>235</v>
      </c>
      <c r="AG35">
        <v>244</v>
      </c>
      <c r="AH35">
        <v>253</v>
      </c>
      <c r="AI35">
        <v>262</v>
      </c>
      <c r="AJ35">
        <v>271</v>
      </c>
      <c r="AK35">
        <v>280</v>
      </c>
    </row>
    <row r="36" spans="3:37" x14ac:dyDescent="0.25">
      <c r="E36" t="s">
        <v>4</v>
      </c>
      <c r="F36">
        <f>F35/10</f>
        <v>0.1</v>
      </c>
      <c r="G36">
        <f t="shared" ref="G36:AK36" si="0">G35/10</f>
        <v>1</v>
      </c>
      <c r="H36">
        <f t="shared" si="0"/>
        <v>1.9</v>
      </c>
      <c r="I36">
        <f t="shared" si="0"/>
        <v>2.8</v>
      </c>
      <c r="J36">
        <f t="shared" si="0"/>
        <v>3.7</v>
      </c>
      <c r="K36">
        <f t="shared" si="0"/>
        <v>4.5999999999999996</v>
      </c>
      <c r="L36">
        <f t="shared" si="0"/>
        <v>5.5</v>
      </c>
      <c r="M36">
        <f t="shared" si="0"/>
        <v>6.4</v>
      </c>
      <c r="N36">
        <f t="shared" si="0"/>
        <v>7.3</v>
      </c>
      <c r="O36">
        <f t="shared" si="0"/>
        <v>8.1999999999999993</v>
      </c>
      <c r="P36">
        <f t="shared" si="0"/>
        <v>9.1</v>
      </c>
      <c r="Q36">
        <f t="shared" si="0"/>
        <v>10</v>
      </c>
      <c r="R36">
        <f t="shared" si="0"/>
        <v>10.9</v>
      </c>
      <c r="S36">
        <f t="shared" si="0"/>
        <v>11.8</v>
      </c>
      <c r="T36">
        <f t="shared" si="0"/>
        <v>12.7</v>
      </c>
      <c r="U36">
        <f t="shared" si="0"/>
        <v>13.6</v>
      </c>
      <c r="V36">
        <f t="shared" si="0"/>
        <v>14.5</v>
      </c>
      <c r="W36">
        <f t="shared" si="0"/>
        <v>15.4</v>
      </c>
      <c r="X36">
        <f t="shared" si="0"/>
        <v>16.3</v>
      </c>
      <c r="Y36">
        <f t="shared" si="0"/>
        <v>17.2</v>
      </c>
      <c r="Z36">
        <f t="shared" si="0"/>
        <v>18.100000000000001</v>
      </c>
      <c r="AA36">
        <f t="shared" si="0"/>
        <v>19</v>
      </c>
      <c r="AB36">
        <f t="shared" si="0"/>
        <v>19.899999999999999</v>
      </c>
      <c r="AC36">
        <f t="shared" si="0"/>
        <v>20.8</v>
      </c>
      <c r="AD36">
        <f t="shared" si="0"/>
        <v>21.7</v>
      </c>
      <c r="AE36">
        <f t="shared" si="0"/>
        <v>22.6</v>
      </c>
      <c r="AF36">
        <f t="shared" si="0"/>
        <v>23.5</v>
      </c>
      <c r="AG36">
        <f t="shared" si="0"/>
        <v>24.4</v>
      </c>
      <c r="AH36">
        <f t="shared" si="0"/>
        <v>25.3</v>
      </c>
      <c r="AI36">
        <f t="shared" si="0"/>
        <v>26.2</v>
      </c>
      <c r="AJ36">
        <f t="shared" si="0"/>
        <v>27.1</v>
      </c>
      <c r="AK36">
        <f t="shared" si="0"/>
        <v>28</v>
      </c>
    </row>
    <row r="37" spans="3:37" x14ac:dyDescent="0.25">
      <c r="C37" t="s">
        <v>1</v>
      </c>
      <c r="D37" t="s">
        <v>2</v>
      </c>
    </row>
    <row r="38" spans="3:37" x14ac:dyDescent="0.25">
      <c r="C38">
        <v>0</v>
      </c>
      <c r="D38" s="2">
        <f t="shared" ref="D38:D58" si="1">C38+273.15</f>
        <v>273.14999999999998</v>
      </c>
      <c r="E38" t="str">
        <f>"t="&amp;C38&amp; " C"</f>
        <v>t=0 C</v>
      </c>
      <c r="F38" s="1" cm="1">
        <f t="array" ref="F38">unf_pvt_Zgas_d($D38,F$36,gg,zcor)</f>
        <v>0.99730571351238773</v>
      </c>
      <c r="G38" s="1" cm="1">
        <f t="array" ref="G38">unf_pvt_Zgas_d($D38,G$36,gg,zcor)</f>
        <v>0.97316027678862205</v>
      </c>
      <c r="H38" s="1" cm="1">
        <f t="array" ref="H38">unf_pvt_Zgas_d($D38,H$36,gg,zcor)</f>
        <v>0.95194125202582713</v>
      </c>
      <c r="I38" s="1" cm="1">
        <f t="array" ref="I38">unf_pvt_Zgas_d($D38,I$36,gg,zcor)</f>
        <v>0.93375502197294324</v>
      </c>
      <c r="J38" s="1" cm="1">
        <f t="array" ref="J38">unf_pvt_Zgas_d($D38,J$36,gg,zcor)</f>
        <v>0.91833086880931947</v>
      </c>
      <c r="K38" s="1" cm="1">
        <f t="array" ref="K38">unf_pvt_Zgas_d($D38,K$36,gg,zcor)</f>
        <v>0.90526153255148789</v>
      </c>
      <c r="L38" s="1" cm="1">
        <f t="array" ref="L38">unf_pvt_Zgas_d($D38,L$36,gg,zcor)</f>
        <v>0.89398756440802751</v>
      </c>
      <c r="M38" s="1" cm="1">
        <f t="array" ref="M38">unf_pvt_Zgas_d($D38,M$36,gg,zcor)</f>
        <v>0.88375430594304916</v>
      </c>
      <c r="N38" s="1" cm="1">
        <f t="array" ref="N38">unf_pvt_Zgas_d($D38,N$36,gg,zcor)</f>
        <v>0.87357195646572428</v>
      </c>
      <c r="O38" s="1" cm="1">
        <f t="array" ref="O38">unf_pvt_Zgas_d($D38,O$36,gg,zcor)</f>
        <v>0.86220141402959927</v>
      </c>
      <c r="P38" s="1" cm="1">
        <f t="array" ref="P38">unf_pvt_Zgas_d($D38,P$36,gg,zcor)</f>
        <v>0.84819883958893361</v>
      </c>
      <c r="Q38" s="1" cm="1">
        <f t="array" ref="Q38">unf_pvt_Zgas_d($D38,Q$36,gg,zcor)</f>
        <v>0.83006677347724434</v>
      </c>
      <c r="R38" s="1" cm="1">
        <f t="array" ref="R38">unf_pvt_Zgas_d($D38,R$36,gg,zcor)</f>
        <v>0.80656615784702124</v>
      </c>
      <c r="S38" s="1" cm="1">
        <f t="array" ref="S38">unf_pvt_Zgas_d($D38,S$36,gg,zcor)</f>
        <v>0.77721664911544486</v>
      </c>
      <c r="T38" s="1" cm="1">
        <f t="array" ref="T38">unf_pvt_Zgas_d($D38,T$36,gg,zcor)</f>
        <v>0.7429166893740683</v>
      </c>
      <c r="U38" s="1" cm="1">
        <f t="array" ref="U38">unf_pvt_Zgas_d($D38,U$36,gg,zcor)</f>
        <v>0.7064334515119669</v>
      </c>
      <c r="V38" s="1" cm="1">
        <f t="array" ref="V38">unf_pvt_Zgas_d($D38,V$36,gg,zcor)</f>
        <v>0.67231912438187158</v>
      </c>
      <c r="W38" s="1" cm="1">
        <f t="array" ref="W38">unf_pvt_Zgas_d($D38,W$36,gg,zcor)</f>
        <v>0.64583410241219785</v>
      </c>
      <c r="X38" s="1" cm="1">
        <f t="array" ref="X38">unf_pvt_Zgas_d($D38,X$36,gg,zcor)</f>
        <v>0.63098134032246922</v>
      </c>
      <c r="Y38" s="1" cm="1">
        <f t="array" ref="Y38">unf_pvt_Zgas_d($D38,Y$36,gg,zcor)</f>
        <v>0.6286746579010859</v>
      </c>
      <c r="Z38" s="1" cm="1">
        <f t="array" ref="Z38">unf_pvt_Zgas_d($D38,Z$36,gg,zcor)</f>
        <v>0.63648422824579709</v>
      </c>
      <c r="AA38" s="1" cm="1">
        <f t="array" ref="AA38">unf_pvt_Zgas_d($D38,AA$36,gg,zcor)</f>
        <v>0.65034767720704034</v>
      </c>
      <c r="AB38" s="1" cm="1">
        <f t="array" ref="AB38">unf_pvt_Zgas_d($D38,AB$36,gg,zcor)</f>
        <v>0.66681099588798942</v>
      </c>
      <c r="AC38" s="1" cm="1">
        <f t="array" ref="AC38">unf_pvt_Zgas_d($D38,AC$36,gg,zcor)</f>
        <v>0.68402838366744778</v>
      </c>
      <c r="AD38" s="1" cm="1">
        <f t="array" ref="AD38">unf_pvt_Zgas_d($D38,AD$36,gg,zcor)</f>
        <v>0.70136895881049011</v>
      </c>
      <c r="AE38" s="1" cm="1">
        <f t="array" ref="AE38">unf_pvt_Zgas_d($D38,AE$36,gg,zcor)</f>
        <v>0.71869933220044302</v>
      </c>
      <c r="AF38" s="1" cm="1">
        <f t="array" ref="AF38">unf_pvt_Zgas_d($D38,AF$36,gg,zcor)</f>
        <v>0.73600370239892143</v>
      </c>
      <c r="AG38" s="1" cm="1">
        <f t="array" ref="AG38">unf_pvt_Zgas_d($D38,AG$36,gg,zcor)</f>
        <v>0.75328196690183802</v>
      </c>
      <c r="AH38" s="1" cm="1">
        <f t="array" ref="AH38">unf_pvt_Zgas_d($D38,AH$36,gg,zcor)</f>
        <v>0.77053508561682393</v>
      </c>
      <c r="AI38" s="1" cm="1">
        <f t="array" ref="AI38">unf_pvt_Zgas_d($D38,AI$36,gg,zcor)</f>
        <v>0.78776398743907361</v>
      </c>
      <c r="AJ38" s="1" cm="1">
        <f t="array" ref="AJ38">unf_pvt_Zgas_d($D38,AJ$36,gg,zcor)</f>
        <v>0.80496953684159722</v>
      </c>
      <c r="AK38" s="1" cm="1">
        <f t="array" ref="AK38">unf_pvt_Zgas_d($D38,AK$36,gg,zcor)</f>
        <v>0.8221525397548628</v>
      </c>
    </row>
    <row r="39" spans="3:37" x14ac:dyDescent="0.25">
      <c r="C39">
        <v>10</v>
      </c>
      <c r="D39" s="2">
        <f t="shared" si="1"/>
        <v>283.14999999999998</v>
      </c>
      <c r="E39" t="str">
        <f t="shared" ref="E39:E58" si="2">"t="&amp;C39&amp; " C"</f>
        <v>t=10 C</v>
      </c>
      <c r="F39" s="1" cm="1">
        <f t="array" ref="F39">unf_pvt_Zgas_d($D39,F$36,gg,zcor)</f>
        <v>0.99761158580154763</v>
      </c>
      <c r="G39" s="1" cm="1">
        <f t="array" ref="G39">unf_pvt_Zgas_d($D39,G$36,gg,zcor)</f>
        <v>0.97605913342478878</v>
      </c>
      <c r="H39" s="1" cm="1">
        <f t="array" ref="H39">unf_pvt_Zgas_d($D39,H$36,gg,zcor)</f>
        <v>0.95716081594209401</v>
      </c>
      <c r="I39" s="1" cm="1">
        <f t="array" ref="I39">unf_pvt_Zgas_d($D39,I$36,gg,zcor)</f>
        <v>0.94106225172169489</v>
      </c>
      <c r="J39" s="1" cm="1">
        <f t="array" ref="J39">unf_pvt_Zgas_d($D39,J$36,gg,zcor)</f>
        <v>0.92756654219509049</v>
      </c>
      <c r="K39" s="1" cm="1">
        <f t="array" ref="K39">unf_pvt_Zgas_d($D39,K$36,gg,zcor)</f>
        <v>0.91640350788282932</v>
      </c>
      <c r="L39" s="1" cm="1">
        <f t="array" ref="L39">unf_pvt_Zgas_d($D39,L$36,gg,zcor)</f>
        <v>0.90724683617783597</v>
      </c>
      <c r="M39" s="1" cm="1">
        <f t="array" ref="M39">unf_pvt_Zgas_d($D39,M$36,gg,zcor)</f>
        <v>0.89970233795912813</v>
      </c>
      <c r="N39" s="1" cm="1">
        <f t="array" ref="N39">unf_pvt_Zgas_d($D39,N$36,gg,zcor)</f>
        <v>0.89328967880588672</v>
      </c>
      <c r="O39" s="1" cm="1">
        <f t="array" ref="O39">unf_pvt_Zgas_d($D39,O$36,gg,zcor)</f>
        <v>0.88742507604677612</v>
      </c>
      <c r="P39" s="1" cm="1">
        <f t="array" ref="P39">unf_pvt_Zgas_d($D39,P$36,gg,zcor)</f>
        <v>0.88141136482040738</v>
      </c>
      <c r="Q39" s="1" cm="1">
        <f t="array" ref="Q39">unf_pvt_Zgas_d($D39,Q$36,gg,zcor)</f>
        <v>0.87444428086528725</v>
      </c>
      <c r="R39" s="1" cm="1">
        <f t="array" ref="R39">unf_pvt_Zgas_d($D39,R$36,gg,zcor)</f>
        <v>0.8656477476477924</v>
      </c>
      <c r="S39" s="1" cm="1">
        <f t="array" ref="S39">unf_pvt_Zgas_d($D39,S$36,gg,zcor)</f>
        <v>0.85415455452285538</v>
      </c>
      <c r="T39" s="1" cm="1">
        <f t="array" ref="T39">unf_pvt_Zgas_d($D39,T$36,gg,zcor)</f>
        <v>0.83924858083119369</v>
      </c>
      <c r="U39" s="1" cm="1">
        <f t="array" ref="U39">unf_pvt_Zgas_d($D39,U$36,gg,zcor)</f>
        <v>0.8205747419407613</v>
      </c>
      <c r="V39" s="1" cm="1">
        <f t="array" ref="V39">unf_pvt_Zgas_d($D39,V$36,gg,zcor)</f>
        <v>0.79839583713522078</v>
      </c>
      <c r="W39" s="1" cm="1">
        <f t="array" ref="W39">unf_pvt_Zgas_d($D39,W$36,gg,zcor)</f>
        <v>0.77382804959142204</v>
      </c>
      <c r="X39" s="1" cm="1">
        <f t="array" ref="X39">unf_pvt_Zgas_d($D39,X$36,gg,zcor)</f>
        <v>0.74893042041940994</v>
      </c>
      <c r="Y39" s="1" cm="1">
        <f t="array" ref="Y39">unf_pvt_Zgas_d($D39,Y$36,gg,zcor)</f>
        <v>0.72649689099343429</v>
      </c>
      <c r="Z39" s="1" cm="1">
        <f t="array" ref="Z39">unf_pvt_Zgas_d($D39,Z$36,gg,zcor)</f>
        <v>0.70946473154998713</v>
      </c>
      <c r="AA39" s="1" cm="1">
        <f t="array" ref="AA39">unf_pvt_Zgas_d($D39,AA$36,gg,zcor)</f>
        <v>0.70004977858933437</v>
      </c>
      <c r="AB39" s="1" cm="1">
        <f t="array" ref="AB39">unf_pvt_Zgas_d($D39,AB$36,gg,zcor)</f>
        <v>0.69897643850991131</v>
      </c>
      <c r="AC39" s="1" cm="1">
        <f t="array" ref="AC39">unf_pvt_Zgas_d($D39,AC$36,gg,zcor)</f>
        <v>0.70527015834590001</v>
      </c>
      <c r="AD39" s="1" cm="1">
        <f t="array" ref="AD39">unf_pvt_Zgas_d($D39,AD$36,gg,zcor)</f>
        <v>0.71681070405304226</v>
      </c>
      <c r="AE39" s="1" cm="1">
        <f t="array" ref="AE39">unf_pvt_Zgas_d($D39,AE$36,gg,zcor)</f>
        <v>0.73131432384499462</v>
      </c>
      <c r="AF39" s="1" cm="1">
        <f t="array" ref="AF39">unf_pvt_Zgas_d($D39,AF$36,gg,zcor)</f>
        <v>0.74710613724233466</v>
      </c>
      <c r="AG39" s="1" cm="1">
        <f t="array" ref="AG39">unf_pvt_Zgas_d($D39,AG$36,gg,zcor)</f>
        <v>0.76330671939966199</v>
      </c>
      <c r="AH39" s="1" cm="1">
        <f t="array" ref="AH39">unf_pvt_Zgas_d($D39,AH$36,gg,zcor)</f>
        <v>0.77958649922854817</v>
      </c>
      <c r="AI39" s="1" cm="1">
        <f t="array" ref="AI39">unf_pvt_Zgas_d($D39,AI$36,gg,zcor)</f>
        <v>0.79585965832378014</v>
      </c>
      <c r="AJ39" s="1" cm="1">
        <f t="array" ref="AJ39">unf_pvt_Zgas_d($D39,AJ$36,gg,zcor)</f>
        <v>0.81211166615473007</v>
      </c>
      <c r="AK39" s="1" cm="1">
        <f t="array" ref="AK39">unf_pvt_Zgas_d($D39,AK$36,gg,zcor)</f>
        <v>0.82834154989424469</v>
      </c>
    </row>
    <row r="40" spans="3:37" x14ac:dyDescent="0.25">
      <c r="C40">
        <v>20</v>
      </c>
      <c r="D40" s="2">
        <f t="shared" si="1"/>
        <v>293.14999999999998</v>
      </c>
      <c r="E40" t="str">
        <f t="shared" si="2"/>
        <v>t=20 C</v>
      </c>
      <c r="F40" s="1" cm="1">
        <f t="array" ref="F40">unf_pvt_Zgas_d($D40,F$36,gg,zcor)</f>
        <v>0.99786861974569896</v>
      </c>
      <c r="G40" s="1" cm="1">
        <f t="array" ref="G40">unf_pvt_Zgas_d($D40,G$36,gg,zcor)</f>
        <v>0.97858254024491043</v>
      </c>
      <c r="H40" s="1" cm="1">
        <f t="array" ref="H40">unf_pvt_Zgas_d($D40,H$36,gg,zcor)</f>
        <v>0.96173365551596401</v>
      </c>
      <c r="I40" s="1" cm="1">
        <f t="array" ref="I40">unf_pvt_Zgas_d($D40,I$36,gg,zcor)</f>
        <v>0.94747445778166406</v>
      </c>
      <c r="J40" s="1" cm="1">
        <f t="array" ref="J40">unf_pvt_Zgas_d($D40,J$36,gg,zcor)</f>
        <v>0.93564352203966406</v>
      </c>
      <c r="K40" s="1" cm="1">
        <f t="array" ref="K40">unf_pvt_Zgas_d($D40,K$36,gg,zcor)</f>
        <v>0.92603132514669106</v>
      </c>
      <c r="L40" s="1" cm="1">
        <f t="array" ref="L40">unf_pvt_Zgas_d($D40,L$36,gg,zcor)</f>
        <v>0.91840820549046831</v>
      </c>
      <c r="M40" s="1" cm="1">
        <f t="array" ref="M40">unf_pvt_Zgas_d($D40,M$36,gg,zcor)</f>
        <v>0.91252528137167954</v>
      </c>
      <c r="N40" s="1" cm="1">
        <f t="array" ref="N40">unf_pvt_Zgas_d($D40,N$36,gg,zcor)</f>
        <v>0.90810826318729343</v>
      </c>
      <c r="O40" s="1" cm="1">
        <f t="array" ref="O40">unf_pvt_Zgas_d($D40,O$36,gg,zcor)</f>
        <v>0.90484906526751507</v>
      </c>
      <c r="P40" s="1" cm="1">
        <f t="array" ref="P40">unf_pvt_Zgas_d($D40,P$36,gg,zcor)</f>
        <v>0.90239732915329562</v>
      </c>
      <c r="Q40" s="1" cm="1">
        <f t="array" ref="Q40">unf_pvt_Zgas_d($D40,Q$36,gg,zcor)</f>
        <v>0.90035360472696579</v>
      </c>
      <c r="R40" s="1" cm="1">
        <f t="array" ref="R40">unf_pvt_Zgas_d($D40,R$36,gg,zcor)</f>
        <v>0.89826642783513178</v>
      </c>
      <c r="S40" s="1" cm="1">
        <f t="array" ref="S40">unf_pvt_Zgas_d($D40,S$36,gg,zcor)</f>
        <v>0.8956364879043196</v>
      </c>
      <c r="T40" s="1" cm="1">
        <f t="array" ref="T40">unf_pvt_Zgas_d($D40,T$36,gg,zcor)</f>
        <v>0.89193224748978694</v>
      </c>
      <c r="U40" s="1" cm="1">
        <f t="array" ref="U40">unf_pvt_Zgas_d($D40,U$36,gg,zcor)</f>
        <v>0.88662234802032824</v>
      </c>
      <c r="V40" s="1" cm="1">
        <f t="array" ref="V40">unf_pvt_Zgas_d($D40,V$36,gg,zcor)</f>
        <v>0.87923015610687638</v>
      </c>
      <c r="W40" s="1" cm="1">
        <f t="array" ref="W40">unf_pvt_Zgas_d($D40,W$36,gg,zcor)</f>
        <v>0.86941366842013024</v>
      </c>
      <c r="X40" s="1" cm="1">
        <f t="array" ref="X40">unf_pvt_Zgas_d($D40,X$36,gg,zcor)</f>
        <v>0.85706817597193086</v>
      </c>
      <c r="Y40" s="1" cm="1">
        <f t="array" ref="Y40">unf_pvt_Zgas_d($D40,Y$36,gg,zcor)</f>
        <v>0.84243837854798509</v>
      </c>
      <c r="Z40" s="1" cm="1">
        <f t="array" ref="Z40">unf_pvt_Zgas_d($D40,Z$36,gg,zcor)</f>
        <v>0.8262115500825058</v>
      </c>
      <c r="AA40" s="1" cm="1">
        <f t="array" ref="AA40">unf_pvt_Zgas_d($D40,AA$36,gg,zcor)</f>
        <v>0.80954821262964372</v>
      </c>
      <c r="AB40" s="1" cm="1">
        <f t="array" ref="AB40">unf_pvt_Zgas_d($D40,AB$36,gg,zcor)</f>
        <v>0.79400131938784302</v>
      </c>
      <c r="AC40" s="1" cm="1">
        <f t="array" ref="AC40">unf_pvt_Zgas_d($D40,AC$36,gg,zcor)</f>
        <v>0.78129270185138811</v>
      </c>
      <c r="AD40" s="1" cm="1">
        <f t="array" ref="AD40">unf_pvt_Zgas_d($D40,AD$36,gg,zcor)</f>
        <v>0.77296568271572152</v>
      </c>
      <c r="AE40" s="1" cm="1">
        <f t="array" ref="AE40">unf_pvt_Zgas_d($D40,AE$36,gg,zcor)</f>
        <v>0.77000583268537615</v>
      </c>
      <c r="AF40" s="1" cm="1">
        <f t="array" ref="AF40">unf_pvt_Zgas_d($D40,AF$36,gg,zcor)</f>
        <v>0.77257931903360499</v>
      </c>
      <c r="AG40" s="1" cm="1">
        <f t="array" ref="AG40">unf_pvt_Zgas_d($D40,AG$36,gg,zcor)</f>
        <v>0.78002522230561355</v>
      </c>
      <c r="AH40" s="1" cm="1">
        <f t="array" ref="AH40">unf_pvt_Zgas_d($D40,AH$36,gg,zcor)</f>
        <v>0.79112873932818784</v>
      </c>
      <c r="AI40" s="1" cm="1">
        <f t="array" ref="AI40">unf_pvt_Zgas_d($D40,AI$36,gg,zcor)</f>
        <v>0.80454787469702305</v>
      </c>
      <c r="AJ40" s="1" cm="1">
        <f t="array" ref="AJ40">unf_pvt_Zgas_d($D40,AJ$36,gg,zcor)</f>
        <v>0.81918146691171378</v>
      </c>
      <c r="AK40" s="1" cm="1">
        <f t="array" ref="AK40">unf_pvt_Zgas_d($D40,AK$36,gg,zcor)</f>
        <v>0.83432784146984373</v>
      </c>
    </row>
    <row r="41" spans="3:37" x14ac:dyDescent="0.25">
      <c r="C41">
        <v>30</v>
      </c>
      <c r="D41" s="2">
        <f t="shared" si="1"/>
        <v>303.14999999999998</v>
      </c>
      <c r="E41" t="str">
        <f t="shared" si="2"/>
        <v>t=30 C</v>
      </c>
      <c r="F41" s="1" cm="1">
        <f t="array" ref="F41">unf_pvt_Zgas_d($D41,F$36,gg,zcor)</f>
        <v>0.99808401251760615</v>
      </c>
      <c r="G41" s="1" cm="1">
        <f t="array" ref="G41">unf_pvt_Zgas_d($D41,G$36,gg,zcor)</f>
        <v>0.9807873633520231</v>
      </c>
      <c r="H41" s="1" cm="1">
        <f t="array" ref="H41">unf_pvt_Zgas_d($D41,H$36,gg,zcor)</f>
        <v>0.96576139305853603</v>
      </c>
      <c r="I41" s="1" cm="1">
        <f t="array" ref="I41">unf_pvt_Zgas_d($D41,I$36,gg,zcor)</f>
        <v>0.95314202601951659</v>
      </c>
      <c r="J41" s="1" cm="1">
        <f t="array" ref="J41">unf_pvt_Zgas_d($D41,J$36,gg,zcor)</f>
        <v>0.94278570620473556</v>
      </c>
      <c r="K41" s="1" cm="1">
        <f t="array" ref="K41">unf_pvt_Zgas_d($D41,K$36,gg,zcor)</f>
        <v>0.93451335785671619</v>
      </c>
      <c r="L41" s="1" cm="1">
        <f t="array" ref="L41">unf_pvt_Zgas_d($D41,L$36,gg,zcor)</f>
        <v>0.92813974873888672</v>
      </c>
      <c r="M41" s="1" cm="1">
        <f t="array" ref="M41">unf_pvt_Zgas_d($D41,M$36,gg,zcor)</f>
        <v>0.92347867201855993</v>
      </c>
      <c r="N41" s="1" cm="1">
        <f t="array" ref="N41">unf_pvt_Zgas_d($D41,N$36,gg,zcor)</f>
        <v>0.92034176013397506</v>
      </c>
      <c r="O41" s="1" cm="1">
        <f t="array" ref="O41">unf_pvt_Zgas_d($D41,O$36,gg,zcor)</f>
        <v>0.91853505308111583</v>
      </c>
      <c r="P41" s="1" cm="1">
        <f t="array" ref="P41">unf_pvt_Zgas_d($D41,P$36,gg,zcor)</f>
        <v>0.91785468704651385</v>
      </c>
      <c r="Q41" s="1" cm="1">
        <f t="array" ref="Q41">unf_pvt_Zgas_d($D41,Q$36,gg,zcor)</f>
        <v>0.91808233204546497</v>
      </c>
      <c r="R41" s="1" cm="1">
        <f t="array" ref="R41">unf_pvt_Zgas_d($D41,R$36,gg,zcor)</f>
        <v>0.9189808404661115</v>
      </c>
      <c r="S41" s="1" cm="1">
        <f t="array" ref="S41">unf_pvt_Zgas_d($D41,S$36,gg,zcor)</f>
        <v>0.92029063498960306</v>
      </c>
      <c r="T41" s="1" cm="1">
        <f t="array" ref="T41">unf_pvt_Zgas_d($D41,T$36,gg,zcor)</f>
        <v>0.92172756760225438</v>
      </c>
      <c r="U41" s="1" cm="1">
        <f t="array" ref="U41">unf_pvt_Zgas_d($D41,U$36,gg,zcor)</f>
        <v>0.92298328170006716</v>
      </c>
      <c r="V41" s="1" cm="1">
        <f t="array" ref="V41">unf_pvt_Zgas_d($D41,V$36,gg,zcor)</f>
        <v>0.92372946595464822</v>
      </c>
      <c r="W41" s="1" cm="1">
        <f t="array" ref="W41">unf_pvt_Zgas_d($D41,W$36,gg,zcor)</f>
        <v>0.92362772766781343</v>
      </c>
      <c r="X41" s="1" cm="1">
        <f t="array" ref="X41">unf_pvt_Zgas_d($D41,X$36,gg,zcor)</f>
        <v>0.92234699983988999</v>
      </c>
      <c r="Y41" s="1" cm="1">
        <f t="array" ref="Y41">unf_pvt_Zgas_d($D41,Y$36,gg,zcor)</f>
        <v>0.91959021198611135</v>
      </c>
      <c r="Z41" s="1" cm="1">
        <f t="array" ref="Z41">unf_pvt_Zgas_d($D41,Z$36,gg,zcor)</f>
        <v>0.9151310959810155</v>
      </c>
      <c r="AA41" s="1" cm="1">
        <f t="array" ref="AA41">unf_pvt_Zgas_d($D41,AA$36,gg,zcor)</f>
        <v>0.90886012052702958</v>
      </c>
      <c r="AB41" s="1" cm="1">
        <f t="array" ref="AB41">unf_pvt_Zgas_d($D41,AB$36,gg,zcor)</f>
        <v>0.90083539832933457</v>
      </c>
      <c r="AC41" s="1" cm="1">
        <f t="array" ref="AC41">unf_pvt_Zgas_d($D41,AC$36,gg,zcor)</f>
        <v>0.89133007806904285</v>
      </c>
      <c r="AD41" s="1" cm="1">
        <f t="array" ref="AD41">unf_pvt_Zgas_d($D41,AD$36,gg,zcor)</f>
        <v>0.88086300294531139</v>
      </c>
      <c r="AE41" s="1" cm="1">
        <f t="array" ref="AE41">unf_pvt_Zgas_d($D41,AE$36,gg,zcor)</f>
        <v>0.87019608779726121</v>
      </c>
      <c r="AF41" s="1" cm="1">
        <f t="array" ref="AF41">unf_pvt_Zgas_d($D41,AF$36,gg,zcor)</f>
        <v>0.86028272757621649</v>
      </c>
      <c r="AG41" s="1" cm="1">
        <f t="array" ref="AG41">unf_pvt_Zgas_d($D41,AG$36,gg,zcor)</f>
        <v>0.85215957006870313</v>
      </c>
      <c r="AH41" s="1" cm="1">
        <f t="array" ref="AH41">unf_pvt_Zgas_d($D41,AH$36,gg,zcor)</f>
        <v>0.84679041680373601</v>
      </c>
      <c r="AI41" s="1" cm="1">
        <f t="array" ref="AI41">unf_pvt_Zgas_d($D41,AI$36,gg,zcor)</f>
        <v>0.84489283682375682</v>
      </c>
      <c r="AJ41" s="1" cm="1">
        <f t="array" ref="AJ41">unf_pvt_Zgas_d($D41,AJ$36,gg,zcor)</f>
        <v>0.84679647170230432</v>
      </c>
      <c r="AK41" s="1" cm="1">
        <f t="array" ref="AK41">unf_pvt_Zgas_d($D41,AK$36,gg,zcor)</f>
        <v>0.85238450263736565</v>
      </c>
    </row>
    <row r="42" spans="3:37" x14ac:dyDescent="0.25">
      <c r="C42">
        <v>40</v>
      </c>
      <c r="D42" s="2">
        <f t="shared" si="1"/>
        <v>313.14999999999998</v>
      </c>
      <c r="E42" t="str">
        <f t="shared" si="2"/>
        <v>t=40 C</v>
      </c>
      <c r="F42" s="1" cm="1">
        <f t="array" ref="F42">unf_pvt_Zgas_d($D42,F$36,gg,zcor)</f>
        <v>0.99826393374218769</v>
      </c>
      <c r="G42" s="1" cm="1">
        <f t="array" ref="G42">unf_pvt_Zgas_d($D42,G$36,gg,zcor)</f>
        <v>0.98271889994872763</v>
      </c>
      <c r="H42" s="1" cm="1">
        <f t="array" ref="H42">unf_pvt_Zgas_d($D42,H$36,gg,zcor)</f>
        <v>0.96932269188879694</v>
      </c>
      <c r="I42" s="1" cm="1">
        <f t="array" ref="I42">unf_pvt_Zgas_d($D42,I$36,gg,zcor)</f>
        <v>0.95817648945800427</v>
      </c>
      <c r="J42" s="1" cm="1">
        <f t="array" ref="J42">unf_pvt_Zgas_d($D42,J$36,gg,zcor)</f>
        <v>0.94914503647041326</v>
      </c>
      <c r="K42" s="1" cm="1">
        <f t="array" ref="K42">unf_pvt_Zgas_d($D42,K$36,gg,zcor)</f>
        <v>0.9420667117618694</v>
      </c>
      <c r="L42" s="1" cm="1">
        <f t="array" ref="L42">unf_pvt_Zgas_d($D42,L$36,gg,zcor)</f>
        <v>0.93677999618631758</v>
      </c>
      <c r="M42" s="1" cm="1">
        <f t="array" ref="M42">unf_pvt_Zgas_d($D42,M$36,gg,zcor)</f>
        <v>0.93312933350963645</v>
      </c>
      <c r="N42" s="1" cm="1">
        <f t="array" ref="N42">unf_pvt_Zgas_d($D42,N$36,gg,zcor)</f>
        <v>0.93096562466694199</v>
      </c>
      <c r="O42" s="1" cm="1">
        <f t="array" ref="O42">unf_pvt_Zgas_d($D42,O$36,gg,zcor)</f>
        <v>0.9301448487429621</v>
      </c>
      <c r="P42" s="1" cm="1">
        <f t="array" ref="P42">unf_pvt_Zgas_d($D42,P$36,gg,zcor)</f>
        <v>0.93052591588746281</v>
      </c>
      <c r="Q42" s="1" cm="1">
        <f t="array" ref="Q42">unf_pvt_Zgas_d($D42,Q$36,gg,zcor)</f>
        <v>0.93196817353727934</v>
      </c>
      <c r="R42" s="1" cm="1">
        <f t="array" ref="R42">unf_pvt_Zgas_d($D42,R$36,gg,zcor)</f>
        <v>0.93432875636856605</v>
      </c>
      <c r="S42" s="1" cm="1">
        <f t="array" ref="S42">unf_pvt_Zgas_d($D42,S$36,gg,zcor)</f>
        <v>0.93745989524354845</v>
      </c>
      <c r="T42" s="1" cm="1">
        <f t="array" ref="T42">unf_pvt_Zgas_d($D42,T$36,gg,zcor)</f>
        <v>0.94120629395121203</v>
      </c>
      <c r="U42" s="1" cm="1">
        <f t="array" ref="U42">unf_pvt_Zgas_d($D42,U$36,gg,zcor)</f>
        <v>0.94540271620487415</v>
      </c>
      <c r="V42" s="1" cm="1">
        <f t="array" ref="V42">unf_pvt_Zgas_d($D42,V$36,gg,zcor)</f>
        <v>0.94987198935666461</v>
      </c>
      <c r="W42" s="1" cm="1">
        <f t="array" ref="W42">unf_pvt_Zgas_d($D42,W$36,gg,zcor)</f>
        <v>0.95442372146322751</v>
      </c>
      <c r="X42" s="1" cm="1">
        <f t="array" ref="X42">unf_pvt_Zgas_d($D42,X$36,gg,zcor)</f>
        <v>0.95885414013036863</v>
      </c>
      <c r="Y42" s="1" cm="1">
        <f t="array" ref="Y42">unf_pvt_Zgas_d($D42,Y$36,gg,zcor)</f>
        <v>0.96294758562173211</v>
      </c>
      <c r="Z42" s="1" cm="1">
        <f t="array" ref="Z42">unf_pvt_Zgas_d($D42,Z$36,gg,zcor)</f>
        <v>0.96648030845172372</v>
      </c>
      <c r="AA42" s="1" cm="1">
        <f t="array" ref="AA42">unf_pvt_Zgas_d($D42,AA$36,gg,zcor)</f>
        <v>0.96922730056782558</v>
      </c>
      <c r="AB42" s="1" cm="1">
        <f t="array" ref="AB42">unf_pvt_Zgas_d($D42,AB$36,gg,zcor)</f>
        <v>0.97097287865180659</v>
      </c>
      <c r="AC42" s="1" cm="1">
        <f t="array" ref="AC42">unf_pvt_Zgas_d($D42,AC$36,gg,zcor)</f>
        <v>0.9715255679276481</v>
      </c>
      <c r="AD42" s="1" cm="1">
        <f t="array" ref="AD42">unf_pvt_Zgas_d($D42,AD$36,gg,zcor)</f>
        <v>0.97073742064793833</v>
      </c>
      <c r="AE42" s="1" cm="1">
        <f t="array" ref="AE42">unf_pvt_Zgas_d($D42,AE$36,gg,zcor)</f>
        <v>0.9685271631297212</v>
      </c>
      <c r="AF42" s="1" cm="1">
        <f t="array" ref="AF42">unf_pvt_Zgas_d($D42,AF$36,gg,zcor)</f>
        <v>0.96490545363862212</v>
      </c>
      <c r="AG42" s="1" cm="1">
        <f t="array" ref="AG42">unf_pvt_Zgas_d($D42,AG$36,gg,zcor)</f>
        <v>0.95999909664006378</v>
      </c>
      <c r="AH42" s="1" cm="1">
        <f t="array" ref="AH42">unf_pvt_Zgas_d($D42,AH$36,gg,zcor)</f>
        <v>0.95406950258698309</v>
      </c>
      <c r="AI42" s="1" cm="1">
        <f t="array" ref="AI42">unf_pvt_Zgas_d($D42,AI$36,gg,zcor)</f>
        <v>0.94751943098413782</v>
      </c>
      <c r="AJ42" s="1" cm="1">
        <f t="array" ref="AJ42">unf_pvt_Zgas_d($D42,AJ$36,gg,zcor)</f>
        <v>0.94088175599462531</v>
      </c>
      <c r="AK42" s="1" cm="1">
        <f t="array" ref="AK42">unf_pvt_Zgas_d($D42,AK$36,gg,zcor)</f>
        <v>0.93478540667592391</v>
      </c>
    </row>
    <row r="43" spans="3:37" x14ac:dyDescent="0.25">
      <c r="C43">
        <v>50</v>
      </c>
      <c r="D43" s="2">
        <f t="shared" si="1"/>
        <v>323.14999999999998</v>
      </c>
      <c r="E43" t="str">
        <f t="shared" si="2"/>
        <v>t=50 C</v>
      </c>
      <c r="F43" s="1" cm="1">
        <f t="array" ref="F43">unf_pvt_Zgas_d($D43,F$36,gg,zcor)</f>
        <v>0.99841379839616073</v>
      </c>
      <c r="G43" s="1" cm="1">
        <f t="array" ref="G43">unf_pvt_Zgas_d($D43,G$36,gg,zcor)</f>
        <v>0.98441426031847001</v>
      </c>
      <c r="H43" s="1" cm="1">
        <f t="array" ref="H43">unf_pvt_Zgas_d($D43,H$36,gg,zcor)</f>
        <v>0.97248038745312615</v>
      </c>
      <c r="I43" s="1" cm="1">
        <f t="array" ref="I43">unf_pvt_Zgas_d($D43,I$36,gg,zcor)</f>
        <v>0.96266438383963693</v>
      </c>
      <c r="J43" s="1" cm="1">
        <f t="array" ref="J43">unf_pvt_Zgas_d($D43,J$36,gg,zcor)</f>
        <v>0.95483313329806196</v>
      </c>
      <c r="K43" s="1" cm="1">
        <f t="array" ref="K43">unf_pvt_Zgas_d($D43,K$36,gg,zcor)</f>
        <v>0.94883603495239544</v>
      </c>
      <c r="L43" s="1" cm="1">
        <f t="array" ref="L43">unf_pvt_Zgas_d($D43,L$36,gg,zcor)</f>
        <v>0.94452638997504967</v>
      </c>
      <c r="M43" s="1" cm="1">
        <f t="array" ref="M43">unf_pvt_Zgas_d($D43,M$36,gg,zcor)</f>
        <v>0.941766370189831</v>
      </c>
      <c r="N43" s="1" cm="1">
        <f t="array" ref="N43">unf_pvt_Zgas_d($D43,N$36,gg,zcor)</f>
        <v>0.94042775616809082</v>
      </c>
      <c r="O43" s="1" cm="1">
        <f t="array" ref="O43">unf_pvt_Zgas_d($D43,O$36,gg,zcor)</f>
        <v>0.94039123606969188</v>
      </c>
      <c r="P43" s="1" cm="1">
        <f t="array" ref="P43">unf_pvt_Zgas_d($D43,P$36,gg,zcor)</f>
        <v>0.94154514348404927</v>
      </c>
      <c r="Q43" s="1" cm="1">
        <f t="array" ref="Q43">unf_pvt_Zgas_d($D43,Q$36,gg,zcor)</f>
        <v>0.94378396024466482</v>
      </c>
      <c r="R43" s="1" cm="1">
        <f t="array" ref="R43">unf_pvt_Zgas_d($D43,R$36,gg,zcor)</f>
        <v>0.94700671518358193</v>
      </c>
      <c r="S43" s="1" cm="1">
        <f t="array" ref="S43">unf_pvt_Zgas_d($D43,S$36,gg,zcor)</f>
        <v>0.95111533239318002</v>
      </c>
      <c r="T43" s="1" cm="1">
        <f t="array" ref="T43">unf_pvt_Zgas_d($D43,T$36,gg,zcor)</f>
        <v>0.95601295112853091</v>
      </c>
      <c r="U43" s="1" cm="1">
        <f t="array" ref="U43">unf_pvt_Zgas_d($D43,U$36,gg,zcor)</f>
        <v>0.96160222925600369</v>
      </c>
      <c r="V43" s="1" cm="1">
        <f t="array" ref="V43">unf_pvt_Zgas_d($D43,V$36,gg,zcor)</f>
        <v>0.96778364387085691</v>
      </c>
      <c r="W43" s="1" cm="1">
        <f t="array" ref="W43">unf_pvt_Zgas_d($D43,W$36,gg,zcor)</f>
        <v>0.97445381294460232</v>
      </c>
      <c r="X43" s="1" cm="1">
        <f t="array" ref="X43">unf_pvt_Zgas_d($D43,X$36,gg,zcor)</f>
        <v>0.98150387961576324</v>
      </c>
      <c r="Y43" s="1" cm="1">
        <f t="array" ref="Y43">unf_pvt_Zgas_d($D43,Y$36,gg,zcor)</f>
        <v>0.98881802599719859</v>
      </c>
      <c r="Z43" s="1" cm="1">
        <f t="array" ref="Z43">unf_pvt_Zgas_d($D43,Z$36,gg,zcor)</f>
        <v>0.9962722163677914</v>
      </c>
      <c r="AA43" s="1" cm="1">
        <f t="array" ref="AA43">unf_pvt_Zgas_d($D43,AA$36,gg,zcor)</f>
        <v>1.0037333102136279</v>
      </c>
      <c r="AB43" s="1" cm="1">
        <f t="array" ref="AB43">unf_pvt_Zgas_d($D43,AB$36,gg,zcor)</f>
        <v>1.0110587326469027</v>
      </c>
      <c r="AC43" s="1" cm="1">
        <f t="array" ref="AC43">unf_pvt_Zgas_d($D43,AC$36,gg,zcor)</f>
        <v>1.0180969403306042</v>
      </c>
      <c r="AD43" s="1" cm="1">
        <f t="array" ref="AD43">unf_pvt_Zgas_d($D43,AD$36,gg,zcor)</f>
        <v>1.0246889695000181</v>
      </c>
      <c r="AE43" s="1" cm="1">
        <f t="array" ref="AE43">unf_pvt_Zgas_d($D43,AE$36,gg,zcor)</f>
        <v>1.0306713895307424</v>
      </c>
      <c r="AF43" s="1" cm="1">
        <f t="array" ref="AF43">unf_pvt_Zgas_d($D43,AF$36,gg,zcor)</f>
        <v>1.0358809965506592</v>
      </c>
      <c r="AG43" s="1" cm="1">
        <f t="array" ref="AG43">unf_pvt_Zgas_d($D43,AG$36,gg,zcor)</f>
        <v>1.0401615474341539</v>
      </c>
      <c r="AH43" s="1" cm="1">
        <f t="array" ref="AH43">unf_pvt_Zgas_d($D43,AH$36,gg,zcor)</f>
        <v>1.0433727312417445</v>
      </c>
      <c r="AI43" s="1" cm="1">
        <f t="array" ref="AI43">unf_pvt_Zgas_d($D43,AI$36,gg,zcor)</f>
        <v>1.0454013770317678</v>
      </c>
      <c r="AJ43" s="1" cm="1">
        <f t="array" ref="AJ43">unf_pvt_Zgas_d($D43,AJ$36,gg,zcor)</f>
        <v>1.0461745820704469</v>
      </c>
      <c r="AK43" s="1" cm="1">
        <f t="array" ref="AK43">unf_pvt_Zgas_d($D43,AK$36,gg,zcor)</f>
        <v>1.0456740042374533</v>
      </c>
    </row>
    <row r="44" spans="3:37" x14ac:dyDescent="0.25">
      <c r="C44">
        <v>60</v>
      </c>
      <c r="D44" s="2">
        <f t="shared" si="1"/>
        <v>333.15</v>
      </c>
      <c r="E44" t="str">
        <f t="shared" si="2"/>
        <v>t=60 C</v>
      </c>
      <c r="F44" s="1" cm="1">
        <f t="array" ref="F44">unf_pvt_Zgas_d($D44,F$36,gg,zcor)</f>
        <v>0.99853843172122336</v>
      </c>
      <c r="G44" s="1" cm="1">
        <f t="array" ref="G44">unf_pvt_Zgas_d($D44,G$36,gg,zcor)</f>
        <v>0.98590454559432439</v>
      </c>
      <c r="H44" s="1" cm="1">
        <f t="array" ref="H44">unf_pvt_Zgas_d($D44,H$36,gg,zcor)</f>
        <v>0.97528594526136614</v>
      </c>
      <c r="I44" s="1" cm="1">
        <f t="array" ref="I44">unf_pvt_Zgas_d($D44,I$36,gg,zcor)</f>
        <v>0.96667506964668881</v>
      </c>
      <c r="J44" s="1" cm="1">
        <f t="array" ref="J44">unf_pvt_Zgas_d($D44,J$36,gg,zcor)</f>
        <v>0.95993650101401429</v>
      </c>
      <c r="K44" s="1" cm="1">
        <f t="array" ref="K44">unf_pvt_Zgas_d($D44,K$36,gg,zcor)</f>
        <v>0.95492686554523176</v>
      </c>
      <c r="L44" s="1" cm="1">
        <f t="array" ref="L44">unf_pvt_Zgas_d($D44,L$36,gg,zcor)</f>
        <v>0.95150991384112038</v>
      </c>
      <c r="M44" s="1" cm="1">
        <f t="array" ref="M44">unf_pvt_Zgas_d($D44,M$36,gg,zcor)</f>
        <v>0.94955985940534149</v>
      </c>
      <c r="N44" s="1" cm="1">
        <f t="array" ref="N44">unf_pvt_Zgas_d($D44,N$36,gg,zcor)</f>
        <v>0.94896173312825005</v>
      </c>
      <c r="O44" s="1" cm="1">
        <f t="array" ref="O44">unf_pvt_Zgas_d($D44,O$36,gg,zcor)</f>
        <v>0.9496107589082825</v>
      </c>
      <c r="P44" s="1" cm="1">
        <f t="array" ref="P44">unf_pvt_Zgas_d($D44,P$36,gg,zcor)</f>
        <v>0.95141137945008347</v>
      </c>
      <c r="Q44" s="1" cm="1">
        <f t="array" ref="Q44">unf_pvt_Zgas_d($D44,Q$36,gg,zcor)</f>
        <v>0.95427616398703474</v>
      </c>
      <c r="R44" s="1" cm="1">
        <f t="array" ref="R44">unf_pvt_Zgas_d($D44,R$36,gg,zcor)</f>
        <v>0.95812468897559422</v>
      </c>
      <c r="S44" s="1" cm="1">
        <f t="array" ref="S44">unf_pvt_Zgas_d($D44,S$36,gg,zcor)</f>
        <v>0.96288242583323413</v>
      </c>
      <c r="T44" s="1" cm="1">
        <f t="array" ref="T44">unf_pvt_Zgas_d($D44,T$36,gg,zcor)</f>
        <v>0.96847964460927771</v>
      </c>
      <c r="U44" s="1" cm="1">
        <f t="array" ref="U44">unf_pvt_Zgas_d($D44,U$36,gg,zcor)</f>
        <v>0.97485033086753636</v>
      </c>
      <c r="V44" s="1" cm="1">
        <f t="array" ref="V44">unf_pvt_Zgas_d($D44,V$36,gg,zcor)</f>
        <v>0.9819311078929589</v>
      </c>
      <c r="W44" s="1" cm="1">
        <f t="array" ref="W44">unf_pvt_Zgas_d($D44,W$36,gg,zcor)</f>
        <v>0.98966015463083057</v>
      </c>
      <c r="X44" s="1" cm="1">
        <f t="array" ref="X44">unf_pvt_Zgas_d($D44,X$36,gg,zcor)</f>
        <v>0.99797611027346822</v>
      </c>
      <c r="Y44" s="1" cm="1">
        <f t="array" ref="Y44">unf_pvt_Zgas_d($D44,Y$36,gg,zcor)</f>
        <v>1.0068169586702884</v>
      </c>
      <c r="Z44" s="1" cm="1">
        <f t="array" ref="Z44">unf_pvt_Zgas_d($D44,Z$36,gg,zcor)</f>
        <v>1.0161188897059517</v>
      </c>
      <c r="AA44" s="1" cm="1">
        <f t="array" ref="AA44">unf_pvt_Zgas_d($D44,AA$36,gg,zcor)</f>
        <v>1.0258151406532718</v>
      </c>
      <c r="AB44" s="1" cm="1">
        <f t="array" ref="AB44">unf_pvt_Zgas_d($D44,AB$36,gg,zcor)</f>
        <v>1.0358348285860937</v>
      </c>
      <c r="AC44" s="1" cm="1">
        <f t="array" ref="AC44">unf_pvt_Zgas_d($D44,AC$36,gg,zcor)</f>
        <v>1.0461017956272434</v>
      </c>
      <c r="AD44" s="1" cm="1">
        <f t="array" ref="AD44">unf_pvt_Zgas_d($D44,AD$36,gg,zcor)</f>
        <v>1.0565335025059088</v>
      </c>
      <c r="AE44" s="1" cm="1">
        <f t="array" ref="AE44">unf_pvt_Zgas_d($D44,AE$36,gg,zcor)</f>
        <v>1.0670400229190837</v>
      </c>
      <c r="AF44" s="1" cm="1">
        <f t="array" ref="AF44">unf_pvt_Zgas_d($D44,AF$36,gg,zcor)</f>
        <v>1.0775232116337274</v>
      </c>
      <c r="AG44" s="1" cm="1">
        <f t="array" ref="AG44">unf_pvt_Zgas_d($D44,AG$36,gg,zcor)</f>
        <v>1.087876142847672</v>
      </c>
      <c r="AH44" s="1" cm="1">
        <f t="array" ref="AH44">unf_pvt_Zgas_d($D44,AH$36,gg,zcor)</f>
        <v>1.0979829411556523</v>
      </c>
      <c r="AI44" s="1" cm="1">
        <f t="array" ref="AI44">unf_pvt_Zgas_d($D44,AI$36,gg,zcor)</f>
        <v>1.1077191537594608</v>
      </c>
      <c r="AJ44" s="1" cm="1">
        <f t="array" ref="AJ44">unf_pvt_Zgas_d($D44,AJ$36,gg,zcor)</f>
        <v>1.1169528363277206</v>
      </c>
      <c r="AK44" s="1" cm="1">
        <f t="array" ref="AK44">unf_pvt_Zgas_d($D44,AK$36,gg,zcor)</f>
        <v>1.125546541640192</v>
      </c>
    </row>
    <row r="45" spans="3:37" x14ac:dyDescent="0.25">
      <c r="C45">
        <v>70</v>
      </c>
      <c r="D45" s="2">
        <f t="shared" si="1"/>
        <v>343.15</v>
      </c>
      <c r="E45" t="str">
        <f t="shared" si="2"/>
        <v>t=70 C</v>
      </c>
      <c r="F45" s="1" cm="1">
        <f t="array" ref="F45">unf_pvt_Zgas_d($D45,F$36,gg,zcor)</f>
        <v>0.99864216997306887</v>
      </c>
      <c r="G45" s="1" cm="1">
        <f t="array" ref="G45">unf_pvt_Zgas_d($D45,G$36,gg,zcor)</f>
        <v>0.98721630871140242</v>
      </c>
      <c r="H45" s="1" cm="1">
        <f t="array" ref="H45">unf_pvt_Zgas_d($D45,H$36,gg,zcor)</f>
        <v>0.97778239388336852</v>
      </c>
      <c r="I45" s="1" cm="1">
        <f t="array" ref="I45">unf_pvt_Zgas_d($D45,I$36,gg,zcor)</f>
        <v>0.97026552414476608</v>
      </c>
      <c r="J45" s="1" cm="1">
        <f t="array" ref="J45">unf_pvt_Zgas_d($D45,J$36,gg,zcor)</f>
        <v>0.96452463257052479</v>
      </c>
      <c r="K45" s="1" cm="1">
        <f t="array" ref="K45">unf_pvt_Zgas_d($D45,K$36,gg,zcor)</f>
        <v>0.96042097736638388</v>
      </c>
      <c r="L45" s="1" cm="1">
        <f t="array" ref="L45">unf_pvt_Zgas_d($D45,L$36,gg,zcor)</f>
        <v>0.95782620350079528</v>
      </c>
      <c r="M45" s="1" cm="1">
        <f t="array" ref="M45">unf_pvt_Zgas_d($D45,M$36,gg,zcor)</f>
        <v>0.95662367851423924</v>
      </c>
      <c r="N45" s="1" cm="1">
        <f t="array" ref="N45">unf_pvt_Zgas_d($D45,N$36,gg,zcor)</f>
        <v>0.95670817580792444</v>
      </c>
      <c r="O45" s="1" cm="1">
        <f t="array" ref="O45">unf_pvt_Zgas_d($D45,O$36,gg,zcor)</f>
        <v>0.95798506255016358</v>
      </c>
      <c r="P45" s="1" cm="1">
        <f t="array" ref="P45">unf_pvt_Zgas_d($D45,P$36,gg,zcor)</f>
        <v>0.96036935061893836</v>
      </c>
      <c r="Q45" s="1" cm="1">
        <f t="array" ref="Q45">unf_pvt_Zgas_d($D45,Q$36,gg,zcor)</f>
        <v>0.96378473893244376</v>
      </c>
      <c r="R45" s="1" cm="1">
        <f t="array" ref="R45">unf_pvt_Zgas_d($D45,R$36,gg,zcor)</f>
        <v>0.96816269457496695</v>
      </c>
      <c r="S45" s="1" cm="1">
        <f t="array" ref="S45">unf_pvt_Zgas_d($D45,S$36,gg,zcor)</f>
        <v>0.97344158772383438</v>
      </c>
      <c r="T45" s="1" cm="1">
        <f t="array" ref="T45">unf_pvt_Zgas_d($D45,T$36,gg,zcor)</f>
        <v>0.97956588126105182</v>
      </c>
      <c r="U45" s="1" cm="1">
        <f t="array" ref="U45">unf_pvt_Zgas_d($D45,U$36,gg,zcor)</f>
        <v>0.98648536945933685</v>
      </c>
      <c r="V45" s="1" cm="1">
        <f t="array" ref="V45">unf_pvt_Zgas_d($D45,V$36,gg,zcor)</f>
        <v>0.99415445706122485</v>
      </c>
      <c r="W45" s="1" cm="1">
        <f t="array" ref="W45">unf_pvt_Zgas_d($D45,W$36,gg,zcor)</f>
        <v>1.0025314686140387</v>
      </c>
      <c r="X45" s="1" cm="1">
        <f t="array" ref="X45">unf_pvt_Zgas_d($D45,X$36,gg,zcor)</f>
        <v>1.0115779772593418</v>
      </c>
      <c r="Y45" s="1" cm="1">
        <f t="array" ref="Y45">unf_pvt_Zgas_d($D45,Y$36,gg,zcor)</f>
        <v>1.0212581419198146</v>
      </c>
      <c r="Z45" s="1" cm="1">
        <f t="array" ref="Z45">unf_pvt_Zgas_d($D45,Z$36,gg,zcor)</f>
        <v>1.0315380418101068</v>
      </c>
      <c r="AA45" s="1" cm="1">
        <f t="array" ref="AA45">unf_pvt_Zgas_d($D45,AA$36,gg,zcor)</f>
        <v>1.0423849973666732</v>
      </c>
      <c r="AB45" s="1" cm="1">
        <f t="array" ref="AB45">unf_pvt_Zgas_d($D45,AB$36,gg,zcor)</f>
        <v>1.0537668670603384</v>
      </c>
      <c r="AC45" s="1" cm="1">
        <f t="array" ref="AC45">unf_pvt_Zgas_d($D45,AC$36,gg,zcor)</f>
        <v>1.065651310189716</v>
      </c>
      <c r="AD45" s="1" cm="1">
        <f t="array" ref="AD45">unf_pvt_Zgas_d($D45,AD$36,gg,zcor)</f>
        <v>1.0780050067606806</v>
      </c>
      <c r="AE45" s="1" cm="1">
        <f t="array" ref="AE45">unf_pvt_Zgas_d($D45,AE$36,gg,zcor)</f>
        <v>1.0907928270830891</v>
      </c>
      <c r="AF45" s="1" cm="1">
        <f t="array" ref="AF45">unf_pvt_Zgas_d($D45,AF$36,gg,zcor)</f>
        <v>1.1039769459457947</v>
      </c>
      <c r="AG45" s="1" cm="1">
        <f t="array" ref="AG45">unf_pvt_Zgas_d($D45,AG$36,gg,zcor)</f>
        <v>1.1175158993877425</v>
      </c>
      <c r="AH45" s="1" cm="1">
        <f t="array" ref="AH45">unf_pvt_Zgas_d($D45,AH$36,gg,zcor)</f>
        <v>1.1313635864246476</v>
      </c>
      <c r="AI45" s="1" cm="1">
        <f t="array" ref="AI45">unf_pvt_Zgas_d($D45,AI$36,gg,zcor)</f>
        <v>1.1454682239028984</v>
      </c>
      <c r="AJ45" s="1" cm="1">
        <f t="array" ref="AJ45">unf_pvt_Zgas_d($D45,AJ$36,gg,zcor)</f>
        <v>1.1597712702325713</v>
      </c>
      <c r="AK45" s="1" cm="1">
        <f t="array" ref="AK45">unf_pvt_Zgas_d($D45,AK$36,gg,zcor)</f>
        <v>1.1742063433837435</v>
      </c>
    </row>
    <row r="46" spans="3:37" x14ac:dyDescent="0.25">
      <c r="C46">
        <v>80</v>
      </c>
      <c r="D46" s="2">
        <f t="shared" si="1"/>
        <v>353.15</v>
      </c>
      <c r="E46" t="str">
        <f t="shared" si="2"/>
        <v>t=80 C</v>
      </c>
      <c r="F46" s="1" cm="1">
        <f t="array" ref="F46">unf_pvt_Zgas_d($D46,F$36,gg,zcor)</f>
        <v>0.99872892173677763</v>
      </c>
      <c r="G46" s="1" cm="1">
        <f t="array" ref="G46">unf_pvt_Zgas_d($D46,G$36,gg,zcor)</f>
        <v>0.98837256789603567</v>
      </c>
      <c r="H46" s="1" cm="1">
        <f t="array" ref="H46">unf_pvt_Zgas_d($D46,H$36,gg,zcor)</f>
        <v>0.98000633559194128</v>
      </c>
      <c r="I46" s="1" cm="1">
        <f t="array" ref="I46">unf_pvt_Zgas_d($D46,I$36,gg,zcor)</f>
        <v>0.9734834771357328</v>
      </c>
      <c r="J46" s="1" cm="1">
        <f t="array" ref="J46">unf_pvt_Zgas_d($D46,J$36,gg,zcor)</f>
        <v>0.96865478621305201</v>
      </c>
      <c r="K46" s="1" cm="1">
        <f t="array" ref="K46">unf_pvt_Zgas_d($D46,K$36,gg,zcor)</f>
        <v>0.96538422222501863</v>
      </c>
      <c r="L46" s="1" cm="1">
        <f t="array" ref="L46">unf_pvt_Zgas_d($D46,L$36,gg,zcor)</f>
        <v>0.9635495810537088</v>
      </c>
      <c r="M46" s="1" cm="1">
        <f t="array" ref="M46">unf_pvt_Zgas_d($D46,M$36,gg,zcor)</f>
        <v>0.96304163846938573</v>
      </c>
      <c r="N46" s="1" cm="1">
        <f t="array" ref="N46">unf_pvt_Zgas_d($D46,N$36,gg,zcor)</f>
        <v>0.96376302454968488</v>
      </c>
      <c r="O46" s="1" cm="1">
        <f t="array" ref="O46">unf_pvt_Zgas_d($D46,O$36,gg,zcor)</f>
        <v>0.96562710313023159</v>
      </c>
      <c r="P46" s="1" cm="1">
        <f t="array" ref="P46">unf_pvt_Zgas_d($D46,P$36,gg,zcor)</f>
        <v>0.96855693086056138</v>
      </c>
      <c r="Q46" s="1" cm="1">
        <f t="array" ref="Q46">unf_pvt_Zgas_d($D46,Q$36,gg,zcor)</f>
        <v>0.97248431430975513</v>
      </c>
      <c r="R46" s="1" cm="1">
        <f t="array" ref="R46">unf_pvt_Zgas_d($D46,R$36,gg,zcor)</f>
        <v>0.97734896487935208</v>
      </c>
      <c r="S46" s="1" cm="1">
        <f t="array" ref="S46">unf_pvt_Zgas_d($D46,S$36,gg,zcor)</f>
        <v>0.98309774463136645</v>
      </c>
      <c r="T46" s="1" cm="1">
        <f t="array" ref="T46">unf_pvt_Zgas_d($D46,T$36,gg,zcor)</f>
        <v>0.98968399389130379</v>
      </c>
      <c r="U46" s="1" cm="1">
        <f t="array" ref="U46">unf_pvt_Zgas_d($D46,U$36,gg,zcor)</f>
        <v>0.9970669309643253</v>
      </c>
      <c r="V46" s="1" cm="1">
        <f t="array" ref="V46">unf_pvt_Zgas_d($D46,V$36,gg,zcor)</f>
        <v>1.0052111144600313</v>
      </c>
      <c r="W46" s="1" cm="1">
        <f t="array" ref="W46">unf_pvt_Zgas_d($D46,W$36,gg,zcor)</f>
        <v>1.0140859591136493</v>
      </c>
      <c r="X46" s="1" cm="1">
        <f t="array" ref="X46">unf_pvt_Zgas_d($D46,X$36,gg,zcor)</f>
        <v>1.023665296419455</v>
      </c>
      <c r="Y46" s="1" cm="1">
        <f t="array" ref="Y46">unf_pvt_Zgas_d($D46,Y$36,gg,zcor)</f>
        <v>1.0339269717634023</v>
      </c>
      <c r="Z46" s="1" cm="1">
        <f t="array" ref="Z46">unf_pvt_Zgas_d($D46,Z$36,gg,zcor)</f>
        <v>1.0448524700128152</v>
      </c>
      <c r="AA46" s="1" cm="1">
        <f t="array" ref="AA46">unf_pvt_Zgas_d($D46,AA$36,gg,zcor)</f>
        <v>1.0564265616719295</v>
      </c>
      <c r="AB46" s="1" cm="1">
        <f t="array" ref="AB46">unf_pvt_Zgas_d($D46,AB$36,gg,zcor)</f>
        <v>1.0686369617356748</v>
      </c>
      <c r="AC46" s="1" cm="1">
        <f t="array" ref="AC46">unf_pvt_Zgas_d($D46,AC$36,gg,zcor)</f>
        <v>1.0814739932698378</v>
      </c>
      <c r="AD46" s="1" cm="1">
        <f t="array" ref="AD46">unf_pvt_Zgas_d($D46,AD$36,gg,zcor)</f>
        <v>1.09493024751804</v>
      </c>
      <c r="AE46" s="1" cm="1">
        <f t="array" ref="AE46">unf_pvt_Zgas_d($D46,AE$36,gg,zcor)</f>
        <v>1.1090002319935741</v>
      </c>
      <c r="AF46" s="1" cm="1">
        <f t="array" ref="AF46">unf_pvt_Zgas_d($D46,AF$36,gg,zcor)</f>
        <v>1.1236799975710257</v>
      </c>
      <c r="AG46" s="1" cm="1">
        <f t="array" ref="AG46">unf_pvt_Zgas_d($D46,AG$36,gg,zcor)</f>
        <v>1.1389667350692569</v>
      </c>
      <c r="AH46" s="1" cm="1">
        <f t="array" ref="AH46">unf_pvt_Zgas_d($D46,AH$36,gg,zcor)</f>
        <v>1.1548583312428922</v>
      </c>
      <c r="AI46" s="1" cm="1">
        <f t="array" ref="AI46">unf_pvt_Zgas_d($D46,AI$36,gg,zcor)</f>
        <v>1.1713528735144318</v>
      </c>
      <c r="AJ46" s="1" cm="1">
        <f t="array" ref="AJ46">unf_pvt_Zgas_d($D46,AJ$36,gg,zcor)</f>
        <v>1.1884480922386444</v>
      </c>
      <c r="AK46" s="1" cm="1">
        <f t="array" ref="AK46">unf_pvt_Zgas_d($D46,AK$36,gg,zcor)</f>
        <v>1.2061407288684689</v>
      </c>
    </row>
    <row r="47" spans="3:37" x14ac:dyDescent="0.25">
      <c r="C47">
        <v>90</v>
      </c>
      <c r="D47" s="2">
        <f t="shared" si="1"/>
        <v>363.15</v>
      </c>
      <c r="E47" t="str">
        <f t="shared" si="2"/>
        <v>t=90 C</v>
      </c>
      <c r="F47" s="1" cm="1">
        <f t="array" ref="F47">unf_pvt_Zgas_d($D47,F$36,gg,zcor)</f>
        <v>0.99880220453123025</v>
      </c>
      <c r="G47" s="1" cm="1">
        <f t="array" ref="G47">unf_pvt_Zgas_d($D47,G$36,gg,zcor)</f>
        <v>0.98939352926764312</v>
      </c>
      <c r="H47" s="1" cm="1">
        <f t="array" ref="H47">unf_pvt_Zgas_d($D47,H$36,gg,zcor)</f>
        <v>0.98198937134174813</v>
      </c>
      <c r="I47" s="1" cm="1">
        <f t="array" ref="I47">unf_pvt_Zgas_d($D47,I$36,gg,zcor)</f>
        <v>0.9763695693819231</v>
      </c>
      <c r="J47" s="1" cm="1">
        <f t="array" ref="J47">unf_pvt_Zgas_d($D47,J$36,gg,zcor)</f>
        <v>0.97237504972357669</v>
      </c>
      <c r="K47" s="1" cm="1">
        <f t="array" ref="K47">unf_pvt_Zgas_d($D47,K$36,gg,zcor)</f>
        <v>0.96987100682309335</v>
      </c>
      <c r="L47" s="1" cm="1">
        <f t="array" ref="L47">unf_pvt_Zgas_d($D47,L$36,gg,zcor)</f>
        <v>0.96874008174972226</v>
      </c>
      <c r="M47" s="1" cm="1">
        <f t="array" ref="M47">unf_pvt_Zgas_d($D47,M$36,gg,zcor)</f>
        <v>0.96887923521469033</v>
      </c>
      <c r="N47" s="1" cm="1">
        <f t="array" ref="N47">unf_pvt_Zgas_d($D47,N$36,gg,zcor)</f>
        <v>0.97019775034820688</v>
      </c>
      <c r="O47" s="1" cm="1">
        <f t="array" ref="O47">unf_pvt_Zgas_d($D47,O$36,gg,zcor)</f>
        <v>0.9726157477953622</v>
      </c>
      <c r="P47" s="1" cm="1">
        <f t="array" ref="P47">unf_pvt_Zgas_d($D47,P$36,gg,zcor)</f>
        <v>0.97606299927262619</v>
      </c>
      <c r="Q47" s="1" cm="1">
        <f t="array" ref="Q47">unf_pvt_Zgas_d($D47,Q$36,gg,zcor)</f>
        <v>0.98047794530912991</v>
      </c>
      <c r="R47" s="1" cm="1">
        <f t="array" ref="R47">unf_pvt_Zgas_d($D47,R$36,gg,zcor)</f>
        <v>0.98580686724382871</v>
      </c>
      <c r="S47" s="1" cm="1">
        <f t="array" ref="S47">unf_pvt_Zgas_d($D47,S$36,gg,zcor)</f>
        <v>0.99200318298769607</v>
      </c>
      <c r="T47" s="1" cm="1">
        <f t="array" ref="T47">unf_pvt_Zgas_d($D47,T$36,gg,zcor)</f>
        <v>0.9990268458293653</v>
      </c>
      <c r="U47" s="1" cm="1">
        <f t="array" ref="U47">unf_pvt_Zgas_d($D47,U$36,gg,zcor)</f>
        <v>1.00684383107787</v>
      </c>
      <c r="V47" s="1" cm="1">
        <f t="array" ref="V47">unf_pvt_Zgas_d($D47,V$36,gg,zcor)</f>
        <v>1.0154256987695616</v>
      </c>
      <c r="W47" s="1" cm="1">
        <f t="array" ref="W47">unf_pvt_Zgas_d($D47,W$36,gg,zcor)</f>
        <v>1.0247492229787183</v>
      </c>
      <c r="X47" s="1" cm="1">
        <f t="array" ref="X47">unf_pvt_Zgas_d($D47,X$36,gg,zcor)</f>
        <v>1.0347960799240574</v>
      </c>
      <c r="Y47" s="1" cm="1">
        <f t="array" ref="Y47">unf_pvt_Zgas_d($D47,Y$36,gg,zcor)</f>
        <v>1.0455525882938721</v>
      </c>
      <c r="Z47" s="1" cm="1">
        <f t="array" ref="Z47">unf_pvt_Zgas_d($D47,Z$36,gg,zcor)</f>
        <v>1.0570094961507539</v>
      </c>
      <c r="AA47" s="1" cm="1">
        <f t="array" ref="AA47">unf_pvt_Zgas_d($D47,AA$36,gg,zcor)</f>
        <v>1.0691618094974653</v>
      </c>
      <c r="AB47" s="1" cm="1">
        <f t="array" ref="AB47">unf_pvt_Zgas_d($D47,AB$36,gg,zcor)</f>
        <v>1.0820086581327588</v>
      </c>
      <c r="AC47" s="1" cm="1">
        <f t="array" ref="AC47">unf_pvt_Zgas_d($D47,AC$36,gg,zcor)</f>
        <v>1.0955531948263626</v>
      </c>
      <c r="AD47" s="1" cm="1">
        <f t="array" ref="AD47">unf_pvt_Zgas_d($D47,AD$36,gg,zcor)</f>
        <v>1.1098025241113709</v>
      </c>
      <c r="AE47" s="1" cm="1">
        <f t="array" ref="AE47">unf_pvt_Zgas_d($D47,AE$36,gg,zcor)</f>
        <v>1.1247676571377141</v>
      </c>
      <c r="AF47" s="1" cm="1">
        <f t="array" ref="AF47">unf_pvt_Zgas_d($D47,AF$36,gg,zcor)</f>
        <v>1.1404634890545793</v>
      </c>
      <c r="AG47" s="1" cm="1">
        <f t="array" ref="AG47">unf_pvt_Zgas_d($D47,AG$36,gg,zcor)</f>
        <v>1.1569087952906099</v>
      </c>
      <c r="AH47" s="1" cm="1">
        <f t="array" ref="AH47">unf_pvt_Zgas_d($D47,AH$36,gg,zcor)</f>
        <v>1.1741262428727466</v>
      </c>
      <c r="AI47" s="1" cm="1">
        <f t="array" ref="AI47">unf_pvt_Zgas_d($D47,AI$36,gg,zcor)</f>
        <v>1.1921424125589926</v>
      </c>
      <c r="AJ47" s="1" cm="1">
        <f t="array" ref="AJ47">unf_pvt_Zgas_d($D47,AJ$36,gg,zcor)</f>
        <v>1.2109878270455341</v>
      </c>
      <c r="AK47" s="1" cm="1">
        <f t="array" ref="AK47">unf_pvt_Zgas_d($D47,AK$36,gg,zcor)</f>
        <v>1.2306969798306397</v>
      </c>
    </row>
    <row r="48" spans="3:37" x14ac:dyDescent="0.25">
      <c r="C48">
        <v>100</v>
      </c>
      <c r="D48" s="2">
        <f t="shared" si="1"/>
        <v>373.15</v>
      </c>
      <c r="E48" t="str">
        <f t="shared" si="2"/>
        <v>t=100 C</v>
      </c>
      <c r="F48" s="1" cm="1">
        <f t="array" ref="F48">unf_pvt_Zgas_d($D48,F$36,gg,zcor)</f>
        <v>0.99886516590574614</v>
      </c>
      <c r="G48" s="1" cm="1">
        <f t="array" ref="G48">unf_pvt_Zgas_d($D48,G$36,gg,zcor)</f>
        <v>0.99029711350853922</v>
      </c>
      <c r="H48" s="1" cm="1">
        <f t="array" ref="H48">unf_pvt_Zgas_d($D48,H$36,gg,zcor)</f>
        <v>0.98375913855014319</v>
      </c>
      <c r="I48" s="1" cm="1">
        <f t="array" ref="I48">unf_pvt_Zgas_d($D48,I$36,gg,zcor)</f>
        <v>0.97895889651432444</v>
      </c>
      <c r="J48" s="1" cm="1">
        <f t="array" ref="J48">unf_pvt_Zgas_d($D48,J$36,gg,zcor)</f>
        <v>0.97572643715695873</v>
      </c>
      <c r="K48" s="1" cm="1">
        <f t="array" ref="K48">unf_pvt_Zgas_d($D48,K$36,gg,zcor)</f>
        <v>0.97392711276828725</v>
      </c>
      <c r="L48" s="1" cm="1">
        <f t="array" ref="L48">unf_pvt_Zgas_d($D48,L$36,gg,zcor)</f>
        <v>0.97344740181075462</v>
      </c>
      <c r="M48" s="1" cm="1">
        <f t="array" ref="M48">unf_pvt_Zgas_d($D48,M$36,gg,zcor)</f>
        <v>0.97418951715520996</v>
      </c>
      <c r="N48" s="1" cm="1">
        <f t="array" ref="N48">unf_pvt_Zgas_d($D48,N$36,gg,zcor)</f>
        <v>0.97606851993222499</v>
      </c>
      <c r="O48" s="1" cm="1">
        <f t="array" ref="O48">unf_pvt_Zgas_d($D48,O$36,gg,zcor)</f>
        <v>0.97901044778039137</v>
      </c>
      <c r="P48" s="1" cm="1">
        <f t="array" ref="P48">unf_pvt_Zgas_d($D48,P$36,gg,zcor)</f>
        <v>0.98295095891748685</v>
      </c>
      <c r="Q48" s="1" cm="1">
        <f t="array" ref="Q48">unf_pvt_Zgas_d($D48,Q$36,gg,zcor)</f>
        <v>0.9878342856620832</v>
      </c>
      <c r="R48" s="1" cm="1">
        <f t="array" ref="R48">unf_pvt_Zgas_d($D48,R$36,gg,zcor)</f>
        <v>0.99361239755498254</v>
      </c>
      <c r="S48" s="1" cm="1">
        <f t="array" ref="S48">unf_pvt_Zgas_d($D48,S$36,gg,zcor)</f>
        <v>1.0002443194639896</v>
      </c>
      <c r="T48" s="1" cm="1">
        <f t="array" ref="T48">unf_pvt_Zgas_d($D48,T$36,gg,zcor)</f>
        <v>1.0076955717110203</v>
      </c>
      <c r="U48" s="1" cm="1">
        <f t="array" ref="U48">unf_pvt_Zgas_d($D48,U$36,gg,zcor)</f>
        <v>1.0159377107271572</v>
      </c>
      <c r="V48" s="1" cm="1">
        <f t="array" ref="V48">unf_pvt_Zgas_d($D48,V$36,gg,zcor)</f>
        <v>1.0249479553743823</v>
      </c>
      <c r="W48" s="1" cm="1">
        <f t="array" ref="W48">unf_pvt_Zgas_d($D48,W$36,gg,zcor)</f>
        <v>1.0347088882263444</v>
      </c>
      <c r="X48" s="1" cm="1">
        <f t="array" ref="X48">unf_pvt_Zgas_d($D48,X$36,gg,zcor)</f>
        <v>1.0452082238933826</v>
      </c>
      <c r="Y48" s="1" cm="1">
        <f t="array" ref="Y48">unf_pvt_Zgas_d($D48,Y$36,gg,zcor)</f>
        <v>1.0564386384775672</v>
      </c>
      <c r="Z48" s="1" cm="1">
        <f t="array" ref="Z48">unf_pvt_Zgas_d($D48,Z$36,gg,zcor)</f>
        <v>1.0683976557581845</v>
      </c>
      <c r="AA48" s="1" cm="1">
        <f t="array" ref="AA48">unf_pvt_Zgas_d($D48,AA$36,gg,zcor)</f>
        <v>1.0810875869111818</v>
      </c>
      <c r="AB48" s="1" cm="1">
        <f t="array" ref="AB48">unf_pvt_Zgas_d($D48,AB$36,gg,zcor)</f>
        <v>1.0945155215618372</v>
      </c>
      <c r="AC48" s="1" cm="1">
        <f t="array" ref="AC48">unf_pvt_Zgas_d($D48,AC$36,gg,zcor)</f>
        <v>1.1086933688234986</v>
      </c>
      <c r="AD48" s="1" cm="1">
        <f t="array" ref="AD48">unf_pvt_Zgas_d($D48,AD$36,gg,zcor)</f>
        <v>1.1236379477292666</v>
      </c>
      <c r="AE48" s="1" cm="1">
        <f t="array" ref="AE48">unf_pvt_Zgas_d($D48,AE$36,gg,zcor)</f>
        <v>1.1393711271467197</v>
      </c>
      <c r="AF48" s="1" cm="1">
        <f t="array" ref="AF48">unf_pvt_Zgas_d($D48,AF$36,gg,zcor)</f>
        <v>1.1559200158982823</v>
      </c>
      <c r="AG48" s="1" cm="1">
        <f t="array" ref="AG48">unf_pvt_Zgas_d($D48,AG$36,gg,zcor)</f>
        <v>1.1733172044057381</v>
      </c>
      <c r="AH48" s="1" cm="1">
        <f t="array" ref="AH48">unf_pvt_Zgas_d($D48,AH$36,gg,zcor)</f>
        <v>1.1916010597466296</v>
      </c>
      <c r="AI48" s="1" cm="1">
        <f t="array" ref="AI48">unf_pvt_Zgas_d($D48,AI$36,gg,zcor)</f>
        <v>1.2108160765595313</v>
      </c>
      <c r="AJ48" s="1" cm="1">
        <f t="array" ref="AJ48">unf_pvt_Zgas_d($D48,AJ$36,gg,zcor)</f>
        <v>1.2310132867683621</v>
      </c>
      <c r="AK48" s="1" cm="1">
        <f t="array" ref="AK48">unf_pvt_Zgas_d($D48,AK$36,gg,zcor)</f>
        <v>1.2522507316143519</v>
      </c>
    </row>
    <row r="49" spans="3:37" x14ac:dyDescent="0.25">
      <c r="C49">
        <v>110</v>
      </c>
      <c r="D49" s="2">
        <f t="shared" si="1"/>
        <v>383.15</v>
      </c>
      <c r="E49" t="str">
        <f t="shared" si="2"/>
        <v>t=110 C</v>
      </c>
      <c r="F49" s="1" cm="1">
        <f t="array" ref="F49">unf_pvt_Zgas_d($D49,F$36,gg,zcor)</f>
        <v>0.99892059506093323</v>
      </c>
      <c r="G49" s="1" cm="1">
        <f t="array" ref="G49">unf_pvt_Zgas_d($D49,G$36,gg,zcor)</f>
        <v>0.99109934629088869</v>
      </c>
      <c r="H49" s="1" cm="1">
        <f t="array" ref="H49">unf_pvt_Zgas_d($D49,H$36,gg,zcor)</f>
        <v>0.98534008402087414</v>
      </c>
      <c r="I49" s="1" cm="1">
        <f t="array" ref="I49">unf_pvt_Zgas_d($D49,I$36,gg,zcor)</f>
        <v>0.98128214666099756</v>
      </c>
      <c r="J49" s="1" cm="1">
        <f t="array" ref="J49">unf_pvt_Zgas_d($D49,J$36,gg,zcor)</f>
        <v>0.97874439215311015</v>
      </c>
      <c r="K49" s="1" cm="1">
        <f t="array" ref="K49">unf_pvt_Zgas_d($D49,K$36,gg,zcor)</f>
        <v>0.97759161293070507</v>
      </c>
      <c r="L49" s="1" cm="1">
        <f t="array" ref="L49">unf_pvt_Zgas_d($D49,L$36,gg,zcor)</f>
        <v>0.97771336277436072</v>
      </c>
      <c r="M49" s="1" cm="1">
        <f t="array" ref="M49">unf_pvt_Zgas_d($D49,M$36,gg,zcor)</f>
        <v>0.97901637756224058</v>
      </c>
      <c r="N49" s="1" cm="1">
        <f t="array" ref="N49">unf_pvt_Zgas_d($D49,N$36,gg,zcor)</f>
        <v>0.98142081680746596</v>
      </c>
      <c r="O49" s="1" cm="1">
        <f t="array" ref="O49">unf_pvt_Zgas_d($D49,O$36,gg,zcor)</f>
        <v>0.98485800359516673</v>
      </c>
      <c r="P49" s="1" cm="1">
        <f t="array" ref="P49">unf_pvt_Zgas_d($D49,P$36,gg,zcor)</f>
        <v>0.98926889129928031</v>
      </c>
      <c r="Q49" s="1" cm="1">
        <f t="array" ref="Q49">unf_pvt_Zgas_d($D49,Q$36,gg,zcor)</f>
        <v>0.99460294241976577</v>
      </c>
      <c r="R49" s="1" cm="1">
        <f t="array" ref="R49">unf_pvt_Zgas_d($D49,R$36,gg,zcor)</f>
        <v>1.000817271084139</v>
      </c>
      <c r="S49" s="1" cm="1">
        <f t="array" ref="S49">unf_pvt_Zgas_d($D49,S$36,gg,zcor)</f>
        <v>1.0078759708616316</v>
      </c>
      <c r="T49" s="1" cm="1">
        <f t="array" ref="T49">unf_pvt_Zgas_d($D49,T$36,gg,zcor)</f>
        <v>1.0157495826873257</v>
      </c>
      <c r="U49" s="1" cm="1">
        <f t="array" ref="U49">unf_pvt_Zgas_d($D49,U$36,gg,zcor)</f>
        <v>1.0244146749195795</v>
      </c>
      <c r="V49" s="1" cm="1">
        <f t="array" ref="V49">unf_pvt_Zgas_d($D49,V$36,gg,zcor)</f>
        <v>1.0338535172744141</v>
      </c>
      <c r="W49" s="1" cm="1">
        <f t="array" ref="W49">unf_pvt_Zgas_d($D49,W$36,gg,zcor)</f>
        <v>1.0440538362936349</v>
      </c>
      <c r="X49" s="1" cm="1">
        <f t="array" ref="X49">unf_pvt_Zgas_d($D49,X$36,gg,zcor)</f>
        <v>1.0550086438638739</v>
      </c>
      <c r="Y49" s="1" cm="1">
        <f t="array" ref="Y49">unf_pvt_Zgas_d($D49,Y$36,gg,zcor)</f>
        <v>1.0667161330002866</v>
      </c>
      <c r="Z49" s="1" cm="1">
        <f t="array" ref="Z49">unf_pvt_Zgas_d($D49,Z$36,gg,zcor)</f>
        <v>1.0791796371185387</v>
      </c>
      <c r="AA49" s="1" cm="1">
        <f t="array" ref="AA49">unf_pvt_Zgas_d($D49,AA$36,gg,zcor)</f>
        <v>1.0924076506124711</v>
      </c>
      <c r="AB49" s="1" cm="1">
        <f t="array" ref="AB49">unf_pvt_Zgas_d($D49,AB$36,gg,zcor)</f>
        <v>1.1064139098941399</v>
      </c>
      <c r="AC49" s="1" cm="1">
        <f t="array" ref="AC49">unf_pvt_Zgas_d($D49,AC$36,gg,zcor)</f>
        <v>1.1212175352398714</v>
      </c>
      <c r="AD49" s="1" cm="1">
        <f t="array" ref="AD49">unf_pvt_Zgas_d($D49,AD$36,gg,zcor)</f>
        <v>1.1368432348889339</v>
      </c>
      <c r="AE49" s="1" cm="1">
        <f t="array" ref="AE49">unf_pvt_Zgas_d($D49,AE$36,gg,zcor)</f>
        <v>1.1533215739093392</v>
      </c>
      <c r="AF49" s="1" cm="1">
        <f t="array" ref="AF49">unf_pvt_Zgas_d($D49,AF$36,gg,zcor)</f>
        <v>1.1706893114156742</v>
      </c>
      <c r="AG49" s="1" cm="1">
        <f t="array" ref="AG49">unf_pvt_Zgas_d($D49,AG$36,gg,zcor)</f>
        <v>1.1889898108277308</v>
      </c>
      <c r="AH49" s="1" cm="1">
        <f t="array" ref="AH49">unf_pvt_Zgas_d($D49,AH$36,gg,zcor)</f>
        <v>1.2082735290235564</v>
      </c>
      <c r="AI49" s="1" cm="1">
        <f t="array" ref="AI49">unf_pvt_Zgas_d($D49,AI$36,gg,zcor)</f>
        <v>1.2285985914923063</v>
      </c>
      <c r="AJ49" s="1" cm="1">
        <f t="array" ref="AJ49">unf_pvt_Zgas_d($D49,AJ$36,gg,zcor)</f>
        <v>1.2500314619567374</v>
      </c>
      <c r="AK49" s="1" cm="1">
        <f t="array" ref="AK49">unf_pvt_Zgas_d($D49,AK$36,gg,zcor)</f>
        <v>1.2726477164389634</v>
      </c>
    </row>
    <row r="50" spans="3:37" x14ac:dyDescent="0.25">
      <c r="C50">
        <v>120</v>
      </c>
      <c r="D50" s="2">
        <f t="shared" si="1"/>
        <v>393.15</v>
      </c>
      <c r="E50" t="str">
        <f t="shared" si="2"/>
        <v>t=120 C</v>
      </c>
      <c r="F50" s="1" cm="1">
        <f t="array" ref="F50">unf_pvt_Zgas_d($D50,F$36,gg,zcor)</f>
        <v>0.9989709291413712</v>
      </c>
      <c r="G50" s="1" cm="1">
        <f t="array" ref="G50">unf_pvt_Zgas_d($D50,G$36,gg,zcor)</f>
        <v>0.99181465115583589</v>
      </c>
      <c r="H50" s="1" cm="1">
        <f t="array" ref="H50">unf_pvt_Zgas_d($D50,H$36,gg,zcor)</f>
        <v>0.98675405026677876</v>
      </c>
      <c r="I50" s="1" cm="1">
        <f t="array" ref="I50">unf_pvt_Zgas_d($D50,I$36,gg,zcor)</f>
        <v>0.98336645876163542</v>
      </c>
      <c r="J50" s="1" cm="1">
        <f t="array" ref="J50">unf_pvt_Zgas_d($D50,J$36,gg,zcor)</f>
        <v>0.981459902866196</v>
      </c>
      <c r="K50" s="1" cm="1">
        <f t="array" ref="K50">unf_pvt_Zgas_d($D50,K$36,gg,zcor)</f>
        <v>0.98089824540832193</v>
      </c>
      <c r="L50" s="1" cm="1">
        <f t="array" ref="L50">unf_pvt_Zgas_d($D50,L$36,gg,zcor)</f>
        <v>0.98157358028599639</v>
      </c>
      <c r="M50" s="1" cm="1">
        <f t="array" ref="M50">unf_pvt_Zgas_d($D50,M$36,gg,zcor)</f>
        <v>0.98339660896546066</v>
      </c>
      <c r="N50" s="1" cm="1">
        <f t="array" ref="N50">unf_pvt_Zgas_d($D50,N$36,gg,zcor)</f>
        <v>0.98629205549927768</v>
      </c>
      <c r="O50" s="1" cm="1">
        <f t="array" ref="O50">unf_pvt_Zgas_d($D50,O$36,gg,zcor)</f>
        <v>0.99019603287106794</v>
      </c>
      <c r="P50" s="1" cm="1">
        <f t="array" ref="P50">unf_pvt_Zgas_d($D50,P$36,gg,zcor)</f>
        <v>0.99505433529306542</v>
      </c>
      <c r="Q50" s="1" cm="1">
        <f t="array" ref="Q50">unf_pvt_Zgas_d($D50,Q$36,gg,zcor)</f>
        <v>1.0008212403401762</v>
      </c>
      <c r="R50" s="1" cm="1">
        <f t="array" ref="R50">unf_pvt_Zgas_d($D50,R$36,gg,zcor)</f>
        <v>1.0074586265848466</v>
      </c>
      <c r="S50" s="1" cm="1">
        <f t="array" ref="S50">unf_pvt_Zgas_d($D50,S$36,gg,zcor)</f>
        <v>1.014935305802757</v>
      </c>
      <c r="T50" s="1" cm="1">
        <f t="array" ref="T50">unf_pvt_Zgas_d($D50,T$36,gg,zcor)</f>
        <v>1.0232265127909987</v>
      </c>
      <c r="U50" s="1" cm="1">
        <f t="array" ref="U50">unf_pvt_Zgas_d($D50,U$36,gg,zcor)</f>
        <v>1.0323135185105314</v>
      </c>
      <c r="V50" s="1" cm="1">
        <f t="array" ref="V50">unf_pvt_Zgas_d($D50,V$36,gg,zcor)</f>
        <v>1.0421833449098565</v>
      </c>
      <c r="W50" s="1" cm="1">
        <f t="array" ref="W50">unf_pvt_Zgas_d($D50,W$36,gg,zcor)</f>
        <v>1.0528285673658815</v>
      </c>
      <c r="X50" s="1" cm="1">
        <f t="array" ref="X50">unf_pvt_Zgas_d($D50,X$36,gg,zcor)</f>
        <v>1.0642471955438</v>
      </c>
      <c r="Y50" s="1" cm="1">
        <f t="array" ref="Y50">unf_pvt_Zgas_d($D50,Y$36,gg,zcor)</f>
        <v>1.0764426268214338</v>
      </c>
      <c r="Z50" s="1" cm="1">
        <f t="array" ref="Z50">unf_pvt_Zgas_d($D50,Z$36,gg,zcor)</f>
        <v>1.0894236688833772</v>
      </c>
      <c r="AA50" s="1" cm="1">
        <f t="array" ref="AA50">unf_pvt_Zgas_d($D50,AA$36,gg,zcor)</f>
        <v>1.1032046300275922</v>
      </c>
      <c r="AB50" s="1" cm="1">
        <f t="array" ref="AB50">unf_pvt_Zgas_d($D50,AB$36,gg,zcor)</f>
        <v>1.1178054773573272</v>
      </c>
      <c r="AC50" s="1" cm="1">
        <f t="array" ref="AC50">unf_pvt_Zgas_d($D50,AC$36,gg,zcor)</f>
        <v>1.1332520644905384</v>
      </c>
      <c r="AD50" s="1" cm="1">
        <f t="array" ref="AD50">unf_pvt_Zgas_d($D50,AD$36,gg,zcor)</f>
        <v>1.1495764317991064</v>
      </c>
      <c r="AE50" s="1" cm="1">
        <f t="array" ref="AE50">unf_pvt_Zgas_d($D50,AE$36,gg,zcor)</f>
        <v>1.1668171835576455</v>
      </c>
      <c r="AF50" s="1" cm="1">
        <f t="array" ref="AF50">unf_pvt_Zgas_d($D50,AF$36,gg,zcor)</f>
        <v>1.1850199477890326</v>
      </c>
      <c r="AG50" s="1" cm="1">
        <f t="array" ref="AG50">unf_pvt_Zgas_d($D50,AG$36,gg,zcor)</f>
        <v>1.2042379260859752</v>
      </c>
      <c r="AH50" s="1" cm="1">
        <f t="array" ref="AH50">unf_pvt_Zgas_d($D50,AH$36,gg,zcor)</f>
        <v>1.2245325423068514</v>
      </c>
      <c r="AI50" s="1" cm="1">
        <f t="array" ref="AI50">unf_pvt_Zgas_d($D50,AI$36,gg,zcor)</f>
        <v>1.2459742008313344</v>
      </c>
      <c r="AJ50" s="1" cm="1">
        <f t="array" ref="AJ50">unf_pvt_Zgas_d($D50,AJ$36,gg,zcor)</f>
        <v>1.2686431670606431</v>
      </c>
      <c r="AK50" s="1" cm="1">
        <f t="array" ref="AK50">unf_pvt_Zgas_d($D50,AK$36,gg,zcor)</f>
        <v>1.2926305851060897</v>
      </c>
    </row>
    <row r="51" spans="3:37" x14ac:dyDescent="0.25">
      <c r="C51">
        <v>130</v>
      </c>
      <c r="D51" s="2">
        <f t="shared" si="1"/>
        <v>403.15</v>
      </c>
      <c r="E51" t="str">
        <f t="shared" si="2"/>
        <v>t=130 C</v>
      </c>
      <c r="F51" s="1" cm="1">
        <f t="array" ref="F51">unf_pvt_Zgas_d($D51,F$36,gg,zcor)</f>
        <v>0.99901825719357751</v>
      </c>
      <c r="G51" s="1" cm="1">
        <f t="array" ref="G51">unf_pvt_Zgas_d($D51,G$36,gg,zcor)</f>
        <v>0.99245607061668384</v>
      </c>
      <c r="H51" s="1" cm="1">
        <f t="array" ref="H51">unf_pvt_Zgas_d($D51,H$36,gg,zcor)</f>
        <v>0.98802072683623132</v>
      </c>
      <c r="I51" s="1" cm="1">
        <f t="array" ref="I51">unf_pvt_Zgas_d($D51,I$36,gg,zcor)</f>
        <v>0.9852360828223381</v>
      </c>
      <c r="J51" s="1" cm="1">
        <f t="array" ref="J51">unf_pvt_Zgas_d($D51,J$36,gg,zcor)</f>
        <v>0.98390035015620425</v>
      </c>
      <c r="K51" s="1" cm="1">
        <f t="array" ref="K51">unf_pvt_Zgas_d($D51,K$36,gg,zcor)</f>
        <v>0.98387643558021021</v>
      </c>
      <c r="L51" s="1" cm="1">
        <f t="array" ref="L51">unf_pvt_Zgas_d($D51,L$36,gg,zcor)</f>
        <v>0.98505865911960122</v>
      </c>
      <c r="M51" s="1" cm="1">
        <f t="array" ref="M51">unf_pvt_Zgas_d($D51,M$36,gg,zcor)</f>
        <v>0.98736129162738351</v>
      </c>
      <c r="N51" s="1" cm="1">
        <f t="array" ref="N51">unf_pvt_Zgas_d($D51,N$36,gg,zcor)</f>
        <v>0.99071321611388419</v>
      </c>
      <c r="O51" s="1" cm="1">
        <f t="array" ref="O51">unf_pvt_Zgas_d($D51,O$36,gg,zcor)</f>
        <v>0.99505494948272488</v>
      </c>
      <c r="P51" s="1" cm="1">
        <f t="array" ref="P51">unf_pvt_Zgas_d($D51,P$36,gg,zcor)</f>
        <v>1.0003367720963909</v>
      </c>
      <c r="Q51" s="1" cm="1">
        <f t="array" ref="Q51">unf_pvt_Zgas_d($D51,Q$36,gg,zcor)</f>
        <v>1.0065174573172786</v>
      </c>
      <c r="R51" s="1" cm="1">
        <f t="array" ref="R51">unf_pvt_Zgas_d($D51,R$36,gg,zcor)</f>
        <v>1.0135633648652573</v>
      </c>
      <c r="S51" s="1" cm="1">
        <f t="array" ref="S51">unf_pvt_Zgas_d($D51,S$36,gg,zcor)</f>
        <v>1.0214477763339198</v>
      </c>
      <c r="T51" s="1" cm="1">
        <f t="array" ref="T51">unf_pvt_Zgas_d($D51,T$36,gg,zcor)</f>
        <v>1.0301504050455348</v>
      </c>
      <c r="U51" s="1" cm="1">
        <f t="array" ref="U51">unf_pvt_Zgas_d($D51,U$36,gg,zcor)</f>
        <v>1.0396570400887957</v>
      </c>
      <c r="V51" s="1" cm="1">
        <f t="array" ref="V51">unf_pvt_Zgas_d($D51,V$36,gg,zcor)</f>
        <v>1.049959299726777</v>
      </c>
      <c r="W51" s="1" cm="1">
        <f t="array" ref="W51">unf_pvt_Zgas_d($D51,W$36,gg,zcor)</f>
        <v>1.0610544784864946</v>
      </c>
      <c r="X51" s="1" cm="1">
        <f t="array" ref="X51">unf_pvt_Zgas_d($D51,X$36,gg,zcor)</f>
        <v>1.0729454780440075</v>
      </c>
      <c r="Y51" s="1" cm="1">
        <f t="array" ref="Y51">unf_pvt_Zgas_d($D51,Y$36,gg,zcor)</f>
        <v>1.0856408159676154</v>
      </c>
      <c r="Z51" s="1" cm="1">
        <f t="array" ref="Z51">unf_pvt_Zgas_d($D51,Z$36,gg,zcor)</f>
        <v>1.0991547092629681</v>
      </c>
      <c r="AA51" s="1" cm="1">
        <f t="array" ref="AA51">unf_pvt_Zgas_d($D51,AA$36,gg,zcor)</f>
        <v>1.1135072319224666</v>
      </c>
      <c r="AB51" s="1" cm="1">
        <f t="array" ref="AB51">unf_pvt_Zgas_d($D51,AB$36,gg,zcor)</f>
        <v>1.1287245475823775</v>
      </c>
      <c r="AC51" s="1" cm="1">
        <f t="array" ref="AC51">unf_pvt_Zgas_d($D51,AC$36,gg,zcor)</f>
        <v>1.1448392201021396</v>
      </c>
      <c r="AD51" s="1" cm="1">
        <f t="array" ref="AD51">unf_pvt_Zgas_d($D51,AD$36,gg,zcor)</f>
        <v>1.161890606514616</v>
      </c>
      <c r="AE51" s="1" cm="1">
        <f t="array" ref="AE51">unf_pvt_Zgas_d($D51,AE$36,gg,zcor)</f>
        <v>1.1799253384361961</v>
      </c>
      <c r="AF51" s="1" cm="1">
        <f t="array" ref="AF51">unf_pvt_Zgas_d($D51,AF$36,gg,zcor)</f>
        <v>1.1989978997375426</v>
      </c>
      <c r="AG51" s="1" cm="1">
        <f t="array" ref="AG51">unf_pvt_Zgas_d($D51,AG$36,gg,zcor)</f>
        <v>1.2191713101169903</v>
      </c>
      <c r="AH51" s="1" cm="1">
        <f t="array" ref="AH51">unf_pvt_Zgas_d($D51,AH$36,gg,zcor)</f>
        <v>1.2405179262436032</v>
      </c>
      <c r="AI51" s="1" cm="1">
        <f t="array" ref="AI51">unf_pvt_Zgas_d($D51,AI$36,gg,zcor)</f>
        <v>1.2631203744011956</v>
      </c>
      <c r="AJ51" s="1" cm="1">
        <f t="array" ref="AJ51">unf_pvt_Zgas_d($D51,AJ$36,gg,zcor)</f>
        <v>1.2870726311273994</v>
      </c>
      <c r="AK51" s="1" cm="1">
        <f t="array" ref="AK51">unf_pvt_Zgas_d($D51,AK$36,gg,zcor)</f>
        <v>1.3124812712688034</v>
      </c>
    </row>
    <row r="52" spans="3:37" x14ac:dyDescent="0.25">
      <c r="C52">
        <v>140</v>
      </c>
      <c r="D52" s="2">
        <f t="shared" si="1"/>
        <v>413.15</v>
      </c>
      <c r="E52" t="str">
        <f t="shared" si="2"/>
        <v>t=140 C</v>
      </c>
      <c r="F52" s="1" cm="1">
        <f t="array" ref="F52">unf_pvt_Zgas_d($D52,F$36,gg,zcor)</f>
        <v>0.99906432405088508</v>
      </c>
      <c r="G52" s="1" cm="1">
        <f t="array" ref="G52">unf_pvt_Zgas_d($D52,G$36,gg,zcor)</f>
        <v>0.99303543307775877</v>
      </c>
      <c r="H52" s="1" cm="1">
        <f t="array" ref="H52">unf_pvt_Zgas_d($D52,H$36,gg,zcor)</f>
        <v>0.98915800153523104</v>
      </c>
      <c r="I52" s="1" cm="1">
        <f t="array" ref="I52">unf_pvt_Zgas_d($D52,I$36,gg,zcor)</f>
        <v>0.98691289610840971</v>
      </c>
      <c r="J52" s="1" cm="1">
        <f t="array" ref="J52">unf_pvt_Zgas_d($D52,J$36,gg,zcor)</f>
        <v>0.98609016602591393</v>
      </c>
      <c r="K52" s="1" cm="1">
        <f t="array" ref="K52">unf_pvt_Zgas_d($D52,K$36,gg,zcor)</f>
        <v>0.98655207635037279</v>
      </c>
      <c r="L52" s="1" cm="1">
        <f t="array" ref="L52">unf_pvt_Zgas_d($D52,L$36,gg,zcor)</f>
        <v>0.9881950802304178</v>
      </c>
      <c r="M52" s="1" cm="1">
        <f t="array" ref="M52">unf_pvt_Zgas_d($D52,M$36,gg,zcor)</f>
        <v>0.99093678115848904</v>
      </c>
      <c r="N52" s="1" cm="1">
        <f t="array" ref="N52">unf_pvt_Zgas_d($D52,N$36,gg,zcor)</f>
        <v>0.99470993914303263</v>
      </c>
      <c r="O52" s="1" cm="1">
        <f t="array" ref="O52">unf_pvt_Zgas_d($D52,O$36,gg,zcor)</f>
        <v>0.99945919024739927</v>
      </c>
      <c r="P52" s="1" cm="1">
        <f t="array" ref="P52">unf_pvt_Zgas_d($D52,P$36,gg,zcor)</f>
        <v>1.0051390330780274</v>
      </c>
      <c r="Q52" s="1" cm="1">
        <f t="array" ref="Q52">unf_pvt_Zgas_d($D52,Q$36,gg,zcor)</f>
        <v>1.011712495100191</v>
      </c>
      <c r="R52" s="1" cm="1">
        <f t="array" ref="R52">unf_pvt_Zgas_d($D52,R$36,gg,zcor)</f>
        <v>1.0191502061272961</v>
      </c>
      <c r="S52" s="1" cm="1">
        <f t="array" ref="S52">unf_pvt_Zgas_d($D52,S$36,gg,zcor)</f>
        <v>1.0274297391036178</v>
      </c>
      <c r="T52" s="1" cm="1">
        <f t="array" ref="T52">unf_pvt_Zgas_d($D52,T$36,gg,zcor)</f>
        <v>1.0365351407647168</v>
      </c>
      <c r="U52" s="1" cm="1">
        <f t="array" ref="U52">unf_pvt_Zgas_d($D52,U$36,gg,zcor)</f>
        <v>1.0464566068283483</v>
      </c>
      <c r="V52" s="1" cm="1">
        <f t="array" ref="V52">unf_pvt_Zgas_d($D52,V$36,gg,zcor)</f>
        <v>1.0571902741125239</v>
      </c>
      <c r="W52" s="1" cm="1">
        <f t="array" ref="W52">unf_pvt_Zgas_d($D52,W$36,gg,zcor)</f>
        <v>1.0687381124891737</v>
      </c>
      <c r="X52" s="1" cm="1">
        <f t="array" ref="X52">unf_pvt_Zgas_d($D52,X$36,gg,zcor)</f>
        <v>1.0811079062356992</v>
      </c>
      <c r="Y52" s="1" cm="1">
        <f t="array" ref="Y52">unf_pvt_Zgas_d($D52,Y$36,gg,zcor)</f>
        <v>1.0943133188533252</v>
      </c>
      <c r="Z52" s="1" cm="1">
        <f t="array" ref="Z52">unf_pvt_Zgas_d($D52,Z$36,gg,zcor)</f>
        <v>1.1083740386982772</v>
      </c>
      <c r="AA52" s="1" cm="1">
        <f t="array" ref="AA52">unf_pvt_Zgas_d($D52,AA$36,gg,zcor)</f>
        <v>1.1233160053386093</v>
      </c>
      <c r="AB52" s="1" cm="1">
        <f t="array" ref="AB52">unf_pvt_Zgas_d($D52,AB$36,gg,zcor)</f>
        <v>1.1391717187158168</v>
      </c>
      <c r="AC52" s="1" cm="1">
        <f t="array" ref="AC52">unf_pvt_Zgas_d($D52,AC$36,gg,zcor)</f>
        <v>1.1559806351523623</v>
      </c>
      <c r="AD52" s="1" cm="1">
        <f t="array" ref="AD52">unf_pvt_Zgas_d($D52,AD$36,gg,zcor)</f>
        <v>1.1737896561369057</v>
      </c>
      <c r="AE52" s="1" cm="1">
        <f t="array" ref="AE52">unf_pvt_Zgas_d($D52,AE$36,gg,zcor)</f>
        <v>1.1926537177361465</v>
      </c>
      <c r="AF52" s="1" cm="1">
        <f t="array" ref="AF52">unf_pvt_Zgas_d($D52,AF$36,gg,zcor)</f>
        <v>1.2126364905044964</v>
      </c>
      <c r="AG52" s="1" cm="1">
        <f t="array" ref="AG52">unf_pvt_Zgas_d($D52,AG$36,gg,zcor)</f>
        <v>1.2338112019599661</v>
      </c>
      <c r="AH52" s="1" cm="1">
        <f t="array" ref="AH52">unf_pvt_Zgas_d($D52,AH$36,gg,zcor)</f>
        <v>1.2562615961336574</v>
      </c>
      <c r="AI52" s="1" cm="1">
        <f t="array" ref="AI52">unf_pvt_Zgas_d($D52,AI$36,gg,zcor)</f>
        <v>1.2800830474501346</v>
      </c>
      <c r="AJ52" s="1" cm="1">
        <f t="array" ref="AJ52">unf_pvt_Zgas_d($D52,AJ$36,gg,zcor)</f>
        <v>1.3053838493313763</v>
      </c>
      <c r="AK52" s="1" cm="1">
        <f t="array" ref="AK52">unf_pvt_Zgas_d($D52,AK$36,gg,zcor)</f>
        <v>1.3322867015216346</v>
      </c>
    </row>
    <row r="53" spans="3:37" x14ac:dyDescent="0.25">
      <c r="C53">
        <v>150</v>
      </c>
      <c r="D53" s="2">
        <f t="shared" si="1"/>
        <v>423.15</v>
      </c>
      <c r="E53" t="str">
        <f t="shared" si="2"/>
        <v>t=150 C</v>
      </c>
      <c r="F53" s="1" cm="1">
        <f t="array" ref="F53">unf_pvt_Zgas_d($D53,F$36,gg,zcor)</f>
        <v>0.99911053591787935</v>
      </c>
      <c r="G53" s="1" cm="1">
        <f t="array" ref="G53">unf_pvt_Zgas_d($D53,G$36,gg,zcor)</f>
        <v>0.9935634778666883</v>
      </c>
      <c r="H53" s="1" cm="1">
        <f t="array" ref="H53">unf_pvt_Zgas_d($D53,H$36,gg,zcor)</f>
        <v>0.99018223562312679</v>
      </c>
      <c r="I53" s="1" cm="1">
        <f t="array" ref="I53">unf_pvt_Zgas_d($D53,I$36,gg,zcor)</f>
        <v>0.98841681221939481</v>
      </c>
      <c r="J53" s="1" cm="1">
        <f t="array" ref="J53">unf_pvt_Zgas_d($D53,J$36,gg,zcor)</f>
        <v>0.98805135348288542</v>
      </c>
      <c r="K53" s="1" cm="1">
        <f t="array" ref="K53">unf_pvt_Zgas_d($D53,K$36,gg,zcor)</f>
        <v>0.98894813537702719</v>
      </c>
      <c r="L53" s="1" cm="1">
        <f t="array" ref="L53">unf_pvt_Zgas_d($D53,L$36,gg,zcor)</f>
        <v>0.99100587405911511</v>
      </c>
      <c r="M53" s="1" cm="1">
        <f t="array" ref="M53">unf_pvt_Zgas_d($D53,M$36,gg,zcor)</f>
        <v>0.99414543042386161</v>
      </c>
      <c r="N53" s="1" cm="1">
        <f t="array" ref="N53">unf_pvt_Zgas_d($D53,N$36,gg,zcor)</f>
        <v>0.99830328404079882</v>
      </c>
      <c r="O53" s="1" cm="1">
        <f t="array" ref="O53">unf_pvt_Zgas_d($D53,O$36,gg,zcor)</f>
        <v>1.0034280058069751</v>
      </c>
      <c r="P53" s="1" cm="1">
        <f t="array" ref="P53">unf_pvt_Zgas_d($D53,P$36,gg,zcor)</f>
        <v>1.0094781286451076</v>
      </c>
      <c r="Q53" s="1" cm="1">
        <f t="array" ref="Q53">unf_pvt_Zgas_d($D53,Q$36,gg,zcor)</f>
        <v>1.0164207649017554</v>
      </c>
      <c r="R53" s="1" cm="1">
        <f t="array" ref="R53">unf_pvt_Zgas_d($D53,R$36,gg,zcor)</f>
        <v>1.0242306678326152</v>
      </c>
      <c r="S53" s="1" cm="1">
        <f t="array" ref="S53">unf_pvt_Zgas_d($D53,S$36,gg,zcor)</f>
        <v>1.0328895822037589</v>
      </c>
      <c r="T53" s="1" cm="1">
        <f t="array" ref="T53">unf_pvt_Zgas_d($D53,T$36,gg,zcor)</f>
        <v>1.0423857986154934</v>
      </c>
      <c r="U53" s="1" cm="1">
        <f t="array" ref="U53">unf_pvt_Zgas_d($D53,U$36,gg,zcor)</f>
        <v>1.0527138619013281</v>
      </c>
      <c r="V53" s="1" cm="1">
        <f t="array" ref="V53">unf_pvt_Zgas_d($D53,V$36,gg,zcor)</f>
        <v>1.0638744037282335</v>
      </c>
      <c r="W53" s="1" cm="1">
        <f t="array" ref="W53">unf_pvt_Zgas_d($D53,W$36,gg,zcor)</f>
        <v>1.0758740812271026</v>
      </c>
      <c r="X53" s="1" cm="1">
        <f t="array" ref="X53">unf_pvt_Zgas_d($D53,X$36,gg,zcor)</f>
        <v>1.0887256108806584</v>
      </c>
      <c r="Y53" s="1" cm="1">
        <f t="array" ref="Y53">unf_pvt_Zgas_d($D53,Y$36,gg,zcor)</f>
        <v>1.1024478919031229</v>
      </c>
      <c r="Z53" s="1" cm="1">
        <f t="array" ref="Z53">unf_pvt_Zgas_d($D53,Z$36,gg,zcor)</f>
        <v>1.117066216989854</v>
      </c>
      <c r="AA53" s="1" cm="1">
        <f t="array" ref="AA53">unf_pvt_Zgas_d($D53,AA$36,gg,zcor)</f>
        <v>1.1326125711784552</v>
      </c>
      <c r="AB53" s="1" cm="1">
        <f t="array" ref="AB53">unf_pvt_Zgas_d($D53,AB$36,gg,zcor)</f>
        <v>1.1491260219941737</v>
      </c>
      <c r="AC53" s="1" cm="1">
        <f t="array" ref="AC53">unf_pvt_Zgas_d($D53,AC$36,gg,zcor)</f>
        <v>1.1666532062732102</v>
      </c>
      <c r="AD53" s="1" cm="1">
        <f t="array" ref="AD53">unf_pvt_Zgas_d($D53,AD$36,gg,zcor)</f>
        <v>1.1852489212190045</v>
      </c>
      <c r="AE53" s="1" cm="1">
        <f t="array" ref="AE53">unf_pvt_Zgas_d($D53,AE$36,gg,zcor)</f>
        <v>1.2049768294607688</v>
      </c>
      <c r="AF53" s="1" cm="1">
        <f t="array" ref="AF53">unf_pvt_Zgas_d($D53,AF$36,gg,zcor)</f>
        <v>1.225910290241996</v>
      </c>
      <c r="AG53" s="1" cm="1">
        <f t="array" ref="AG53">unf_pvt_Zgas_d($D53,AG$36,gg,zcor)</f>
        <v>1.24813333145141</v>
      </c>
      <c r="AH53" s="1" cm="1">
        <f t="array" ref="AH53">unf_pvt_Zgas_d($D53,AH$36,gg,zcor)</f>
        <v>1.2717417800999262</v>
      </c>
      <c r="AI53" s="1" cm="1">
        <f t="array" ref="AI53">unf_pvt_Zgas_d($D53,AI$36,gg,zcor)</f>
        <v>1.2968445721281774</v>
      </c>
      <c r="AJ53" s="1" cm="1">
        <f t="array" ref="AJ53">unf_pvt_Zgas_d($D53,AJ$36,gg,zcor)</f>
        <v>1.3235652661913768</v>
      </c>
      <c r="AK53" s="1" cm="1">
        <f t="array" ref="AK53">unf_pvt_Zgas_d($D53,AK$36,gg,zcor)</f>
        <v>1.3520437904148632</v>
      </c>
    </row>
    <row r="54" spans="3:37" x14ac:dyDescent="0.25">
      <c r="C54">
        <v>160</v>
      </c>
      <c r="D54" s="2">
        <f t="shared" si="1"/>
        <v>433.15</v>
      </c>
      <c r="E54" t="str">
        <f t="shared" si="2"/>
        <v>t=160 C</v>
      </c>
      <c r="F54" s="1" cm="1">
        <f t="array" ref="F54">unf_pvt_Zgas_d($D54,F$36,gg,zcor)</f>
        <v>0.99915796907025978</v>
      </c>
      <c r="G54" s="1" cm="1">
        <f t="array" ref="G54">unf_pvt_Zgas_d($D54,G$36,gg,zcor)</f>
        <v>0.99404994719952777</v>
      </c>
      <c r="H54" s="1" cm="1">
        <f t="array" ref="H54">unf_pvt_Zgas_d($D54,H$36,gg,zcor)</f>
        <v>0.99110847987180783</v>
      </c>
      <c r="I54" s="1" cm="1">
        <f t="array" ref="I54">unf_pvt_Zgas_d($D54,I$36,gg,zcor)</f>
        <v>0.98976610889505778</v>
      </c>
      <c r="J54" s="1" cm="1">
        <f t="array" ref="J54">unf_pvt_Zgas_d($D54,J$36,gg,zcor)</f>
        <v>0.98980390312054034</v>
      </c>
      <c r="K54" s="1" cm="1">
        <f t="array" ref="K54">unf_pvt_Zgas_d($D54,K$36,gg,zcor)</f>
        <v>0.99108513490738581</v>
      </c>
      <c r="L54" s="1" cm="1">
        <f t="array" ref="L54">unf_pvt_Zgas_d($D54,L$36,gg,zcor)</f>
        <v>0.99351113832645832</v>
      </c>
      <c r="M54" s="1" cm="1">
        <f t="array" ref="M54">unf_pvt_Zgas_d($D54,M$36,gg,zcor)</f>
        <v>0.9970061216088818</v>
      </c>
      <c r="N54" s="1" cm="1">
        <f t="array" ref="N54">unf_pvt_Zgas_d($D54,N$36,gg,zcor)</f>
        <v>1.0015102544473538</v>
      </c>
      <c r="O54" s="1" cm="1">
        <f t="array" ref="O54">unf_pvt_Zgas_d($D54,O$36,gg,zcor)</f>
        <v>1.0069759613831177</v>
      </c>
      <c r="P54" s="1" cm="1">
        <f t="array" ref="P54">unf_pvt_Zgas_d($D54,P$36,gg,zcor)</f>
        <v>1.0133657113912466</v>
      </c>
      <c r="Q54" s="1" cm="1">
        <f t="array" ref="Q54">unf_pvt_Zgas_d($D54,Q$36,gg,zcor)</f>
        <v>1.0206506054684636</v>
      </c>
      <c r="R54" s="1" cm="1">
        <f t="array" ref="R54">unf_pvt_Zgas_d($D54,R$36,gg,zcor)</f>
        <v>1.0288094373083854</v>
      </c>
      <c r="S54" s="1" cm="1">
        <f t="array" ref="S54">unf_pvt_Zgas_d($D54,S$36,gg,zcor)</f>
        <v>1.0378280607234083</v>
      </c>
      <c r="T54" s="1" cm="1">
        <f t="array" ref="T54">unf_pvt_Zgas_d($D54,T$36,gg,zcor)</f>
        <v>1.0476989723958059</v>
      </c>
      <c r="U54" s="1" cm="1">
        <f t="array" ref="U54">unf_pvt_Zgas_d($D54,U$36,gg,zcor)</f>
        <v>1.0584210571048707</v>
      </c>
      <c r="V54" s="1" cm="1">
        <f t="array" ref="V54">unf_pvt_Zgas_d($D54,V$36,gg,zcor)</f>
        <v>1.0699994639382131</v>
      </c>
      <c r="W54" s="1" cm="1">
        <f t="array" ref="W54">unf_pvt_Zgas_d($D54,W$36,gg,zcor)</f>
        <v>1.0824455946518132</v>
      </c>
      <c r="X54" s="1" cm="1">
        <f t="array" ref="X54">unf_pvt_Zgas_d($D54,X$36,gg,zcor)</f>
        <v>1.09577719335635</v>
      </c>
      <c r="Y54" s="1" cm="1">
        <f t="array" ref="Y54">unf_pvt_Zgas_d($D54,Y$36,gg,zcor)</f>
        <v>1.110018532144424</v>
      </c>
      <c r="Z54" s="1" cm="1">
        <f t="array" ref="Z54">unf_pvt_Zgas_d($D54,Z$36,gg,zcor)</f>
        <v>1.125200691248281</v>
      </c>
      <c r="AA54" s="1" cm="1">
        <f t="array" ref="AA54">unf_pvt_Zgas_d($D54,AA$36,gg,zcor)</f>
        <v>1.1413619354635407</v>
      </c>
      <c r="AB54" s="1" cm="1">
        <f t="array" ref="AB54">unf_pvt_Zgas_d($D54,AB$36,gg,zcor)</f>
        <v>1.158548191271437</v>
      </c>
      <c r="AC54" s="1" cm="1">
        <f t="array" ref="AC54">unf_pvt_Zgas_d($D54,AC$36,gg,zcor)</f>
        <v>1.1768136315832673</v>
      </c>
      <c r="AD54" s="1" cm="1">
        <f t="array" ref="AD54">unf_pvt_Zgas_d($D54,AD$36,gg,zcor)</f>
        <v>1.1962213774834389</v>
      </c>
      <c r="AE54" s="1" cm="1">
        <f t="array" ref="AE54">unf_pvt_Zgas_d($D54,AE$36,gg,zcor)</f>
        <v>1.2168443288875248</v>
      </c>
      <c r="AF54" s="1" cm="1">
        <f t="array" ref="AF54">unf_pvt_Zgas_d($D54,AF$36,gg,zcor)</f>
        <v>1.2387661387632716</v>
      </c>
      <c r="AG54" s="1" cm="1">
        <f t="array" ref="AG54">unf_pvt_Zgas_d($D54,AG$36,gg,zcor)</f>
        <v>1.262082348580694</v>
      </c>
      <c r="AH54" s="1" cm="1">
        <f t="array" ref="AH54">unf_pvt_Zgas_d($D54,AH$36,gg,zcor)</f>
        <v>1.286901706056419</v>
      </c>
      <c r="AI54" s="1" cm="1">
        <f t="array" ref="AI54">unf_pvt_Zgas_d($D54,AI$36,gg,zcor)</f>
        <v>1.3133476901369965</v>
      </c>
      <c r="AJ54" s="1" cm="1">
        <f t="array" ref="AJ54">unf_pvt_Zgas_d($D54,AJ$36,gg,zcor)</f>
        <v>1.3415602726359743</v>
      </c>
      <c r="AK54" s="1" cm="1">
        <f t="array" ref="AK54">unf_pvt_Zgas_d($D54,AK$36,gg,zcor)</f>
        <v>1.3716979511253842</v>
      </c>
    </row>
    <row r="55" spans="3:37" x14ac:dyDescent="0.25">
      <c r="C55">
        <v>170</v>
      </c>
      <c r="D55" s="2">
        <f t="shared" si="1"/>
        <v>443.15</v>
      </c>
      <c r="E55" t="str">
        <f t="shared" si="2"/>
        <v>t=170 C</v>
      </c>
      <c r="F55" s="1" cm="1">
        <f t="array" ref="F55">unf_pvt_Zgas_d($D55,F$36,gg,zcor)</f>
        <v>0.99920738278950827</v>
      </c>
      <c r="G55" s="1" cm="1">
        <f t="array" ref="G55">unf_pvt_Zgas_d($D55,G$36,gg,zcor)</f>
        <v>0.99450365160014698</v>
      </c>
      <c r="H55" s="1" cm="1">
        <f t="array" ref="H55">unf_pvt_Zgas_d($D55,H$36,gg,zcor)</f>
        <v>0.99195064348840201</v>
      </c>
      <c r="I55" s="1" cm="1">
        <f t="array" ref="I55">unf_pvt_Zgas_d($D55,I$36,gg,zcor)</f>
        <v>0.99097769294584803</v>
      </c>
      <c r="J55" s="1" cm="1">
        <f t="array" ref="J55">unf_pvt_Zgas_d($D55,J$36,gg,zcor)</f>
        <v>0.99136613143226671</v>
      </c>
      <c r="K55" s="1" cm="1">
        <f t="array" ref="K55">unf_pvt_Zgas_d($D55,K$36,gg,zcor)</f>
        <v>0.99298153580187243</v>
      </c>
      <c r="L55" s="1" cm="1">
        <f t="array" ref="L55">unf_pvt_Zgas_d($D55,L$36,gg,zcor)</f>
        <v>0.99572843864706551</v>
      </c>
      <c r="M55" s="1" cm="1">
        <f t="array" ref="M55">unf_pvt_Zgas_d($D55,M$36,gg,zcor)</f>
        <v>0.99953465449264278</v>
      </c>
      <c r="N55" s="1" cm="1">
        <f t="array" ref="N55">unf_pvt_Zgas_d($D55,N$36,gg,zcor)</f>
        <v>1.0043441462902654</v>
      </c>
      <c r="O55" s="1" cm="1">
        <f t="array" ref="O55">unf_pvt_Zgas_d($D55,O$36,gg,zcor)</f>
        <v>1.0101132185926931</v>
      </c>
      <c r="P55" s="1" cm="1">
        <f t="array" ref="P55">unf_pvt_Zgas_d($D55,P$36,gg,zcor)</f>
        <v>1.0168082677532448</v>
      </c>
      <c r="Q55" s="1" cm="1">
        <f t="array" ref="Q55">unf_pvt_Zgas_d($D55,Q$36,gg,zcor)</f>
        <v>1.0244043634682649</v>
      </c>
      <c r="R55" s="1" cm="1">
        <f t="array" ref="R55">unf_pvt_Zgas_d($D55,R$36,gg,zcor)</f>
        <v>1.0328843230958382</v>
      </c>
      <c r="S55" s="1" cm="1">
        <f t="array" ref="S55">unf_pvt_Zgas_d($D55,S$36,gg,zcor)</f>
        <v>1.0422381053001639</v>
      </c>
      <c r="T55" s="1" cm="1">
        <f t="array" ref="T55">unf_pvt_Zgas_d($D55,T$36,gg,zcor)</f>
        <v>1.0524624278455188</v>
      </c>
      <c r="U55" s="1" cm="1">
        <f t="array" ref="U55">unf_pvt_Zgas_d($D55,U$36,gg,zcor)</f>
        <v>1.0635605547677114</v>
      </c>
      <c r="V55" s="1" cm="1">
        <f t="array" ref="V55">unf_pvt_Zgas_d($D55,V$36,gg,zcor)</f>
        <v>1.0755422205906773</v>
      </c>
      <c r="W55" s="1" cm="1">
        <f t="array" ref="W55">unf_pvt_Zgas_d($D55,W$36,gg,zcor)</f>
        <v>1.0884236725901759</v>
      </c>
      <c r="X55" s="1" cm="1">
        <f t="array" ref="X55">unf_pvt_Zgas_d($D55,X$36,gg,zcor)</f>
        <v>1.1022278205813845</v>
      </c>
      <c r="Y55" s="1" cm="1">
        <f t="array" ref="Y55">unf_pvt_Zgas_d($D55,Y$36,gg,zcor)</f>
        <v>1.1169844894903636</v>
      </c>
      <c r="Z55" s="1" cm="1">
        <f t="array" ref="Z55">unf_pvt_Zgas_d($D55,Z$36,gg,zcor)</f>
        <v>1.1327307742322879</v>
      </c>
      <c r="AA55" s="1" cm="1">
        <f t="array" ref="AA55">unf_pvt_Zgas_d($D55,AA$36,gg,zcor)</f>
        <v>1.1495114998303002</v>
      </c>
      <c r="AB55" s="1" cm="1">
        <f t="array" ref="AB55">unf_pvt_Zgas_d($D55,AB$36,gg,zcor)</f>
        <v>1.1673797926715708</v>
      </c>
      <c r="AC55" s="1" cm="1">
        <f t="array" ref="AC55">unf_pvt_Zgas_d($D55,AC$36,gg,zcor)</f>
        <v>1.1863977715718155</v>
      </c>
      <c r="AD55" s="1" cm="1">
        <f t="array" ref="AD55">unf_pvt_Zgas_d($D55,AD$36,gg,zcor)</f>
        <v>1.2066373700876136</v>
      </c>
      <c r="AE55" s="1" cm="1">
        <f t="array" ref="AE55">unf_pvt_Zgas_d($D55,AE$36,gg,zcor)</f>
        <v>1.2281813044159189</v>
      </c>
      <c r="AF55" s="1" cm="1">
        <f t="array" ref="AF55">unf_pvt_Zgas_d($D55,AF$36,gg,zcor)</f>
        <v>1.2511242043693842</v>
      </c>
      <c r="AG55" s="1" cm="1">
        <f t="array" ref="AG55">unf_pvt_Zgas_d($D55,AG$36,gg,zcor)</f>
        <v>1.2755739284234398</v>
      </c>
      <c r="AH55" s="1" cm="1">
        <f t="array" ref="AH55">unf_pvt_Zgas_d($D55,AH$36,gg,zcor)</f>
        <v>1.3016530878064116</v>
      </c>
      <c r="AI55" s="1" cm="1">
        <f t="array" ref="AI55">unf_pvt_Zgas_d($D55,AI$36,gg,zcor)</f>
        <v>1.3295008091650771</v>
      </c>
      <c r="AJ55" s="1" cm="1">
        <f t="array" ref="AJ55">unf_pvt_Zgas_d($D55,AJ$36,gg,zcor)</f>
        <v>1.3592747706163566</v>
      </c>
      <c r="AK55" s="1" cm="1">
        <f t="array" ref="AK55">unf_pvt_Zgas_d($D55,AK$36,gg,zcor)</f>
        <v>1.3911535521420495</v>
      </c>
    </row>
    <row r="56" spans="3:37" x14ac:dyDescent="0.25">
      <c r="C56">
        <v>180</v>
      </c>
      <c r="D56" s="2">
        <f t="shared" si="1"/>
        <v>453.15</v>
      </c>
      <c r="E56" t="str">
        <f t="shared" si="2"/>
        <v>t=180 C</v>
      </c>
      <c r="F56" s="1" cm="1">
        <f t="array" ref="F56">unf_pvt_Zgas_d($D56,F$36,gg,zcor)</f>
        <v>0.99925923736686917</v>
      </c>
      <c r="G56" s="1" cm="1">
        <f t="array" ref="G56">unf_pvt_Zgas_d($D56,G$36,gg,zcor)</f>
        <v>0.9949325137912155</v>
      </c>
      <c r="H56" s="1" cm="1">
        <f t="array" ref="H56">unf_pvt_Zgas_d($D56,H$36,gg,zcor)</f>
        <v>0.99272162451089552</v>
      </c>
      <c r="I56" s="1" cm="1">
        <f t="array" ref="I56">unf_pvt_Zgas_d($D56,I$36,gg,zcor)</f>
        <v>0.99206731555275762</v>
      </c>
      <c r="J56" s="1" cm="1">
        <f t="array" ref="J56">unf_pvt_Zgas_d($D56,J$36,gg,zcor)</f>
        <v>0.99275495895992161</v>
      </c>
      <c r="K56" s="1" cm="1">
        <f t="array" ref="K56">unf_pvt_Zgas_d($D56,K$36,gg,zcor)</f>
        <v>0.99465404830233595</v>
      </c>
      <c r="L56" s="1" cm="1">
        <f t="array" ref="L56">unf_pvt_Zgas_d($D56,L$36,gg,zcor)</f>
        <v>0.99767311825280569</v>
      </c>
      <c r="M56" s="1" cm="1">
        <f t="array" ref="M56">unf_pvt_Zgas_d($D56,M$36,gg,zcor)</f>
        <v>1.0017440202396588</v>
      </c>
      <c r="N56" s="1" cm="1">
        <f t="array" ref="N56">unf_pvt_Zgas_d($D56,N$36,gg,zcor)</f>
        <v>1.0068147507108942</v>
      </c>
      <c r="O56" s="1" cm="1">
        <f t="array" ref="O56">unf_pvt_Zgas_d($D56,O$36,gg,zcor)</f>
        <v>1.0128456332258104</v>
      </c>
      <c r="P56" s="1" cm="1">
        <f t="array" ref="P56">unf_pvt_Zgas_d($D56,P$36,gg,zcor)</f>
        <v>1.0198070774736794</v>
      </c>
      <c r="Q56" s="1" cm="1">
        <f t="array" ref="Q56">unf_pvt_Zgas_d($D56,Q$36,gg,zcor)</f>
        <v>1.0276781829420334</v>
      </c>
      <c r="R56" s="1" cm="1">
        <f t="array" ref="R56">unf_pvt_Zgas_d($D56,R$36,gg,zcor)</f>
        <v>1.0364458444792799</v>
      </c>
      <c r="S56" s="1" cm="1">
        <f t="array" ref="S56">unf_pvt_Zgas_d($D56,S$36,gg,zcor)</f>
        <v>1.0461041839114149</v>
      </c>
      <c r="T56" s="1" cm="1">
        <f t="array" ref="T56">unf_pvt_Zgas_d($D56,T$36,gg,zcor)</f>
        <v>1.0566542113197508</v>
      </c>
      <c r="U56" s="1" cm="1">
        <f t="array" ref="U56">unf_pvt_Zgas_d($D56,U$36,gg,zcor)</f>
        <v>1.0681036607498495</v>
      </c>
      <c r="V56" s="1" cm="1">
        <f t="array" ref="V56">unf_pvt_Zgas_d($D56,V$36,gg,zcor)</f>
        <v>1.0804669680723995</v>
      </c>
      <c r="W56" s="1" cm="1">
        <f t="array" ref="W56">unf_pvt_Zgas_d($D56,W$36,gg,zcor)</f>
        <v>1.0937653724182772</v>
      </c>
      <c r="X56" s="1" cm="1">
        <f t="array" ref="X56">unf_pvt_Zgas_d($D56,X$36,gg,zcor)</f>
        <v>1.1080271313729484</v>
      </c>
      <c r="Y56" s="1" cm="1">
        <f t="array" ref="Y56">unf_pvt_Zgas_d($D56,Y$36,gg,zcor)</f>
        <v>1.1232878461480202</v>
      </c>
      <c r="Z56" s="1" cm="1">
        <f t="array" ref="Z56">unf_pvt_Zgas_d($D56,Z$36,gg,zcor)</f>
        <v>1.1395908974479856</v>
      </c>
      <c r="AA56" s="1" cm="1">
        <f t="array" ref="AA56">unf_pvt_Zgas_d($D56,AA$36,gg,zcor)</f>
        <v>1.1569879964049397</v>
      </c>
      <c r="AB56" s="1" cm="1">
        <f t="array" ref="AB56">unf_pvt_Zgas_d($D56,AB$36,gg,zcor)</f>
        <v>1.1755398581813299</v>
      </c>
      <c r="AC56" s="1" cm="1">
        <f t="array" ref="AC56">unf_pvt_Zgas_d($D56,AC$36,gg,zcor)</f>
        <v>1.1953170089130789</v>
      </c>
      <c r="AD56" s="1" cm="1">
        <f t="array" ref="AD56">unf_pvt_Zgas_d($D56,AD$36,gg,zcor)</f>
        <v>1.2164007397757497</v>
      </c>
      <c r="AE56" s="1" cm="1">
        <f t="array" ref="AE56">unf_pvt_Zgas_d($D56,AE$36,gg,zcor)</f>
        <v>1.2388842252553858</v>
      </c>
      <c r="AF56" s="1" cm="1">
        <f t="array" ref="AF56">unf_pvt_Zgas_d($D56,AF$36,gg,zcor)</f>
        <v>1.2628738263234918</v>
      </c>
      <c r="AG56" s="1" cm="1">
        <f t="array" ref="AG56">unf_pvt_Zgas_d($D56,AG$36,gg,zcor)</f>
        <v>1.2884906032762553</v>
      </c>
      <c r="AH56" s="1" cm="1">
        <f t="array" ref="AH56">unf_pvt_Zgas_d($D56,AH$36,gg,zcor)</f>
        <v>1.3158720676287929</v>
      </c>
      <c r="AI56" s="1" cm="1">
        <f t="array" ref="AI56">unf_pvt_Zgas_d($D56,AI$36,gg,zcor)</f>
        <v>1.3451742077943469</v>
      </c>
      <c r="AJ56" s="1" cm="1">
        <f t="array" ref="AJ56">unf_pvt_Zgas_d($D56,AJ$36,gg,zcor)</f>
        <v>1.3765738294819181</v>
      </c>
      <c r="AK56" s="1" cm="1">
        <f t="array" ref="AK56">unf_pvt_Zgas_d($D56,AK$36,gg,zcor)</f>
        <v>1.4102712589940396</v>
      </c>
    </row>
    <row r="57" spans="3:37" x14ac:dyDescent="0.25">
      <c r="C57">
        <v>190</v>
      </c>
      <c r="D57" s="2">
        <f t="shared" si="1"/>
        <v>463.15</v>
      </c>
      <c r="E57" t="str">
        <f t="shared" si="2"/>
        <v>t=190 C</v>
      </c>
      <c r="F57" s="1" cm="1">
        <f t="array" ref="F57">unf_pvt_Zgas_d($D57,F$36,gg,zcor)</f>
        <v>0.99931371770485045</v>
      </c>
      <c r="G57" s="1" cm="1">
        <f t="array" ref="G57">unf_pvt_Zgas_d($D57,G$36,gg,zcor)</f>
        <v>0.99534359512371062</v>
      </c>
      <c r="H57" s="1" cm="1">
        <f t="array" ref="H57">unf_pvt_Zgas_d($D57,H$36,gg,zcor)</f>
        <v>0.99343340790158607</v>
      </c>
      <c r="I57" s="1" cm="1">
        <f t="array" ref="I57">unf_pvt_Zgas_d($D57,I$36,gg,zcor)</f>
        <v>0.99304974753735853</v>
      </c>
      <c r="J57" s="1" cm="1">
        <f t="array" ref="J57">unf_pvt_Zgas_d($D57,J$36,gg,zcor)</f>
        <v>0.99398614158843068</v>
      </c>
      <c r="K57" s="1" cm="1">
        <f t="array" ref="K57">unf_pvt_Zgas_d($D57,K$36,gg,zcor)</f>
        <v>0.99611788602505658</v>
      </c>
      <c r="L57" s="1" cm="1">
        <f t="array" ref="L57">unf_pvt_Zgas_d($D57,L$36,gg,zcor)</f>
        <v>0.99935853528489271</v>
      </c>
      <c r="M57" s="1" cm="1">
        <f t="array" ref="M57">unf_pvt_Zgas_d($D57,M$36,gg,zcor)</f>
        <v>1.0036445795354005</v>
      </c>
      <c r="N57" s="1" cm="1">
        <f t="array" ref="N57">unf_pvt_Zgas_d($D57,N$36,gg,zcor)</f>
        <v>1.0089284291881184</v>
      </c>
      <c r="O57" s="1" cm="1">
        <f t="array" ref="O57">unf_pvt_Zgas_d($D57,O$36,gg,zcor)</f>
        <v>1.0151746830850759</v>
      </c>
      <c r="P57" s="1" cm="1">
        <f t="array" ref="P57">unf_pvt_Zgas_d($D57,P$36,gg,zcor)</f>
        <v>1.0223579500867517</v>
      </c>
      <c r="Q57" s="1" cm="1">
        <f t="array" ref="Q57">unf_pvt_Zgas_d($D57,Q$36,gg,zcor)</f>
        <v>1.0304615069897849</v>
      </c>
      <c r="R57" s="1" cm="1">
        <f t="array" ref="R57">unf_pvt_Zgas_d($D57,R$36,gg,zcor)</f>
        <v>1.0394764558533738</v>
      </c>
      <c r="S57" s="1" cm="1">
        <f t="array" ref="S57">unf_pvt_Zgas_d($D57,S$36,gg,zcor)</f>
        <v>1.0494012075715453</v>
      </c>
      <c r="T57" s="1" cm="1">
        <f t="array" ref="T57">unf_pvt_Zgas_d($D57,T$36,gg,zcor)</f>
        <v>1.0602411968442658</v>
      </c>
      <c r="U57" s="1" cm="1">
        <f t="array" ref="U57">unf_pvt_Zgas_d($D57,U$36,gg,zcor)</f>
        <v>1.0720087744677869</v>
      </c>
      <c r="V57" s="1" cm="1">
        <f t="array" ref="V57">unf_pvt_Zgas_d($D57,V$36,gg,zcor)</f>
        <v>1.0847232457128713</v>
      </c>
      <c r="W57" s="1" cm="1">
        <f t="array" ref="W57">unf_pvt_Zgas_d($D57,W$36,gg,zcor)</f>
        <v>1.0984110372893698</v>
      </c>
      <c r="X57" s="1" cm="1">
        <f t="array" ref="X57">unf_pvt_Zgas_d($D57,X$36,gg,zcor)</f>
        <v>1.1131059842553035</v>
      </c>
      <c r="Y57" s="1" cm="1">
        <f t="array" ref="Y57">unf_pvt_Zgas_d($D57,Y$36,gg,zcor)</f>
        <v>1.1288497344032202</v>
      </c>
      <c r="Z57" s="1" cm="1">
        <f t="array" ref="Z57">unf_pvt_Zgas_d($D57,Z$36,gg,zcor)</f>
        <v>1.145692272337177</v>
      </c>
      <c r="AA57" s="1" cm="1">
        <f t="array" ref="AA57">unf_pvt_Zgas_d($D57,AA$36,gg,zcor)</f>
        <v>1.1636925693276765</v>
      </c>
      <c r="AB57" s="1" cm="1">
        <f t="array" ref="AB57">unf_pvt_Zgas_d($D57,AB$36,gg,zcor)</f>
        <v>1.1829193685217221</v>
      </c>
      <c r="AC57" s="1" cm="1">
        <f t="array" ref="AC57">unf_pvt_Zgas_d($D57,AC$36,gg,zcor)</f>
        <v>1.2034521184702207</v>
      </c>
      <c r="AD57" s="1" cm="1">
        <f t="array" ref="AD57">unf_pvt_Zgas_d($D57,AD$36,gg,zcor)</f>
        <v>1.2253820714172849</v>
      </c>
      <c r="AE57" s="1" cm="1">
        <f t="array" ref="AE57">unf_pvt_Zgas_d($D57,AE$36,gg,zcor)</f>
        <v>1.2488135665372093</v>
      </c>
      <c r="AF57" s="1" cm="1">
        <f t="array" ref="AF57">unf_pvt_Zgas_d($D57,AF$36,gg,zcor)</f>
        <v>1.2738655224486586</v>
      </c>
      <c r="AG57" s="1" cm="1">
        <f t="array" ref="AG57">unf_pvt_Zgas_d($D57,AG$36,gg,zcor)</f>
        <v>1.3006731680219874</v>
      </c>
      <c r="AH57" s="1" cm="1">
        <f t="array" ref="AH57">unf_pvt_Zgas_d($D57,AH$36,gg,zcor)</f>
        <v>1.3293900458713312</v>
      </c>
      <c r="AI57" s="1" cm="1">
        <f t="array" ref="AI57">unf_pvt_Zgas_d($D57,AI$36,gg,zcor)</f>
        <v>1.3601903291500064</v>
      </c>
      <c r="AJ57" s="1" cm="1">
        <f t="array" ref="AJ57">unf_pvt_Zgas_d($D57,AJ$36,gg,zcor)</f>
        <v>1.3932714995301767</v>
      </c>
      <c r="AK57" s="1" cm="1">
        <f t="array" ref="AK57">unf_pvt_Zgas_d($D57,AK$36,gg,zcor)</f>
        <v>1.4288574427601286</v>
      </c>
    </row>
    <row r="58" spans="3:37" x14ac:dyDescent="0.25">
      <c r="C58">
        <v>200</v>
      </c>
      <c r="D58" s="2">
        <f t="shared" si="1"/>
        <v>473.15</v>
      </c>
      <c r="E58" t="str">
        <f t="shared" si="2"/>
        <v>t=200 C</v>
      </c>
      <c r="F58" s="1" cm="1">
        <f t="array" ref="F58">unf_pvt_Zgas_d($D58,F$36,gg,zcor)</f>
        <v>0.9993707626961984</v>
      </c>
      <c r="G58" s="1" cm="1">
        <f t="array" ref="G58">unf_pvt_Zgas_d($D58,G$36,gg,zcor)</f>
        <v>0.99574310806209831</v>
      </c>
      <c r="H58" s="1" cm="1">
        <f t="array" ref="H58">unf_pvt_Zgas_d($D58,H$36,gg,zcor)</f>
        <v>0.99409713587558157</v>
      </c>
      <c r="I58" s="1" cm="1">
        <f t="array" ref="I58">unf_pvt_Zgas_d($D58,I$36,gg,zcor)</f>
        <v>0.99393892156368391</v>
      </c>
      <c r="J58" s="1" cm="1">
        <f t="array" ref="J58">unf_pvt_Zgas_d($D58,J$36,gg,zcor)</f>
        <v>0.99507446489621054</v>
      </c>
      <c r="K58" s="1" cm="1">
        <f t="array" ref="K58">unf_pvt_Zgas_d($D58,K$36,gg,zcor)</f>
        <v>0.99738697543874977</v>
      </c>
      <c r="L58" s="1" cm="1">
        <f t="array" ref="L58">unf_pvt_Zgas_d($D58,L$36,gg,zcor)</f>
        <v>1.0007962407119422</v>
      </c>
      <c r="M58" s="1" cm="1">
        <f t="array" ref="M58">unf_pvt_Zgas_d($D58,M$36,gg,zcor)</f>
        <v>1.0052441566115018</v>
      </c>
      <c r="N58" s="1" cm="1">
        <f t="array" ref="N58">unf_pvt_Zgas_d($D58,N$36,gg,zcor)</f>
        <v>1.010688068013454</v>
      </c>
      <c r="O58" s="1" cm="1">
        <f t="array" ref="O58">unf_pvt_Zgas_d($D58,O$36,gg,zcor)</f>
        <v>1.0170972253592447</v>
      </c>
      <c r="P58" s="1" cm="1">
        <f t="array" ref="P58">unf_pvt_Zgas_d($D58,P$36,gg,zcor)</f>
        <v>1.0244507266713683</v>
      </c>
      <c r="Q58" s="1" cm="1">
        <f t="array" ref="Q58">unf_pvt_Zgas_d($D58,Q$36,gg,zcor)</f>
        <v>1.032736265041843</v>
      </c>
      <c r="R58" s="1" cm="1">
        <f t="array" ref="R58">unf_pvt_Zgas_d($D58,R$36,gg,zcor)</f>
        <v>1.0419493607475574</v>
      </c>
      <c r="S58" s="1" cm="1">
        <f t="array" ref="S58">unf_pvt_Zgas_d($D58,S$36,gg,zcor)</f>
        <v>1.0520929127614551</v>
      </c>
      <c r="T58" s="1" cm="1">
        <f t="array" ref="T58">unf_pvt_Zgas_d($D58,T$36,gg,zcor)</f>
        <v>1.0631769792631776</v>
      </c>
      <c r="U58" s="1" cm="1">
        <f t="array" ref="U58">unf_pvt_Zgas_d($D58,U$36,gg,zcor)</f>
        <v>1.0752187359321157</v>
      </c>
      <c r="V58" s="1" cm="1">
        <f t="array" ref="V58">unf_pvt_Zgas_d($D58,V$36,gg,zcor)</f>
        <v>1.0882425829121267</v>
      </c>
      <c r="W58" s="1" cm="1">
        <f t="array" ref="W58">unf_pvt_Zgas_d($D58,W$36,gg,zcor)</f>
        <v>1.1022803847384455</v>
      </c>
      <c r="X58" s="1" cm="1">
        <f t="array" ref="X58">unf_pvt_Zgas_d($D58,X$36,gg,zcor)</f>
        <v>1.1173718362704204</v>
      </c>
      <c r="Y58" s="1" cm="1">
        <f t="array" ref="Y58">unf_pvt_Zgas_d($D58,Y$36,gg,zcor)</f>
        <v>1.1335649538752264</v>
      </c>
      <c r="Z58" s="1" cm="1">
        <f t="array" ref="Z58">unf_pvt_Zgas_d($D58,Z$36,gg,zcor)</f>
        <v>1.1509166959072366</v>
      </c>
      <c r="AA58" s="1" cm="1">
        <f t="array" ref="AA58">unf_pvt_Zgas_d($D58,AA$36,gg,zcor)</f>
        <v>1.169493720594466</v>
      </c>
      <c r="AB58" s="1" cm="1">
        <f t="array" ref="AB58">unf_pvt_Zgas_d($D58,AB$36,gg,zcor)</f>
        <v>1.1893732931939034</v>
      </c>
      <c r="AC58" s="1" cm="1">
        <f t="array" ref="AC58">unf_pvt_Zgas_d($D58,AC$36,gg,zcor)</f>
        <v>1.2106443579923376</v>
      </c>
      <c r="AD58" s="1" cm="1">
        <f t="array" ref="AD58">unf_pvt_Zgas_d($D58,AD$36,gg,zcor)</f>
        <v>1.2334087946167185</v>
      </c>
      <c r="AE58" s="1" cm="1">
        <f t="array" ref="AE58">unf_pvt_Zgas_d($D58,AE$36,gg,zcor)</f>
        <v>1.2577828823500274</v>
      </c>
      <c r="AF58" s="1" cm="1">
        <f t="array" ref="AF58">unf_pvt_Zgas_d($D58,AF$36,gg,zcor)</f>
        <v>1.2838990008825115</v>
      </c>
      <c r="AG58" s="1" cm="1">
        <f t="array" ref="AG58">unf_pvt_Zgas_d($D58,AG$36,gg,zcor)</f>
        <v>1.31190760132166</v>
      </c>
      <c r="AH58" s="1" cm="1">
        <f t="array" ref="AH58">unf_pvt_Zgas_d($D58,AH$36,gg,zcor)</f>
        <v>1.3419794875060713</v>
      </c>
      <c r="AI58" s="1" cm="1">
        <f t="array" ref="AI58">unf_pvt_Zgas_d($D58,AI$36,gg,zcor)</f>
        <v>1.3743084549069668</v>
      </c>
      <c r="AJ58" s="1" cm="1">
        <f t="array" ref="AJ58">unf_pvt_Zgas_d($D58,AJ$36,gg,zcor)</f>
        <v>1.4091143428735988</v>
      </c>
      <c r="AK58" s="1" cm="1">
        <f t="array" ref="AK58">unf_pvt_Zgas_d($D58,AK$36,gg,zcor)</f>
        <v>1.4466465659393342</v>
      </c>
    </row>
    <row r="59" spans="3:37" x14ac:dyDescent="0.25"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3:37" x14ac:dyDescent="0.25"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3:37" x14ac:dyDescent="0.25"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3:37" x14ac:dyDescent="0.25">
      <c r="E62" t="str">
        <f>E38</f>
        <v>t=0 C</v>
      </c>
      <c r="F62" s="1" cm="1">
        <f t="array" ref="F62">unf_pvt_dZdt($D38,F$36,gg,zcor)*100</f>
        <v>3.3274404117600298E-3</v>
      </c>
      <c r="G62" s="1" cm="1">
        <f t="array" ref="G62">unf_pvt_dZdt($D38,G$36,gg,zcor)*100</f>
        <v>3.1071911702373889E-2</v>
      </c>
      <c r="H62" s="1" cm="1">
        <f t="array" ref="H62">unf_pvt_dZdt($D38,H$36,gg,zcor)*100</f>
        <v>5.5808164267534544E-2</v>
      </c>
      <c r="I62" s="1" cm="1">
        <f t="array" ref="I62">unf_pvt_dZdt($D38,I$36,gg,zcor)*100</f>
        <v>7.8137225954955092E-2</v>
      </c>
      <c r="J62" s="1" cm="1">
        <f t="array" ref="J62">unf_pvt_dZdt($D38,J$36,gg,zcor)*100</f>
        <v>9.9121118403933117E-2</v>
      </c>
      <c r="K62" s="1" cm="1">
        <f t="array" ref="K62">unf_pvt_dZdt($D38,K$36,gg,zcor)*100</f>
        <v>0.12080990027896199</v>
      </c>
      <c r="L62" s="1" cm="1">
        <f t="array" ref="L62">unf_pvt_dZdt($D38,L$36,gg,zcor)*100</f>
        <v>0.14675438558020559</v>
      </c>
      <c r="M62" s="1" cm="1">
        <f t="array" ref="M62">unf_pvt_dZdt($D38,M$36,gg,zcor)*100</f>
        <v>0.1824588935892546</v>
      </c>
      <c r="N62" s="1" cm="1">
        <f t="array" ref="N62">unf_pvt_dZdt($D38,N$36,gg,zcor)*100</f>
        <v>0.23560704401570653</v>
      </c>
      <c r="O62" s="1" cm="1">
        <f t="array" ref="O62">unf_pvt_dZdt($D38,O$36,gg,zcor)*100</f>
        <v>0.3157317602262566</v>
      </c>
      <c r="P62" s="1" cm="1">
        <f t="array" ref="P62">unf_pvt_dZdt($D38,P$36,gg,zcor)*100</f>
        <v>0.43277033103339413</v>
      </c>
      <c r="Q62" s="1" cm="1">
        <f t="array" ref="Q62">unf_pvt_dZdt($D38,Q$36,gg,zcor)*100</f>
        <v>0.59375675801276451</v>
      </c>
      <c r="R62" s="1" cm="1">
        <f t="array" ref="R62">unf_pvt_dZdt($D38,R$36,gg,zcor)*100</f>
        <v>0.79708443168513554</v>
      </c>
      <c r="S62" s="1" cm="1">
        <f t="array" ref="S62">unf_pvt_dZdt($D38,S$36,gg,zcor)*100</f>
        <v>1.0249323590109105</v>
      </c>
      <c r="T62" s="1" cm="1">
        <f t="array" ref="T62">unf_pvt_dZdt($D38,T$36,gg,zcor)*100</f>
        <v>1.2371846392262853</v>
      </c>
      <c r="U62" s="1" cm="1">
        <f t="array" ref="U62">unf_pvt_dZdt($D38,U$36,gg,zcor)*100</f>
        <v>1.3738960178580895</v>
      </c>
      <c r="V62" s="1" cm="1">
        <f t="array" ref="V62">unf_pvt_dZdt($D38,V$36,gg,zcor)*100</f>
        <v>1.3743395301423211</v>
      </c>
      <c r="W62" s="1" cm="1">
        <f t="array" ref="W62">unf_pvt_dZdt($D38,W$36,gg,zcor)*100</f>
        <v>1.2121335847379289</v>
      </c>
      <c r="X62" s="1" cm="1">
        <f t="array" ref="X62">unf_pvt_dZdt($D38,X$36,gg,zcor)*100</f>
        <v>0.92601688778937152</v>
      </c>
      <c r="Y62" s="1" cm="1">
        <f t="array" ref="Y62">unf_pvt_dZdt($D38,Y$36,gg,zcor)*100</f>
        <v>0.61205050284163232</v>
      </c>
      <c r="Z62" s="1" cm="1">
        <f t="array" ref="Z62">unf_pvt_dZdt($D38,Z$36,gg,zcor)*100</f>
        <v>0.36693512825602959</v>
      </c>
      <c r="AA62" s="1" cm="1">
        <f t="array" ref="AA62">unf_pvt_dZdt($D38,AA$36,gg,zcor)*100</f>
        <v>0.22797007673747149</v>
      </c>
      <c r="AB62" s="1" cm="1">
        <f t="array" ref="AB62">unf_pvt_dZdt($D38,AB$36,gg,zcor)*100</f>
        <v>0.16924348817526358</v>
      </c>
      <c r="AC62" s="1" cm="1">
        <f t="array" ref="AC62">unf_pvt_dZdt($D38,AC$36,gg,zcor)*100</f>
        <v>0.14710853265886836</v>
      </c>
      <c r="AD62" s="1" cm="1">
        <f t="array" ref="AD62">unf_pvt_dZdt($D38,AD$36,gg,zcor)*100</f>
        <v>0.13514914842482906</v>
      </c>
      <c r="AE62" s="1" cm="1">
        <f t="array" ref="AE62">unf_pvt_dZdt($D38,AE$36,gg,zcor)*100</f>
        <v>0.12484976823445848</v>
      </c>
      <c r="AF62" s="1" cm="1">
        <f t="array" ref="AF62">unf_pvt_dZdt($D38,AF$36,gg,zcor)*100</f>
        <v>0.11469805095165597</v>
      </c>
      <c r="AG62" s="1" cm="1">
        <f t="array" ref="AG62">unf_pvt_dZdt($D38,AG$36,gg,zcor)*100</f>
        <v>0.10455106761197985</v>
      </c>
      <c r="AH62" s="1" cm="1">
        <f t="array" ref="AH62">unf_pvt_dZdt($D38,AH$36,gg,zcor)*100</f>
        <v>9.4402172662877426E-2</v>
      </c>
      <c r="AI62" s="1" cm="1">
        <f t="array" ref="AI62">unf_pvt_dZdt($D38,AI$36,gg,zcor)*100</f>
        <v>8.425131951905751E-2</v>
      </c>
      <c r="AJ62" s="1" cm="1">
        <f t="array" ref="AJ62">unf_pvt_dZdt($D38,AJ$36,gg,zcor)*100</f>
        <v>7.4098598439986674E-2</v>
      </c>
      <c r="AK62" s="1" cm="1">
        <f t="array" ref="AK62">unf_pvt_dZdt($D38,AK$36,gg,zcor)*100</f>
        <v>6.3944094041867849E-2</v>
      </c>
    </row>
    <row r="63" spans="3:37" x14ac:dyDescent="0.25">
      <c r="E63" t="str">
        <f t="shared" ref="E63:E82" si="3">E39</f>
        <v>t=10 C</v>
      </c>
      <c r="F63" s="1" cm="1">
        <f t="array" ref="F63">unf_pvt_dZdt($D39,F$36,gg,zcor)*100</f>
        <v>2.7990564985813648E-3</v>
      </c>
      <c r="G63" s="1" cm="1">
        <f t="array" ref="G63">unf_pvt_dZdt($D39,G$36,gg,zcor)*100</f>
        <v>2.6985933637035942E-2</v>
      </c>
      <c r="H63" s="1" cm="1">
        <f t="array" ref="H63">unf_pvt_dZdt($D39,H$36,gg,zcor)*100</f>
        <v>4.8736439231866768E-2</v>
      </c>
      <c r="I63" s="1" cm="1">
        <f t="array" ref="I63">unf_pvt_dZdt($D39,I$36,gg,zcor)*100</f>
        <v>6.8259492666755683E-2</v>
      </c>
      <c r="J63" s="1" cm="1">
        <f t="array" ref="J63">unf_pvt_dZdt($D39,J$36,gg,zcor)*100</f>
        <v>8.6047324207472187E-2</v>
      </c>
      <c r="K63" s="1" cm="1">
        <f t="array" ref="K63">unf_pvt_dZdt($D39,K$36,gg,zcor)*100</f>
        <v>0.1029674592074592</v>
      </c>
      <c r="L63" s="1" cm="1">
        <f t="array" ref="L63">unf_pvt_dZdt($D39,L$36,gg,zcor)*100</f>
        <v>0.12044886472617478</v>
      </c>
      <c r="M63" s="1" cm="1">
        <f t="array" ref="M63">unf_pvt_dZdt($D39,M$36,gg,zcor)*100</f>
        <v>0.14067810758855437</v>
      </c>
      <c r="N63" s="1" cm="1">
        <f t="array" ref="N63">unf_pvt_dZdt($D39,N$36,gg,zcor)*100</f>
        <v>0.16677086163319199</v>
      </c>
      <c r="O63" s="1" cm="1">
        <f t="array" ref="O63">unf_pvt_dZdt($D39,O$36,gg,zcor)*100</f>
        <v>0.202865933631724</v>
      </c>
      <c r="P63" s="1" cm="1">
        <f t="array" ref="P63">unf_pvt_dZdt($D39,P$36,gg,zcor)*100</f>
        <v>0.25404856329225289</v>
      </c>
      <c r="Q63" s="1" cm="1">
        <f t="array" ref="Q63">unf_pvt_dZdt($D39,Q$36,gg,zcor)*100</f>
        <v>0.3259510861980397</v>
      </c>
      <c r="R63" s="1" cm="1">
        <f t="array" ref="R63">unf_pvt_dZdt($D39,R$36,gg,zcor)*100</f>
        <v>0.42381801501734095</v>
      </c>
      <c r="S63" s="1" cm="1">
        <f t="array" ref="S63">unf_pvt_dZdt($D39,S$36,gg,zcor)*100</f>
        <v>0.55080483076086484</v>
      </c>
      <c r="T63" s="1" cm="1">
        <f t="array" ref="T63">unf_pvt_dZdt($D39,T$36,gg,zcor)*100</f>
        <v>0.70539801073243869</v>
      </c>
      <c r="U63" s="1" cm="1">
        <f t="array" ref="U63">unf_pvt_dZdt($D39,U$36,gg,zcor)*100</f>
        <v>0.87823469312697799</v>
      </c>
      <c r="V63" s="1" cm="1">
        <f t="array" ref="V63">unf_pvt_dZdt($D39,V$36,gg,zcor)*100</f>
        <v>1.0493717362578536</v>
      </c>
      <c r="W63" s="1" cm="1">
        <f t="array" ref="W63">unf_pvt_dZdt($D39,W$36,gg,zcor)*100</f>
        <v>1.1880804113646448</v>
      </c>
      <c r="X63" s="1" cm="1">
        <f t="array" ref="X63">unf_pvt_dZdt($D39,X$36,gg,zcor)*100</f>
        <v>1.2578501133839737</v>
      </c>
      <c r="Y63" s="1" cm="1">
        <f t="array" ref="Y63">unf_pvt_dZdt($D39,Y$36,gg,zcor)*100</f>
        <v>1.2281308840961236</v>
      </c>
      <c r="Z63" s="1" cm="1">
        <f t="array" ref="Z63">unf_pvt_dZdt($D39,Z$36,gg,zcor)*100</f>
        <v>1.090216122914156</v>
      </c>
      <c r="AA63" s="1" cm="1">
        <f t="array" ref="AA63">unf_pvt_dZdt($D39,AA$36,gg,zcor)*100</f>
        <v>0.86866522018702597</v>
      </c>
      <c r="AB63" s="1" cm="1">
        <f t="array" ref="AB63">unf_pvt_dZdt($D39,AB$36,gg,zcor)*100</f>
        <v>0.61717579663544964</v>
      </c>
      <c r="AC63" s="1" cm="1">
        <f t="array" ref="AC63">unf_pvt_dZdt($D39,AC$36,gg,zcor)*100</f>
        <v>0.39559898488972234</v>
      </c>
      <c r="AD63" s="1" cm="1">
        <f t="array" ref="AD63">unf_pvt_dZdt($D39,AD$36,gg,zcor)*100</f>
        <v>0.24109947833905743</v>
      </c>
      <c r="AE63" s="1" cm="1">
        <f t="array" ref="AE63">unf_pvt_dZdt($D39,AE$36,gg,zcor)*100</f>
        <v>0.1552625823658671</v>
      </c>
      <c r="AF63" s="1" cm="1">
        <f t="array" ref="AF63">unf_pvt_dZdt($D39,AF$36,gg,zcor)*100</f>
        <v>0.11575201672608948</v>
      </c>
      <c r="AG63" s="1" cm="1">
        <f t="array" ref="AG63">unf_pvt_dZdt($D39,AG$36,gg,zcor)*100</f>
        <v>9.7970496487742587E-2</v>
      </c>
      <c r="AH63" s="1" cm="1">
        <f t="array" ref="AH63">unf_pvt_dZdt($D39,AH$36,gg,zcor)*100</f>
        <v>8.7244421749788081E-2</v>
      </c>
      <c r="AI63" s="1" cm="1">
        <f t="array" ref="AI63">unf_pvt_dZdt($D39,AI$36,gg,zcor)*100</f>
        <v>7.8066820963673678E-2</v>
      </c>
      <c r="AJ63" s="1" cm="1">
        <f t="array" ref="AJ63">unf_pvt_dZdt($D39,AJ$36,gg,zcor)*100</f>
        <v>6.9115144381126647E-2</v>
      </c>
      <c r="AK63" s="1" cm="1">
        <f t="array" ref="AK63">unf_pvt_dZdt($D39,AK$36,gg,zcor)*100</f>
        <v>6.0189983292380234E-2</v>
      </c>
    </row>
    <row r="64" spans="3:37" x14ac:dyDescent="0.25">
      <c r="E64" t="str">
        <f t="shared" si="3"/>
        <v>t=20 C</v>
      </c>
      <c r="F64" s="1" cm="1">
        <f t="array" ref="F64">unf_pvt_dZdt($D40,F$36,gg,zcor)*100</f>
        <v>2.3490326565012154E-3</v>
      </c>
      <c r="G64" s="1" cm="1">
        <f t="array" ref="G64">unf_pvt_dZdt($D40,G$36,gg,zcor)*100</f>
        <v>2.3541533967774697E-2</v>
      </c>
      <c r="H64" s="1" cm="1">
        <f t="array" ref="H64">unf_pvt_dZdt($D40,H$36,gg,zcor)*100</f>
        <v>4.2828483174717213E-2</v>
      </c>
      <c r="I64" s="1" cm="1">
        <f t="array" ref="I64">unf_pvt_dZdt($D40,I$36,gg,zcor)*100</f>
        <v>6.0149623307359512E-2</v>
      </c>
      <c r="J64" s="1" cm="1">
        <f t="array" ref="J64">unf_pvt_dZdt($D40,J$36,gg,zcor)*100</f>
        <v>7.5750938776319998E-2</v>
      </c>
      <c r="K64" s="1" cm="1">
        <f t="array" ref="K64">unf_pvt_dZdt($D40,K$36,gg,zcor)*100</f>
        <v>9.0042922325062058E-2</v>
      </c>
      <c r="L64" s="1" cm="1">
        <f t="array" ref="L64">unf_pvt_dZdt($D40,L$36,gg,zcor)*100</f>
        <v>0.10364861908607192</v>
      </c>
      <c r="M64" s="1" cm="1">
        <f t="array" ref="M64">unf_pvt_dZdt($D40,M$36,gg,zcor)*100</f>
        <v>0.11747624803593038</v>
      </c>
      <c r="N64" s="1" cm="1">
        <f t="array" ref="N64">unf_pvt_dZdt($D40,N$36,gg,zcor)*100</f>
        <v>0.13279630250584429</v>
      </c>
      <c r="O64" s="1" cm="1">
        <f t="array" ref="O64">unf_pvt_dZdt($D40,O$36,gg,zcor)*100</f>
        <v>0.15131185473482578</v>
      </c>
      <c r="P64" s="1" cm="1">
        <f t="array" ref="P64">unf_pvt_dZdt($D40,P$36,gg,zcor)*100</f>
        <v>0.17520714599028597</v>
      </c>
      <c r="Q64" s="1" cm="1">
        <f t="array" ref="Q64">unf_pvt_dZdt($D40,Q$36,gg,zcor)*100</f>
        <v>0.20715006454941065</v>
      </c>
      <c r="R64" s="1" cm="1">
        <f t="array" ref="R64">unf_pvt_dZdt($D40,R$36,gg,zcor)*100</f>
        <v>0.25020977993395199</v>
      </c>
      <c r="S64" s="1" cm="1">
        <f t="array" ref="S64">unf_pvt_dZdt($D40,S$36,gg,zcor)*100</f>
        <v>0.30763339488781849</v>
      </c>
      <c r="T64" s="1" cm="1">
        <f t="array" ref="T64">unf_pvt_dZdt($D40,T$36,gg,zcor)*100</f>
        <v>0.38241025630603165</v>
      </c>
      <c r="U64" s="1" cm="1">
        <f t="array" ref="U64">unf_pvt_dZdt($D40,U$36,gg,zcor)*100</f>
        <v>0.47655112918998377</v>
      </c>
      <c r="V64" s="1" cm="1">
        <f t="array" ref="V64">unf_pvt_dZdt($D40,V$36,gg,zcor)*100</f>
        <v>0.59004220067093716</v>
      </c>
      <c r="W64" s="1" cm="1">
        <f t="array" ref="W64">unf_pvt_dZdt($D40,W$36,gg,zcor)*100</f>
        <v>0.71952921870632736</v>
      </c>
      <c r="X64" s="1" cm="1">
        <f t="array" ref="X64">unf_pvt_dZdt($D40,X$36,gg,zcor)*100</f>
        <v>0.85697110739413329</v>
      </c>
      <c r="Y64" s="1" cm="1">
        <f t="array" ref="Y64">unf_pvt_dZdt($D40,Y$36,gg,zcor)*100</f>
        <v>0.98877164935307071</v>
      </c>
      <c r="Z64" s="1" cm="1">
        <f t="array" ref="Z64">unf_pvt_dZdt($D40,Z$36,gg,zcor)*100</f>
        <v>1.0961722125616413</v>
      </c>
      <c r="AA64" s="1" cm="1">
        <f t="array" ref="AA64">unf_pvt_dZdt($D40,AA$36,gg,zcor)*100</f>
        <v>1.1577646023447352</v>
      </c>
      <c r="AB64" s="1" cm="1">
        <f t="array" ref="AB64">unf_pvt_dZdt($D40,AB$36,gg,zcor)*100</f>
        <v>1.1545504712464627</v>
      </c>
      <c r="AC64" s="1" cm="1">
        <f t="array" ref="AC64">unf_pvt_dZdt($D40,AC$36,gg,zcor)*100</f>
        <v>1.0767929456084735</v>
      </c>
      <c r="AD64" s="1" cm="1">
        <f t="array" ref="AD64">unf_pvt_dZdt($D40,AD$36,gg,zcor)*100</f>
        <v>0.93018873655192902</v>
      </c>
      <c r="AE64" s="1" cm="1">
        <f t="array" ref="AE64">unf_pvt_dZdt($D40,AE$36,gg,zcor)*100</f>
        <v>0.73765952742133045</v>
      </c>
      <c r="AF64" s="1" cm="1">
        <f t="array" ref="AF64">unf_pvt_dZdt($D40,AF$36,gg,zcor)*100</f>
        <v>0.533912478474452</v>
      </c>
      <c r="AG64" s="1" cm="1">
        <f t="array" ref="AG64">unf_pvt_dZdt($D40,AG$36,gg,zcor)*100</f>
        <v>0.35364262767278998</v>
      </c>
      <c r="AH64" s="1" cm="1">
        <f t="array" ref="AH64">unf_pvt_dZdt($D40,AH$36,gg,zcor)*100</f>
        <v>0.21904020820151526</v>
      </c>
      <c r="AI64" s="1" cm="1">
        <f t="array" ref="AI64">unf_pvt_dZdt($D40,AI$36,gg,zcor)*100</f>
        <v>0.13392172941051328</v>
      </c>
      <c r="AJ64" s="1" cm="1">
        <f t="array" ref="AJ64">unf_pvt_dZdt($D40,AJ$36,gg,zcor)*100</f>
        <v>8.7586934214733958E-2</v>
      </c>
      <c r="AK64" s="1" cm="1">
        <f t="array" ref="AK64">unf_pvt_dZdt($D40,AK$36,gg,zcor)*100</f>
        <v>6.43899864340991E-2</v>
      </c>
    </row>
    <row r="65" spans="5:37" x14ac:dyDescent="0.25">
      <c r="E65" t="str">
        <f t="shared" si="3"/>
        <v>t=30 C</v>
      </c>
      <c r="F65" s="1" cm="1">
        <f t="array" ref="F65">unf_pvt_dZdt($D41,F$36,gg,zcor)*100</f>
        <v>1.9652155055505105E-3</v>
      </c>
      <c r="G65" s="1" cm="1">
        <f t="array" ref="G65">unf_pvt_dZdt($D41,G$36,gg,zcor)*100</f>
        <v>2.0600382444557752E-2</v>
      </c>
      <c r="H65" s="1" cm="1">
        <f t="array" ref="H65">unf_pvt_dZdt($D41,H$36,gg,zcor)*100</f>
        <v>3.7805841936910944E-2</v>
      </c>
      <c r="I65" s="1" cm="1">
        <f t="array" ref="I65">unf_pvt_dZdt($D41,I$36,gg,zcor)*100</f>
        <v>5.3316873524722475E-2</v>
      </c>
      <c r="J65" s="1" cm="1">
        <f t="array" ref="J65">unf_pvt_dZdt($D41,J$36,gg,zcor)*100</f>
        <v>6.7255806726285172E-2</v>
      </c>
      <c r="K65" s="1" cm="1">
        <f t="array" ref="K65">unf_pvt_dZdt($D41,K$36,gg,zcor)*100</f>
        <v>7.984512545200495E-2</v>
      </c>
      <c r="L65" s="1" cm="1">
        <f t="array" ref="L65">unf_pvt_dZdt($D41,L$36,gg,zcor)*100</f>
        <v>9.1394684206824728E-2</v>
      </c>
      <c r="M65" s="1" cm="1">
        <f t="array" ref="M65">unf_pvt_dZdt($D41,M$36,gg,zcor)*100</f>
        <v>0.10232131407450495</v>
      </c>
      <c r="N65" s="1" cm="1">
        <f t="array" ref="N65">unf_pvt_dZdt($D41,N$36,gg,zcor)*100</f>
        <v>0.1131775908166377</v>
      </c>
      <c r="O65" s="1" cm="1">
        <f t="array" ref="O65">unf_pvt_dZdt($D41,O$36,gg,zcor)*100</f>
        <v>0.12468350516015025</v>
      </c>
      <c r="P65" s="1" cm="1">
        <f t="array" ref="P65">unf_pvt_dZdt($D41,P$36,gg,zcor)*100</f>
        <v>0.13775754762213044</v>
      </c>
      <c r="Q65" s="1" cm="1">
        <f t="array" ref="Q65">unf_pvt_dZdt($D41,Q$36,gg,zcor)*100</f>
        <v>0.15354328594718858</v>
      </c>
      <c r="R65" s="1" cm="1">
        <f t="array" ref="R65">unf_pvt_dZdt($D41,R$36,gg,zcor)*100</f>
        <v>0.17342550391163947</v>
      </c>
      <c r="S65" s="1" cm="1">
        <f t="array" ref="S65">unf_pvt_dZdt($D41,S$36,gg,zcor)*100</f>
        <v>0.19902667595850243</v>
      </c>
      <c r="T65" s="1" cm="1">
        <f t="array" ref="T65">unf_pvt_dZdt($D41,T$36,gg,zcor)*100</f>
        <v>0.23217012284848515</v>
      </c>
      <c r="U65" s="1" cm="1">
        <f t="array" ref="U65">unf_pvt_dZdt($D41,U$36,gg,zcor)*100</f>
        <v>0.27479107362915478</v>
      </c>
      <c r="V65" s="1" cm="1">
        <f t="array" ref="V65">unf_pvt_dZdt($D41,V$36,gg,zcor)*100</f>
        <v>0.3287721813346467</v>
      </c>
      <c r="W65" s="1" cm="1">
        <f t="array" ref="W65">unf_pvt_dZdt($D41,W$36,gg,zcor)*100</f>
        <v>0.39567808981499919</v>
      </c>
      <c r="X65" s="1" cm="1">
        <f t="array" ref="X65">unf_pvt_dZdt($D41,X$36,gg,zcor)*100</f>
        <v>0.47636831641961752</v>
      </c>
      <c r="Y65" s="1" cm="1">
        <f t="array" ref="Y65">unf_pvt_dZdt($D41,Y$36,gg,zcor)*100</f>
        <v>0.57048462143660661</v>
      </c>
      <c r="Z65" s="1" cm="1">
        <f t="array" ref="Z65">unf_pvt_dZdt($D41,Z$36,gg,zcor)*100</f>
        <v>0.67584472169857079</v>
      </c>
      <c r="AA65" s="1" cm="1">
        <f t="array" ref="AA65">unf_pvt_dZdt($D41,AA$36,gg,zcor)*100</f>
        <v>0.78783344652255671</v>
      </c>
      <c r="AB65" s="1" cm="1">
        <f t="array" ref="AB65">unf_pvt_dZdt($D41,AB$36,gg,zcor)*100</f>
        <v>0.89896274248846275</v>
      </c>
      <c r="AC65" s="1" cm="1">
        <f t="array" ref="AC65">unf_pvt_dZdt($D41,AC$36,gg,zcor)*100</f>
        <v>0.9988553183429838</v>
      </c>
      <c r="AD65" s="1" cm="1">
        <f t="array" ref="AD65">unf_pvt_dZdt($D41,AD$36,gg,zcor)*100</f>
        <v>1.0749515695871459</v>
      </c>
      <c r="AE65" s="1" cm="1">
        <f t="array" ref="AE65">unf_pvt_dZdt($D41,AE$36,gg,zcor)*100</f>
        <v>1.1141802881576846</v>
      </c>
      <c r="AF65" s="1" cm="1">
        <f t="array" ref="AF65">unf_pvt_dZdt($D41,AF$36,gg,zcor)*100</f>
        <v>1.105601532427114</v>
      </c>
      <c r="AG65" s="1" cm="1">
        <f t="array" ref="AG65">unf_pvt_dZdt($D41,AG$36,gg,zcor)*100</f>
        <v>1.0436035830695412</v>
      </c>
      <c r="AH65" s="1" cm="1">
        <f t="array" ref="AH65">unf_pvt_dZdt($D41,AH$36,gg,zcor)*100</f>
        <v>0.93071505788344666</v>
      </c>
      <c r="AI65" s="1" cm="1">
        <f t="array" ref="AI65">unf_pvt_dZdt($D41,AI$36,gg,zcor)*100</f>
        <v>0.77874593434779094</v>
      </c>
      <c r="AJ65" s="1" cm="1">
        <f t="array" ref="AJ65">unf_pvt_dZdt($D41,AJ$36,gg,zcor)*100</f>
        <v>0.60716562722562539</v>
      </c>
      <c r="AK65" s="1" cm="1">
        <f t="array" ref="AK65">unf_pvt_dZdt($D41,AK$36,gg,zcor)*100</f>
        <v>0.43858629270032701</v>
      </c>
    </row>
    <row r="66" spans="5:37" x14ac:dyDescent="0.25">
      <c r="E66" t="str">
        <f t="shared" si="3"/>
        <v>t=40 C</v>
      </c>
      <c r="F66" s="1" cm="1">
        <f t="array" ref="F66">unf_pvt_dZdt($D42,F$36,gg,zcor)*100</f>
        <v>1.6389383454828987E-3</v>
      </c>
      <c r="G66" s="1" cm="1">
        <f t="array" ref="G66">unf_pvt_dZdt($D42,G$36,gg,zcor)*100</f>
        <v>1.8066445162223665E-2</v>
      </c>
      <c r="H66" s="1" cm="1">
        <f t="array" ref="H66">unf_pvt_dZdt($D42,H$36,gg,zcor)*100</f>
        <v>3.3480772483773791E-2</v>
      </c>
      <c r="I66" s="1" cm="1">
        <f t="array" ref="I66">unf_pvt_dZdt($D42,I$36,gg,zcor)*100</f>
        <v>4.7456597506823073E-2</v>
      </c>
      <c r="J66" s="1" cm="1">
        <f t="array" ref="J66">unf_pvt_dZdt($D42,J$36,gg,zcor)*100</f>
        <v>6.0042084139788621E-2</v>
      </c>
      <c r="K66" s="1" cm="1">
        <f t="array" ref="K66">unf_pvt_dZdt($D42,K$36,gg,zcor)*100</f>
        <v>7.1372880222630997E-2</v>
      </c>
      <c r="L66" s="1" cm="1">
        <f t="array" ref="L66">unf_pvt_dZdt($D42,L$36,gg,zcor)*100</f>
        <v>8.1629923014303607E-2</v>
      </c>
      <c r="M66" s="1" cm="1">
        <f t="array" ref="M66">unf_pvt_dZdt($D42,M$36,gg,zcor)*100</f>
        <v>9.1036272095834647E-2</v>
      </c>
      <c r="N66" s="1" cm="1">
        <f t="array" ref="N66">unf_pvt_dZdt($D42,N$36,gg,zcor)*100</f>
        <v>9.9864691959550278E-2</v>
      </c>
      <c r="O66" s="1" cm="1">
        <f t="array" ref="O66">unf_pvt_dZdt($D42,O$36,gg,zcor)*100</f>
        <v>0.10844940668663927</v>
      </c>
      <c r="P66" s="1" cm="1">
        <f t="array" ref="P66">unf_pvt_dZdt($D42,P$36,gg,zcor)*100</f>
        <v>0.11719979590563145</v>
      </c>
      <c r="Q66" s="1" cm="1">
        <f t="array" ref="Q66">unf_pvt_dZdt($D42,Q$36,gg,zcor)*100</f>
        <v>0.12661490721443958</v>
      </c>
      <c r="R66" s="1" cm="1">
        <f t="array" ref="R66">unf_pvt_dZdt($D42,R$36,gg,zcor)*100</f>
        <v>0.13729779273929932</v>
      </c>
      <c r="S66" s="1" cm="1">
        <f t="array" ref="S66">unf_pvt_dZdt($D42,S$36,gg,zcor)*100</f>
        <v>0.14996834273905968</v>
      </c>
      <c r="T66" s="1" cm="1">
        <f t="array" ref="T66">unf_pvt_dZdt($D42,T$36,gg,zcor)*100</f>
        <v>0.16547260631061267</v>
      </c>
      <c r="U66" s="1" cm="1">
        <f t="array" ref="U66">unf_pvt_dZdt($D42,U$36,gg,zcor)*100</f>
        <v>0.18478557816081764</v>
      </c>
      <c r="V66" s="1" cm="1">
        <f t="array" ref="V66">unf_pvt_dZdt($D42,V$36,gg,zcor)*100</f>
        <v>0.2090031033568085</v>
      </c>
      <c r="W66" s="1" cm="1">
        <f t="array" ref="W66">unf_pvt_dZdt($D42,W$36,gg,zcor)*100</f>
        <v>0.23931696997747665</v>
      </c>
      <c r="X66" s="1" cm="1">
        <f t="array" ref="X66">unf_pvt_dZdt($D42,X$36,gg,zcor)*100</f>
        <v>0.27696559311507496</v>
      </c>
      <c r="Y66" s="1" cm="1">
        <f t="array" ref="Y66">unf_pvt_dZdt($D42,Y$36,gg,zcor)*100</f>
        <v>0.32315129854132429</v>
      </c>
      <c r="Z66" s="1" cm="1">
        <f t="array" ref="Z66">unf_pvt_dZdt($D42,Z$36,gg,zcor)*100</f>
        <v>0.37891472003748206</v>
      </c>
      <c r="AA66" s="1" cm="1">
        <f t="array" ref="AA66">unf_pvt_dZdt($D42,AA$36,gg,zcor)*100</f>
        <v>0.44495821254419976</v>
      </c>
      <c r="AB66" s="1" cm="1">
        <f t="array" ref="AB66">unf_pvt_dZdt($D42,AB$36,gg,zcor)*100</f>
        <v>0.5214148070852298</v>
      </c>
      <c r="AC66" s="1" cm="1">
        <f t="array" ref="AC66">unf_pvt_dZdt($D42,AC$36,gg,zcor)*100</f>
        <v>0.60756868842248846</v>
      </c>
      <c r="AD66" s="1" cm="1">
        <f t="array" ref="AD66">unf_pvt_dZdt($D42,AD$36,gg,zcor)*100</f>
        <v>0.70154889483642346</v>
      </c>
      <c r="AE66" s="1" cm="1">
        <f t="array" ref="AE66">unf_pvt_dZdt($D42,AE$36,gg,zcor)*100</f>
        <v>0.80004036608172235</v>
      </c>
      <c r="AF66" s="1" cm="1">
        <f t="array" ref="AF66">unf_pvt_dZdt($D42,AF$36,gg,zcor)*100</f>
        <v>0.89808374452038375</v>
      </c>
      <c r="AG66" s="1" cm="1">
        <f t="array" ref="AG66">unf_pvt_dZdt($D42,AG$36,gg,zcor)*100</f>
        <v>0.98906166718115696</v>
      </c>
      <c r="AH66" s="1" cm="1">
        <f t="array" ref="AH66">unf_pvt_dZdt($D42,AH$36,gg,zcor)*100</f>
        <v>1.0649835857892143</v>
      </c>
      <c r="AI66" s="1" cm="1">
        <f t="array" ref="AI66">unf_pvt_dZdt($D42,AI$36,gg,zcor)*100</f>
        <v>1.1171672734193727</v>
      </c>
      <c r="AJ66" s="1" cm="1">
        <f t="array" ref="AJ66">unf_pvt_dZdt($D42,AJ$36,gg,zcor)*100</f>
        <v>1.137355568239018</v>
      </c>
      <c r="AK66" s="1" cm="1">
        <f t="array" ref="AK66">unf_pvt_dZdt($D42,AK$36,gg,zcor)*100</f>
        <v>1.1191912705119655</v>
      </c>
    </row>
    <row r="67" spans="5:37" x14ac:dyDescent="0.25">
      <c r="E67" t="str">
        <f t="shared" si="3"/>
        <v>t=50 C</v>
      </c>
      <c r="F67" s="1" cm="1">
        <f t="array" ref="F67">unf_pvt_dZdt($D43,F$36,gg,zcor)*100</f>
        <v>1.3636222208068816E-3</v>
      </c>
      <c r="G67" s="1" cm="1">
        <f t="array" ref="G67">unf_pvt_dZdt($D43,G$36,gg,zcor)*100</f>
        <v>1.5870351167124319E-2</v>
      </c>
      <c r="H67" s="1" cm="1">
        <f t="array" ref="H67">unf_pvt_dZdt($D43,H$36,gg,zcor)*100</f>
        <v>2.9720750520323413E-2</v>
      </c>
      <c r="I67" s="1" cm="1">
        <f t="array" ref="I67">unf_pvt_dZdt($D43,I$36,gg,zcor)*100</f>
        <v>4.2365076761252674E-2</v>
      </c>
      <c r="J67" s="1" cm="1">
        <f t="array" ref="J67">unf_pvt_dZdt($D43,J$36,gg,zcor)*100</f>
        <v>5.3800155000227612E-2</v>
      </c>
      <c r="K67" s="1" cm="1">
        <f t="array" ref="K67">unf_pvt_dZdt($D43,K$36,gg,zcor)*100</f>
        <v>6.4114296131845272E-2</v>
      </c>
      <c r="L67" s="1" cm="1">
        <f t="array" ref="L67">unf_pvt_dZdt($D43,L$36,gg,zcor)*100</f>
        <v>7.3429214197395787E-2</v>
      </c>
      <c r="M67" s="1" cm="1">
        <f t="array" ref="M67">unf_pvt_dZdt($D43,M$36,gg,zcor)*100</f>
        <v>8.1886521094753917E-2</v>
      </c>
      <c r="N67" s="1" cm="1">
        <f t="array" ref="N67">unf_pvt_dZdt($D43,N$36,gg,zcor)*100</f>
        <v>8.9646174926127919E-2</v>
      </c>
      <c r="O67" s="1" cm="1">
        <f t="array" ref="O67">unf_pvt_dZdt($D43,O$36,gg,zcor)*100</f>
        <v>9.6889409434086637E-2</v>
      </c>
      <c r="P67" s="1" cm="1">
        <f t="array" ref="P67">unf_pvt_dZdt($D43,P$36,gg,zcor)*100</f>
        <v>0.10382377652307095</v>
      </c>
      <c r="Q67" s="1" cm="1">
        <f t="array" ref="Q67">unf_pvt_dZdt($D43,Q$36,gg,zcor)*100</f>
        <v>0.11068939821579082</v>
      </c>
      <c r="R67" s="1" cm="1">
        <f t="array" ref="R67">unf_pvt_dZdt($D43,R$36,gg,zcor)*100</f>
        <v>0.11776601797330866</v>
      </c>
      <c r="S67" s="1" cm="1">
        <f t="array" ref="S67">unf_pvt_dZdt($D43,S$36,gg,zcor)*100</f>
        <v>0.12538059446365324</v>
      </c>
      <c r="T67" s="1" cm="1">
        <f t="array" ref="T67">unf_pvt_dZdt($D43,T$36,gg,zcor)*100</f>
        <v>0.13391517554450783</v>
      </c>
      <c r="U67" s="1" cm="1">
        <f t="array" ref="U67">unf_pvt_dZdt($D43,U$36,gg,zcor)*100</f>
        <v>0.14381468220681093</v>
      </c>
      <c r="V67" s="1" cm="1">
        <f t="array" ref="V67">unf_pvt_dZdt($D43,V$36,gg,zcor)*100</f>
        <v>0.15559403498510704</v>
      </c>
      <c r="W67" s="1" cm="1">
        <f t="array" ref="W67">unf_pvt_dZdt($D43,W$36,gg,zcor)*100</f>
        <v>0.16984376668993661</v>
      </c>
      <c r="X67" s="1" cm="1">
        <f t="array" ref="X67">unf_pvt_dZdt($D43,X$36,gg,zcor)*100</f>
        <v>0.18723287910049624</v>
      </c>
      <c r="Y67" s="1" cm="1">
        <f t="array" ref="Y67">unf_pvt_dZdt($D43,Y$36,gg,zcor)*100</f>
        <v>0.20850721516685322</v>
      </c>
      <c r="Z67" s="1" cm="1">
        <f t="array" ref="Z67">unf_pvt_dZdt($D43,Z$36,gg,zcor)*100</f>
        <v>0.23448104268042336</v>
      </c>
      <c r="AA67" s="1" cm="1">
        <f t="array" ref="AA67">unf_pvt_dZdt($D43,AA$36,gg,zcor)*100</f>
        <v>0.26601891485600326</v>
      </c>
      <c r="AB67" s="1" cm="1">
        <f t="array" ref="AB67">unf_pvt_dZdt($D43,AB$36,gg,zcor)*100</f>
        <v>0.30400426149879145</v>
      </c>
      <c r="AC67" s="1" cm="1">
        <f t="array" ref="AC67">unf_pvt_dZdt($D43,AC$36,gg,zcor)*100</f>
        <v>0.34929070291567221</v>
      </c>
      <c r="AD67" s="1" cm="1">
        <f t="array" ref="AD67">unf_pvt_dZdt($D43,AD$36,gg,zcor)*100</f>
        <v>0.40263197602397049</v>
      </c>
      <c r="AE67" s="1" cm="1">
        <f t="array" ref="AE67">unf_pvt_dZdt($D43,AE$36,gg,zcor)*100</f>
        <v>0.46458691957895759</v>
      </c>
      <c r="AF67" s="1" cm="1">
        <f t="array" ref="AF67">unf_pvt_dZdt($D43,AF$36,gg,zcor)*100</f>
        <v>0.5353975778390474</v>
      </c>
      <c r="AG67" s="1" cm="1">
        <f t="array" ref="AG67">unf_pvt_dZdt($D43,AG$36,gg,zcor)*100</f>
        <v>0.61484160856806191</v>
      </c>
      <c r="AH67" s="1" cm="1">
        <f t="array" ref="AH67">unf_pvt_dZdt($D43,AH$36,gg,zcor)*100</f>
        <v>0.70206526380256484</v>
      </c>
      <c r="AI67" s="1" cm="1">
        <f t="array" ref="AI67">unf_pvt_dZdt($D43,AI$36,gg,zcor)*100</f>
        <v>0.79541051681752961</v>
      </c>
      <c r="AJ67" s="1" cm="1">
        <f t="array" ref="AJ67">unf_pvt_dZdt($D43,AJ$36,gg,zcor)*100</f>
        <v>0.89225927575808939</v>
      </c>
      <c r="AK67" s="1" cm="1">
        <f t="array" ref="AK67">unf_pvt_dZdt($D43,AK$36,gg,zcor)*100</f>
        <v>0.98892812916795414</v>
      </c>
    </row>
    <row r="68" spans="5:37" x14ac:dyDescent="0.25">
      <c r="E68" t="str">
        <f t="shared" si="3"/>
        <v>t=60 C</v>
      </c>
      <c r="F68" s="1" cm="1">
        <f t="array" ref="F68">unf_pvt_dZdt($D44,F$36,gg,zcor)*100</f>
        <v>1.1339603982474245E-3</v>
      </c>
      <c r="G68" s="1" cm="1">
        <f t="array" ref="G68">unf_pvt_dZdt($D44,G$36,gg,zcor)*100</f>
        <v>1.396030613798338E-2</v>
      </c>
      <c r="H68" s="1" cm="1">
        <f t="array" ref="H68">unf_pvt_dZdt($D44,H$36,gg,zcor)*100</f>
        <v>2.6428805497746843E-2</v>
      </c>
      <c r="I68" s="1" cm="1">
        <f t="array" ref="I68">unf_pvt_dZdt($D44,I$36,gg,zcor)*100</f>
        <v>3.7898329463548208E-2</v>
      </c>
      <c r="J68" s="1" cm="1">
        <f t="array" ref="J68">unf_pvt_dZdt($D44,J$36,gg,zcor)*100</f>
        <v>4.8327403127768065E-2</v>
      </c>
      <c r="K68" s="1" cm="1">
        <f t="array" ref="K68">unf_pvt_dZdt($D44,K$36,gg,zcor)*100</f>
        <v>5.7773810484662569E-2</v>
      </c>
      <c r="L68" s="1" cm="1">
        <f t="array" ref="L68">unf_pvt_dZdt($D44,L$36,gg,zcor)*100</f>
        <v>6.6327273615107707E-2</v>
      </c>
      <c r="M68" s="1" cm="1">
        <f t="array" ref="M68">unf_pvt_dZdt($D44,M$36,gg,zcor)*100</f>
        <v>7.4090869212173338E-2</v>
      </c>
      <c r="N68" s="1" cm="1">
        <f t="array" ref="N68">unf_pvt_dZdt($D44,N$36,gg,zcor)*100</f>
        <v>8.117538902341348E-2</v>
      </c>
      <c r="O68" s="1" cm="1">
        <f t="array" ref="O68">unf_pvt_dZdt($D44,O$36,gg,zcor)*100</f>
        <v>8.7698426936566598E-2</v>
      </c>
      <c r="P68" s="1" cm="1">
        <f t="array" ref="P68">unf_pvt_dZdt($D44,P$36,gg,zcor)*100</f>
        <v>9.3785580405958413E-2</v>
      </c>
      <c r="Q68" s="1" cm="1">
        <f t="array" ref="Q68">unf_pvt_dZdt($D44,Q$36,gg,zcor)*100</f>
        <v>9.957277613148463E-2</v>
      </c>
      <c r="R68" s="1" cm="1">
        <f t="array" ref="R68">unf_pvt_dZdt($D44,R$36,gg,zcor)*100</f>
        <v>0.10520930802759842</v>
      </c>
      <c r="S68" s="1" cm="1">
        <f t="array" ref="S68">unf_pvt_dZdt($D44,S$36,gg,zcor)*100</f>
        <v>0.11086141001648286</v>
      </c>
      <c r="T68" s="1" cm="1">
        <f t="array" ref="T68">unf_pvt_dZdt($D44,T$36,gg,zcor)*100</f>
        <v>0.11671628627019093</v>
      </c>
      <c r="U68" s="1" cm="1">
        <f t="array" ref="U68">unf_pvt_dZdt($D44,U$36,gg,zcor)*100</f>
        <v>0.12298655937525993</v>
      </c>
      <c r="V68" s="1" cm="1">
        <f t="array" ref="V68">unf_pvt_dZdt($D44,V$36,gg,zcor)*100</f>
        <v>0.12991509942616997</v>
      </c>
      <c r="W68" s="1" cm="1">
        <f t="array" ref="W68">unf_pvt_dZdt($D44,W$36,gg,zcor)*100</f>
        <v>0.13778017378551777</v>
      </c>
      <c r="X68" s="1" cm="1">
        <f t="array" ref="X68">unf_pvt_dZdt($D44,X$36,gg,zcor)*100</f>
        <v>0.14690081020019008</v>
      </c>
      <c r="Y68" s="1" cm="1">
        <f t="array" ref="Y68">unf_pvt_dZdt($D44,Y$36,gg,zcor)*100</f>
        <v>0.15764219336733554</v>
      </c>
      <c r="Z68" s="1" cm="1">
        <f t="array" ref="Z68">unf_pvt_dZdt($D44,Z$36,gg,zcor)*100</f>
        <v>0.17042081314366797</v>
      </c>
      <c r="AA68" s="1" cm="1">
        <f t="array" ref="AA68">unf_pvt_dZdt($D44,AA$36,gg,zcor)*100</f>
        <v>0.18570894672920168</v>
      </c>
      <c r="AB68" s="1" cm="1">
        <f t="array" ref="AB68">unf_pvt_dZdt($D44,AB$36,gg,zcor)*100</f>
        <v>0.20403788279454993</v>
      </c>
      <c r="AC68" s="1" cm="1">
        <f t="array" ref="AC68">unf_pvt_dZdt($D44,AC$36,gg,zcor)*100</f>
        <v>0.22599907969489408</v>
      </c>
      <c r="AD68" s="1" cm="1">
        <f t="array" ref="AD68">unf_pvt_dZdt($D44,AD$36,gg,zcor)*100</f>
        <v>0.25224219311970053</v>
      </c>
      <c r="AE68" s="1" cm="1">
        <f t="array" ref="AE68">unf_pvt_dZdt($D44,AE$36,gg,zcor)*100</f>
        <v>0.28346861757633235</v>
      </c>
      <c r="AF68" s="1" cm="1">
        <f t="array" ref="AF68">unf_pvt_dZdt($D44,AF$36,gg,zcor)*100</f>
        <v>0.32041887783496037</v>
      </c>
      <c r="AG68" s="1" cm="1">
        <f t="array" ref="AG68">unf_pvt_dZdt($D44,AG$36,gg,zcor)*100</f>
        <v>0.363851912491997</v>
      </c>
      <c r="AH68" s="1" cm="1">
        <f t="array" ref="AH68">unf_pvt_dZdt($D44,AH$36,gg,zcor)*100</f>
        <v>0.41451406419712455</v>
      </c>
      <c r="AI68" s="1" cm="1">
        <f t="array" ref="AI68">unf_pvt_dZdt($D44,AI$36,gg,zcor)*100</f>
        <v>0.47309550784291332</v>
      </c>
      <c r="AJ68" s="1" cm="1">
        <f t="array" ref="AJ68">unf_pvt_dZdt($D44,AJ$36,gg,zcor)*100</f>
        <v>0.54017201783396196</v>
      </c>
      <c r="AK68" s="1" cm="1">
        <f t="array" ref="AK68">unf_pvt_dZdt($D44,AK$36,gg,zcor)*100</f>
        <v>0.6161305385599114</v>
      </c>
    </row>
    <row r="69" spans="5:37" x14ac:dyDescent="0.25">
      <c r="E69" t="str">
        <f t="shared" si="3"/>
        <v>t=70 C</v>
      </c>
      <c r="F69" s="1" cm="1">
        <f t="array" ref="F69">unf_pvt_dZdt($D45,F$36,gg,zcor)*100</f>
        <v>9.4542367123917614E-4</v>
      </c>
      <c r="G69" s="1" cm="1">
        <f t="array" ref="G69">unf_pvt_dZdt($D45,G$36,gg,zcor)*100</f>
        <v>1.2296534192879349E-2</v>
      </c>
      <c r="H69" s="1" cm="1">
        <f t="array" ref="H69">unf_pvt_dZdt($D45,H$36,gg,zcor)*100</f>
        <v>2.3531916218066939E-2</v>
      </c>
      <c r="I69" s="1" cm="1">
        <f t="array" ref="I69">unf_pvt_dZdt($D45,I$36,gg,zcor)*100</f>
        <v>3.3950404989768757E-2</v>
      </c>
      <c r="J69" s="1" cm="1">
        <f t="array" ref="J69">unf_pvt_dZdt($D45,J$36,gg,zcor)*100</f>
        <v>4.3481609916740105E-2</v>
      </c>
      <c r="K69" s="1" cm="1">
        <f t="array" ref="K69">unf_pvt_dZdt($D45,K$36,gg,zcor)*100</f>
        <v>5.2161222699687038E-2</v>
      </c>
      <c r="L69" s="1" cm="1">
        <f t="array" ref="L69">unf_pvt_dZdt($D45,L$36,gg,zcor)*100</f>
        <v>6.0058460289669213E-2</v>
      </c>
      <c r="M69" s="1" cm="1">
        <f t="array" ref="M69">unf_pvt_dZdt($D45,M$36,gg,zcor)*100</f>
        <v>6.7254856118137418E-2</v>
      </c>
      <c r="N69" s="1" cm="1">
        <f t="array" ref="N69">unf_pvt_dZdt($D45,N$36,gg,zcor)*100</f>
        <v>7.3836688306183618E-2</v>
      </c>
      <c r="O69" s="1" cm="1">
        <f t="array" ref="O69">unf_pvt_dZdt($D45,O$36,gg,zcor)*100</f>
        <v>7.989234239158538E-2</v>
      </c>
      <c r="P69" s="1" cm="1">
        <f t="array" ref="P69">unf_pvt_dZdt($D45,P$36,gg,zcor)*100</f>
        <v>8.551182101457222E-2</v>
      </c>
      <c r="Q69" s="1" cm="1">
        <f t="array" ref="Q69">unf_pvt_dZdt($D45,Q$36,gg,zcor)*100</f>
        <v>9.0787327469810108E-2</v>
      </c>
      <c r="R69" s="1" cm="1">
        <f t="array" ref="R69">unf_pvt_dZdt($D45,R$36,gg,zcor)*100</f>
        <v>9.5814463360488489E-2</v>
      </c>
      <c r="S69" s="1" cm="1">
        <f t="array" ref="S69">unf_pvt_dZdt($D45,S$36,gg,zcor)*100</f>
        <v>0.10069383419064604</v>
      </c>
      <c r="T69" s="1" cm="1">
        <f t="array" ref="T69">unf_pvt_dZdt($D45,T$36,gg,zcor)*100</f>
        <v>0.1055329734377386</v>
      </c>
      <c r="U69" s="1" cm="1">
        <f t="array" ref="U69">unf_pvt_dZdt($D45,U$36,gg,zcor)*100</f>
        <v>0.11044855380415441</v>
      </c>
      <c r="V69" s="1" cm="1">
        <f t="array" ref="V69">unf_pvt_dZdt($D45,V$36,gg,zcor)*100</f>
        <v>0.1155688847902514</v>
      </c>
      <c r="W69" s="1" cm="1">
        <f t="array" ref="W69">unf_pvt_dZdt($D45,W$36,gg,zcor)*100</f>
        <v>0.12103671159868767</v>
      </c>
      <c r="X69" s="1" cm="1">
        <f t="array" ref="X69">unf_pvt_dZdt($D45,X$36,gg,zcor)*100</f>
        <v>0.12701233740552986</v>
      </c>
      <c r="Y69" s="1" cm="1">
        <f t="array" ref="Y69">unf_pvt_dZdt($D45,Y$36,gg,zcor)*100</f>
        <v>0.13367709158007557</v>
      </c>
      <c r="Z69" s="1" cm="1">
        <f t="array" ref="Z69">unf_pvt_dZdt($D45,Z$36,gg,zcor)*100</f>
        <v>0.14123716109737394</v>
      </c>
      <c r="AA69" s="1" cm="1">
        <f t="array" ref="AA69">unf_pvt_dZdt($D45,AA$36,gg,zcor)*100</f>
        <v>0.14992779069689099</v>
      </c>
      <c r="AB69" s="1" cm="1">
        <f t="array" ref="AB69">unf_pvt_dZdt($D45,AB$36,gg,zcor)*100</f>
        <v>0.16001783812957804</v>
      </c>
      <c r="AC69" s="1" cm="1">
        <f t="array" ref="AC69">unf_pvt_dZdt($D45,AC$36,gg,zcor)*100</f>
        <v>0.17181464227689069</v>
      </c>
      <c r="AD69" s="1" cm="1">
        <f t="array" ref="AD69">unf_pvt_dZdt($D45,AD$36,gg,zcor)*100</f>
        <v>0.18566912173323402</v>
      </c>
      <c r="AE69" s="1" cm="1">
        <f t="array" ref="AE69">unf_pvt_dZdt($D45,AE$36,gg,zcor)*100</f>
        <v>0.20198096686119271</v>
      </c>
      <c r="AF69" s="1" cm="1">
        <f t="array" ref="AF69">unf_pvt_dZdt($D45,AF$36,gg,zcor)*100</f>
        <v>0.22120371625655721</v>
      </c>
      <c r="AG69" s="1" cm="1">
        <f t="array" ref="AG69">unf_pvt_dZdt($D45,AG$36,gg,zcor)*100</f>
        <v>0.24384941581723218</v>
      </c>
      <c r="AH69" s="1" cm="1">
        <f t="array" ref="AH69">unf_pvt_dZdt($D45,AH$36,gg,zcor)*100</f>
        <v>0.27049244217702828</v>
      </c>
      <c r="AI69" s="1" cm="1">
        <f t="array" ref="AI69">unf_pvt_dZdt($D45,AI$36,gg,zcor)*100</f>
        <v>0.30177192994784718</v>
      </c>
      <c r="AJ69" s="1" cm="1">
        <f t="array" ref="AJ69">unf_pvt_dZdt($D45,AJ$36,gg,zcor)*100</f>
        <v>0.33839207328334453</v>
      </c>
      <c r="AK69" s="1" cm="1">
        <f t="array" ref="AK69">unf_pvt_dZdt($D45,AK$36,gg,zcor)*100</f>
        <v>0.38111937876705859</v>
      </c>
    </row>
    <row r="70" spans="5:37" x14ac:dyDescent="0.25">
      <c r="E70" t="str">
        <f t="shared" si="3"/>
        <v>t=80 C</v>
      </c>
      <c r="F70" s="1" cm="1">
        <f t="array" ref="F70">unf_pvt_dZdt($D46,F$36,gg,zcor)*100</f>
        <v>7.9395231411538703E-4</v>
      </c>
      <c r="G70" s="1" cm="1">
        <f t="array" ref="G70">unf_pvt_dZdt($D46,G$36,gg,zcor)*100</f>
        <v>1.084772766135611E-2</v>
      </c>
      <c r="H70" s="1" cm="1">
        <f t="array" ref="H70">unf_pvt_dZdt($D46,H$36,gg,zcor)*100</f>
        <v>2.0973792930867319E-2</v>
      </c>
      <c r="I70" s="1" cm="1">
        <f t="array" ref="I70">unf_pvt_dZdt($D46,I$36,gg,zcor)*100</f>
        <v>3.0440984336910226E-2</v>
      </c>
      <c r="J70" s="1" cm="1">
        <f t="array" ref="J70">unf_pvt_dZdt($D46,J$36,gg,zcor)*100</f>
        <v>3.9157957475777216E-2</v>
      </c>
      <c r="K70" s="1" cm="1">
        <f t="array" ref="K70">unf_pvt_dZdt($D46,K$36,gg,zcor)*100</f>
        <v>4.7143632419199832E-2</v>
      </c>
      <c r="L70" s="1" cm="1">
        <f t="array" ref="L70">unf_pvt_dZdt($D46,L$36,gg,zcor)*100</f>
        <v>5.4452355644052375E-2</v>
      </c>
      <c r="M70" s="1" cm="1">
        <f t="array" ref="M70">unf_pvt_dZdt($D46,M$36,gg,zcor)*100</f>
        <v>6.1151427750316678E-2</v>
      </c>
      <c r="N70" s="1" cm="1">
        <f t="array" ref="N70">unf_pvt_dZdt($D46,N$36,gg,zcor)*100</f>
        <v>6.7312606363945093E-2</v>
      </c>
      <c r="O70" s="1" cm="1">
        <f t="array" ref="O70">unf_pvt_dZdt($D46,O$36,gg,zcor)*100</f>
        <v>7.3008666894081031E-2</v>
      </c>
      <c r="P70" s="1" cm="1">
        <f t="array" ref="P70">unf_pvt_dZdt($D46,P$36,gg,zcor)*100</f>
        <v>7.8312145381120857E-2</v>
      </c>
      <c r="Q70" s="1" cm="1">
        <f t="array" ref="Q70">unf_pvt_dZdt($D46,Q$36,gg,zcor)*100</f>
        <v>8.3295144173711755E-2</v>
      </c>
      <c r="R70" s="1" cm="1">
        <f t="array" ref="R70">unf_pvt_dZdt($D46,R$36,gg,zcor)*100</f>
        <v>8.8029710387349525E-2</v>
      </c>
      <c r="S70" s="1" cm="1">
        <f t="array" ref="S70">unf_pvt_dZdt($D46,S$36,gg,zcor)*100</f>
        <v>9.2588557379147396E-2</v>
      </c>
      <c r="T70" s="1" cm="1">
        <f t="array" ref="T70">unf_pvt_dZdt($D46,T$36,gg,zcor)*100</f>
        <v>9.704601946936009E-2</v>
      </c>
      <c r="U70" s="1" cm="1">
        <f t="array" ref="U70">unf_pvt_dZdt($D46,U$36,gg,zcor)*100</f>
        <v>0.10147919056946453</v>
      </c>
      <c r="V70" s="1" cm="1">
        <f t="array" ref="V70">unf_pvt_dZdt($D46,V$36,gg,zcor)*100</f>
        <v>0.10596923034356109</v>
      </c>
      <c r="W70" s="1" cm="1">
        <f t="array" ref="W70">unf_pvt_dZdt($D46,W$36,gg,zcor)*100</f>
        <v>0.11060284097919038</v>
      </c>
      <c r="X70" s="1" cm="1">
        <f t="array" ref="X70">unf_pvt_dZdt($D46,X$36,gg,zcor)*100</f>
        <v>0.11547393010569174</v>
      </c>
      <c r="Y70" s="1" cm="1">
        <f t="array" ref="Y70">unf_pvt_dZdt($D46,Y$36,gg,zcor)*100</f>
        <v>0.12068548411892088</v>
      </c>
      <c r="Z70" s="1" cm="1">
        <f t="array" ref="Z70">unf_pvt_dZdt($D46,Z$36,gg,zcor)*100</f>
        <v>0.126351682748993</v>
      </c>
      <c r="AA70" s="1" cm="1">
        <f t="array" ref="AA70">unf_pvt_dZdt($D46,AA$36,gg,zcor)*100</f>
        <v>0.13260029101047621</v>
      </c>
      <c r="AB70" s="1" cm="1">
        <f t="array" ref="AB70">unf_pvt_dZdt($D46,AB$36,gg,zcor)*100</f>
        <v>0.13957536900721657</v>
      </c>
      <c r="AC70" s="1" cm="1">
        <f t="array" ref="AC70">unf_pvt_dZdt($D46,AC$36,gg,zcor)*100</f>
        <v>0.14744034353419977</v>
      </c>
      <c r="AD70" s="1" cm="1">
        <f t="array" ref="AD70">unf_pvt_dZdt($D46,AD$36,gg,zcor)*100</f>
        <v>0.15638148782404215</v>
      </c>
      <c r="AE70" s="1" cm="1">
        <f t="array" ref="AE70">unf_pvt_dZdt($D46,AE$36,gg,zcor)*100</f>
        <v>0.16661185678468193</v>
      </c>
      <c r="AF70" s="1" cm="1">
        <f t="array" ref="AF70">unf_pvt_dZdt($D46,AF$36,gg,zcor)*100</f>
        <v>0.17837572410184244</v>
      </c>
      <c r="AG70" s="1" cm="1">
        <f t="array" ref="AG70">unf_pvt_dZdt($D46,AG$36,gg,zcor)*100</f>
        <v>0.19195356383550077</v>
      </c>
      <c r="AH70" s="1" cm="1">
        <f t="array" ref="AH70">unf_pvt_dZdt($D46,AH$36,gg,zcor)*100</f>
        <v>0.20766761159785041</v>
      </c>
      <c r="AI70" s="1" cm="1">
        <f t="array" ref="AI70">unf_pvt_dZdt($D46,AI$36,gg,zcor)*100</f>
        <v>0.22588802772283145</v>
      </c>
      <c r="AJ70" s="1" cm="1">
        <f t="array" ref="AJ70">unf_pvt_dZdt($D46,AJ$36,gg,zcor)*100</f>
        <v>0.24703966535044586</v>
      </c>
      <c r="AK70" s="1" cm="1">
        <f t="array" ref="AK70">unf_pvt_dZdt($D46,AK$36,gg,zcor)*100</f>
        <v>0.27160941804194039</v>
      </c>
    </row>
    <row r="71" spans="5:37" x14ac:dyDescent="0.25">
      <c r="E71" t="str">
        <f t="shared" si="3"/>
        <v>t=90 C</v>
      </c>
      <c r="F71" s="1" cm="1">
        <f t="array" ref="F71">unf_pvt_dZdt($D47,F$36,gg,zcor)*100</f>
        <v>6.7576220585952029E-4</v>
      </c>
      <c r="G71" s="1" cm="1">
        <f t="array" ref="G71">unf_pvt_dZdt($D47,G$36,gg,zcor)*100</f>
        <v>9.5886929107891206E-3</v>
      </c>
      <c r="H71" s="1" cm="1">
        <f t="array" ref="H71">unf_pvt_dZdt($D47,H$36,gg,zcor)*100</f>
        <v>1.8710187454140659E-2</v>
      </c>
      <c r="I71" s="1" cm="1">
        <f t="array" ref="I71">unf_pvt_dZdt($D47,I$36,gg,zcor)*100</f>
        <v>2.7307788095565222E-2</v>
      </c>
      <c r="J71" s="1" cm="1">
        <f t="array" ref="J71">unf_pvt_dZdt($D47,J$36,gg,zcor)*100</f>
        <v>3.5276551038965209E-2</v>
      </c>
      <c r="K71" s="1" cm="1">
        <f t="array" ref="K71">unf_pvt_dZdt($D47,K$36,gg,zcor)*100</f>
        <v>4.2622772119194074E-2</v>
      </c>
      <c r="L71" s="1" cm="1">
        <f t="array" ref="L71">unf_pvt_dZdt($D47,L$36,gg,zcor)*100</f>
        <v>4.9389377555164593E-2</v>
      </c>
      <c r="M71" s="1" cm="1">
        <f t="array" ref="M71">unf_pvt_dZdt($D47,M$36,gg,zcor)*100</f>
        <v>5.5633122104103983E-2</v>
      </c>
      <c r="N71" s="1" cm="1">
        <f t="array" ref="N71">unf_pvt_dZdt($D47,N$36,gg,zcor)*100</f>
        <v>6.1415722672819584E-2</v>
      </c>
      <c r="O71" s="1" cm="1">
        <f t="array" ref="O71">unf_pvt_dZdt($D47,O$36,gg,zcor)*100</f>
        <v>6.6800059579930071E-2</v>
      </c>
      <c r="P71" s="1" cm="1">
        <f t="array" ref="P71">unf_pvt_dZdt($D47,P$36,gg,zcor)*100</f>
        <v>7.1848566378096557E-2</v>
      </c>
      <c r="Q71" s="1" cm="1">
        <f t="array" ref="Q71">unf_pvt_dZdt($D47,Q$36,gg,zcor)*100</f>
        <v>7.6622678704230118E-2</v>
      </c>
      <c r="R71" s="1" cm="1">
        <f t="array" ref="R71">unf_pvt_dZdt($D47,R$36,gg,zcor)*100</f>
        <v>8.1182841352389623E-2</v>
      </c>
      <c r="S71" s="1" cm="1">
        <f t="array" ref="S71">unf_pvt_dZdt($D47,S$36,gg,zcor)*100</f>
        <v>8.5588833209082615E-2</v>
      </c>
      <c r="T71" s="1" cm="1">
        <f t="array" ref="T71">unf_pvt_dZdt($D47,T$36,gg,zcor)*100</f>
        <v>8.9900289626188012E-2</v>
      </c>
      <c r="U71" s="1" cm="1">
        <f t="array" ref="U71">unf_pvt_dZdt($D47,U$36,gg,zcor)*100</f>
        <v>9.4177361907643586E-2</v>
      </c>
      <c r="V71" s="1" cm="1">
        <f t="array" ref="V71">unf_pvt_dZdt($D47,V$36,gg,zcor)*100</f>
        <v>9.8481486024315501E-2</v>
      </c>
      <c r="W71" s="1" cm="1">
        <f t="array" ref="W71">unf_pvt_dZdt($D47,W$36,gg,zcor)*100</f>
        <v>0.10287625149296709</v>
      </c>
      <c r="X71" s="1" cm="1">
        <f t="array" ref="X71">unf_pvt_dZdt($D47,X$36,gg,zcor)*100</f>
        <v>0.10742837318766796</v>
      </c>
      <c r="Y71" s="1" cm="1">
        <f t="array" ref="Y71">unf_pvt_dZdt($D47,Y$36,gg,zcor)*100</f>
        <v>0.11220877702977639</v>
      </c>
      <c r="Z71" s="1" cm="1">
        <f t="array" ref="Z71">unf_pvt_dZdt($D47,Z$36,gg,zcor)*100</f>
        <v>0.11729381681013784</v>
      </c>
      <c r="AA71" s="1" cm="1">
        <f t="array" ref="AA71">unf_pvt_dZdt($D47,AA$36,gg,zcor)*100</f>
        <v>0.12276664479893284</v>
      </c>
      <c r="AB71" s="1" cm="1">
        <f t="array" ref="AB71">unf_pvt_dZdt($D47,AB$36,gg,zcor)*100</f>
        <v>0.12871876394426884</v>
      </c>
      <c r="AC71" s="1" cm="1">
        <f t="array" ref="AC71">unf_pvt_dZdt($D47,AC$36,gg,zcor)*100</f>
        <v>0.1352517946791032</v>
      </c>
      <c r="AD71" s="1" cm="1">
        <f t="array" ref="AD71">unf_pvt_dZdt($D47,AD$36,gg,zcor)*100</f>
        <v>0.14247949491341672</v>
      </c>
      <c r="AE71" s="1" cm="1">
        <f t="array" ref="AE71">unf_pvt_dZdt($D47,AE$36,gg,zcor)*100</f>
        <v>0.150530077885902</v>
      </c>
      <c r="AF71" s="1" cm="1">
        <f t="array" ref="AF71">unf_pvt_dZdt($D47,AF$36,gg,zcor)*100</f>
        <v>0.15954887928271155</v>
      </c>
      <c r="AG71" s="1" cm="1">
        <f t="array" ref="AG71">unf_pvt_dZdt($D47,AG$36,gg,zcor)*100</f>
        <v>0.16970143251437975</v>
      </c>
      <c r="AH71" s="1" cm="1">
        <f t="array" ref="AH71">unf_pvt_dZdt($D47,AH$36,gg,zcor)*100</f>
        <v>0.18117701935671526</v>
      </c>
      <c r="AI71" s="1" cm="1">
        <f t="array" ref="AI71">unf_pvt_dZdt($D47,AI$36,gg,zcor)*100</f>
        <v>0.19419277226861986</v>
      </c>
      <c r="AJ71" s="1" cm="1">
        <f t="array" ref="AJ71">unf_pvt_dZdt($D47,AJ$36,gg,zcor)*100</f>
        <v>0.20899841468047242</v>
      </c>
      <c r="AK71" s="1" cm="1">
        <f t="array" ref="AK71">unf_pvt_dZdt($D47,AK$36,gg,zcor)*100</f>
        <v>0.22588173620152752</v>
      </c>
    </row>
    <row r="72" spans="5:37" x14ac:dyDescent="0.25">
      <c r="E72" t="str">
        <f t="shared" si="3"/>
        <v>t=100 C</v>
      </c>
      <c r="F72" s="1" cm="1">
        <f t="array" ref="F72">unf_pvt_dZdt($D48,F$36,gg,zcor)*100</f>
        <v>5.8722417650702852E-4</v>
      </c>
      <c r="G72" s="1" cm="1">
        <f t="array" ref="G72">unf_pvt_dZdt($D48,G$36,gg,zcor)*100</f>
        <v>8.4987365334132647E-3</v>
      </c>
      <c r="H72" s="1" cm="1">
        <f t="array" ref="H72">unf_pvt_dZdt($D48,H$36,gg,zcor)*100</f>
        <v>1.6705732460708944E-2</v>
      </c>
      <c r="I72" s="1" cm="1">
        <f t="array" ref="I72">unf_pvt_dZdt($D48,I$36,gg,zcor)*100</f>
        <v>2.4501661261999708E-2</v>
      </c>
      <c r="J72" s="1" cm="1">
        <f t="array" ref="J72">unf_pvt_dZdt($D48,J$36,gg,zcor)*100</f>
        <v>3.1775025105207355E-2</v>
      </c>
      <c r="K72" s="1" cm="1">
        <f t="array" ref="K72">unf_pvt_dZdt($D48,K$36,gg,zcor)*100</f>
        <v>3.8523191966621795E-2</v>
      </c>
      <c r="L72" s="1" cm="1">
        <f t="array" ref="L72">unf_pvt_dZdt($D48,L$36,gg,zcor)*100</f>
        <v>4.478029999877009E-2</v>
      </c>
      <c r="M72" s="1" cm="1">
        <f t="array" ref="M72">unf_pvt_dZdt($D48,M$36,gg,zcor)*100</f>
        <v>5.059488640857257E-2</v>
      </c>
      <c r="N72" s="1" cm="1">
        <f t="array" ref="N72">unf_pvt_dZdt($D48,N$36,gg,zcor)*100</f>
        <v>5.6021030852337894E-2</v>
      </c>
      <c r="O72" s="1" cm="1">
        <f t="array" ref="O72">unf_pvt_dZdt($D48,O$36,gg,zcor)*100</f>
        <v>6.1114450032651035E-2</v>
      </c>
      <c r="P72" s="1" cm="1">
        <f t="array" ref="P72">unf_pvt_dZdt($D48,P$36,gg,zcor)*100</f>
        <v>6.5930742299213918E-2</v>
      </c>
      <c r="Q72" s="1" cm="1">
        <f t="array" ref="Q72">unf_pvt_dZdt($D48,Q$36,gg,zcor)*100</f>
        <v>7.0524675370164935E-2</v>
      </c>
      <c r="R72" s="1" cm="1">
        <f t="array" ref="R72">unf_pvt_dZdt($D48,R$36,gg,zcor)*100</f>
        <v>7.495002217217106E-2</v>
      </c>
      <c r="S72" s="1" cm="1">
        <f t="array" ref="S72">unf_pvt_dZdt($D48,S$36,gg,zcor)*100</f>
        <v>7.9259704144130083E-2</v>
      </c>
      <c r="T72" s="1" cm="1">
        <f t="array" ref="T72">unf_pvt_dZdt($D48,T$36,gg,zcor)*100</f>
        <v>8.3506118684351094E-2</v>
      </c>
      <c r="U72" s="1" cm="1">
        <f t="array" ref="U72">unf_pvt_dZdt($D48,U$36,gg,zcor)*100</f>
        <v>8.7741586155543061E-2</v>
      </c>
      <c r="V72" s="1" cm="1">
        <f t="array" ref="V72">unf_pvt_dZdt($D48,V$36,gg,zcor)*100</f>
        <v>9.2018883359523684E-2</v>
      </c>
      <c r="W72" s="1" cm="1">
        <f t="array" ref="W72">unf_pvt_dZdt($D48,W$36,gg,zcor)*100</f>
        <v>9.6391848395604995E-2</v>
      </c>
      <c r="X72" s="1" cm="1">
        <f t="array" ref="X72">unf_pvt_dZdt($D48,X$36,gg,zcor)*100</f>
        <v>0.10091605281692395</v>
      </c>
      <c r="Y72" s="1" cm="1">
        <f t="array" ref="Y72">unf_pvt_dZdt($D48,Y$36,gg,zcor)*100</f>
        <v>0.10564954427128015</v>
      </c>
      <c r="Z72" s="1" cm="1">
        <f t="array" ref="Z72">unf_pvt_dZdt($D48,Z$36,gg,zcor)*100</f>
        <v>0.1106536680888226</v>
      </c>
      <c r="AA72" s="1" cm="1">
        <f t="array" ref="AA72">unf_pvt_dZdt($D48,AA$36,gg,zcor)*100</f>
        <v>0.11599398056016952</v>
      </c>
      <c r="AB72" s="1" cm="1">
        <f t="array" ref="AB72">unf_pvt_dZdt($D48,AB$36,gg,zcor)*100</f>
        <v>0.12174127050834649</v>
      </c>
      <c r="AC72" s="1" cm="1">
        <f t="array" ref="AC72">unf_pvt_dZdt($D48,AC$36,gg,zcor)*100</f>
        <v>0.12797270958819773</v>
      </c>
      <c r="AD72" s="1" cm="1">
        <f t="array" ref="AD72">unf_pvt_dZdt($D48,AD$36,gg,zcor)*100</f>
        <v>0.13477315582344218</v>
      </c>
      <c r="AE72" s="1" cm="1">
        <f t="array" ref="AE72">unf_pvt_dZdt($D48,AE$36,gg,zcor)*100</f>
        <v>0.14223663941526077</v>
      </c>
      <c r="AF72" s="1" cm="1">
        <f t="array" ref="AF72">unf_pvt_dZdt($D48,AF$36,gg,zcor)*100</f>
        <v>0.15046806502572174</v>
      </c>
      <c r="AG72" s="1" cm="1">
        <f t="array" ref="AG72">unf_pvt_dZdt($D48,AG$36,gg,zcor)*100</f>
        <v>0.1595851707343332</v>
      </c>
      <c r="AH72" s="1" cm="1">
        <f t="array" ref="AH72">unf_pvt_dZdt($D48,AH$36,gg,zcor)*100</f>
        <v>0.1697207908717413</v>
      </c>
      <c r="AI72" s="1" cm="1">
        <f t="array" ref="AI72">unf_pvt_dZdt($D48,AI$36,gg,zcor)*100</f>
        <v>0.18102547816378767</v>
      </c>
      <c r="AJ72" s="1" cm="1">
        <f t="array" ref="AJ72">unf_pvt_dZdt($D48,AJ$36,gg,zcor)*100</f>
        <v>0.19367055028296498</v>
      </c>
      <c r="AK72" s="1" cm="1">
        <f t="array" ref="AK72">unf_pvt_dZdt($D48,AK$36,gg,zcor)*100</f>
        <v>0.20785163729919454</v>
      </c>
    </row>
    <row r="73" spans="5:37" x14ac:dyDescent="0.25">
      <c r="E73" t="str">
        <f t="shared" si="3"/>
        <v>t=110 C</v>
      </c>
      <c r="F73" s="1" cm="1">
        <f t="array" ref="F73">unf_pvt_dZdt($D49,F$36,gg,zcor)*100</f>
        <v>5.2479259160520542E-4</v>
      </c>
      <c r="G73" s="1" cm="1">
        <f t="array" ref="G73">unf_pvt_dZdt($D49,G$36,gg,zcor)*100</f>
        <v>7.5605251049770672E-3</v>
      </c>
      <c r="H73" s="1" cm="1">
        <f t="array" ref="H73">unf_pvt_dZdt($D49,H$36,gg,zcor)*100</f>
        <v>1.49317436537455E-2</v>
      </c>
      <c r="I73" s="1" cm="1">
        <f t="array" ref="I73">unf_pvt_dZdt($D49,I$36,gg,zcor)*100</f>
        <v>2.1983249374080138E-2</v>
      </c>
      <c r="J73" s="1" cm="1">
        <f t="array" ref="J73">unf_pvt_dZdt($D49,J$36,gg,zcor)*100</f>
        <v>2.8603831978335492E-2</v>
      </c>
      <c r="K73" s="1" cm="1">
        <f t="array" ref="K73">unf_pvt_dZdt($D49,K$36,gg,zcor)*100</f>
        <v>3.4785451034191617E-2</v>
      </c>
      <c r="L73" s="1" cm="1">
        <f t="array" ref="L73">unf_pvt_dZdt($D49,L$36,gg,zcor)*100</f>
        <v>4.0555786231410984E-2</v>
      </c>
      <c r="M73" s="1" cm="1">
        <f t="array" ref="M73">unf_pvt_dZdt($D49,M$36,gg,zcor)*100</f>
        <v>4.5956979475625381E-2</v>
      </c>
      <c r="N73" s="1" cm="1">
        <f t="array" ref="N73">unf_pvt_dZdt($D49,N$36,gg,zcor)*100</f>
        <v>5.1037096634898305E-2</v>
      </c>
      <c r="O73" s="1" cm="1">
        <f t="array" ref="O73">unf_pvt_dZdt($D49,O$36,gg,zcor)*100</f>
        <v>5.5846293949612935E-2</v>
      </c>
      <c r="P73" s="1" cm="1">
        <f t="array" ref="P73">unf_pvt_dZdt($D49,P$36,gg,zcor)*100</f>
        <v>6.0435043654827325E-2</v>
      </c>
      <c r="Q73" s="1" cm="1">
        <f t="array" ref="Q73">unf_pvt_dZdt($D49,Q$36,gg,zcor)*100</f>
        <v>6.4853365517314465E-2</v>
      </c>
      <c r="R73" s="1" cm="1">
        <f t="array" ref="R73">unf_pvt_dZdt($D49,R$36,gg,zcor)*100</f>
        <v>6.9150589726563183E-2</v>
      </c>
      <c r="S73" s="1" cm="1">
        <f t="array" ref="S73">unf_pvt_dZdt($D49,S$36,gg,zcor)*100</f>
        <v>7.3375418434107331E-2</v>
      </c>
      <c r="T73" s="1" cm="1">
        <f t="array" ref="T73">unf_pvt_dZdt($D49,T$36,gg,zcor)*100</f>
        <v>7.7576165247839057E-2</v>
      </c>
      <c r="U73" s="1" cm="1">
        <f t="array" ref="U73">unf_pvt_dZdt($D49,U$36,gg,zcor)*100</f>
        <v>8.1801108219980989E-2</v>
      </c>
      <c r="V73" s="1" cm="1">
        <f t="array" ref="V73">unf_pvt_dZdt($D49,V$36,gg,zcor)*100</f>
        <v>8.6098922003952083E-2</v>
      </c>
      <c r="W73" s="1" cm="1">
        <f t="array" ref="W73">unf_pvt_dZdt($D49,W$36,gg,zcor)*100</f>
        <v>9.0519172026182204E-2</v>
      </c>
      <c r="X73" s="1" cm="1">
        <f t="array" ref="X73">unf_pvt_dZdt($D49,X$36,gg,zcor)*100</f>
        <v>9.5112863865320918E-2</v>
      </c>
      <c r="Y73" s="1" cm="1">
        <f t="array" ref="Y73">unf_pvt_dZdt($D49,Y$36,gg,zcor)*100</f>
        <v>9.9933047735811797E-2</v>
      </c>
      <c r="Z73" s="1" cm="1">
        <f t="array" ref="Z73">unf_pvt_dZdt($D49,Z$36,gg,zcor)*100</f>
        <v>0.1050354826359623</v>
      </c>
      <c r="AA73" s="1" cm="1">
        <f t="array" ref="AA73">unf_pvt_dZdt($D49,AA$36,gg,zcor)*100</f>
        <v>0.11047936834462924</v>
      </c>
      <c r="AB73" s="1" cm="1">
        <f t="array" ref="AB73">unf_pvt_dZdt($D49,AB$36,gg,zcor)*100</f>
        <v>0.11632815654016859</v>
      </c>
      <c r="AC73" s="1" cm="1">
        <f t="array" ref="AC73">unf_pvt_dZdt($D49,AC$36,gg,zcor)*100</f>
        <v>0.12265045524717522</v>
      </c>
      <c r="AD73" s="1" cm="1">
        <f t="array" ref="AD73">unf_pvt_dZdt($D49,AD$36,gg,zcor)*100</f>
        <v>0.12952104385033358</v>
      </c>
      <c r="AE73" s="1" cm="1">
        <f t="array" ref="AE73">unf_pvt_dZdt($D49,AE$36,gg,zcor)*100</f>
        <v>0.13702201919718604</v>
      </c>
      <c r="AF73" s="1" cm="1">
        <f t="array" ref="AF73">unf_pvt_dZdt($D49,AF$36,gg,zcor)*100</f>
        <v>0.14524409703864372</v>
      </c>
      <c r="AG73" s="1" cm="1">
        <f t="array" ref="AG73">unf_pvt_dZdt($D49,AG$36,gg,zcor)*100</f>
        <v>0.15428809738082805</v>
      </c>
      <c r="AH73" s="1" cm="1">
        <f t="array" ref="AH73">unf_pvt_dZdt($D49,AH$36,gg,zcor)*100</f>
        <v>0.16426664736246543</v>
      </c>
      <c r="AI73" s="1" cm="1">
        <f t="array" ref="AI73">unf_pvt_dZdt($D49,AI$36,gg,zcor)*100</f>
        <v>0.17530614125482735</v>
      </c>
      <c r="AJ73" s="1" cm="1">
        <f t="array" ref="AJ73">unf_pvt_dZdt($D49,AJ$36,gg,zcor)*100</f>
        <v>0.18754900427220278</v>
      </c>
      <c r="AK73" s="1" cm="1">
        <f t="array" ref="AK73">unf_pvt_dZdt($D49,AK$36,gg,zcor)*100</f>
        <v>0.20115631531147926</v>
      </c>
    </row>
    <row r="74" spans="5:37" x14ac:dyDescent="0.25">
      <c r="E74" t="str">
        <f t="shared" si="3"/>
        <v>t=120 C</v>
      </c>
      <c r="F74" s="1" cm="1">
        <f t="array" ref="F74">unf_pvt_dZdt($D50,F$36,gg,zcor)*100</f>
        <v>4.84968682101794E-4</v>
      </c>
      <c r="G74" s="1" cm="1">
        <f t="array" ref="G74">unf_pvt_dZdt($D50,G$36,gg,zcor)*100</f>
        <v>6.7592566229679463E-3</v>
      </c>
      <c r="H74" s="1" cm="1">
        <f t="array" ref="H74">unf_pvt_dZdt($D50,H$36,gg,zcor)*100</f>
        <v>1.3364648698943604E-2</v>
      </c>
      <c r="I74" s="1" cm="1">
        <f t="array" ref="I74">unf_pvt_dZdt($D50,I$36,gg,zcor)*100</f>
        <v>1.9720672703837927E-2</v>
      </c>
      <c r="J74" s="1" cm="1">
        <f t="array" ref="J74">unf_pvt_dZdt($D50,J$36,gg,zcor)*100</f>
        <v>2.572306936998725E-2</v>
      </c>
      <c r="K74" s="1" cm="1">
        <f t="array" ref="K74">unf_pvt_dZdt($D50,K$36,gg,zcor)*100</f>
        <v>3.1361839118226875E-2</v>
      </c>
      <c r="L74" s="1" cm="1">
        <f t="array" ref="L74">unf_pvt_dZdt($D50,L$36,gg,zcor)*100</f>
        <v>3.6660430106860709E-2</v>
      </c>
      <c r="M74" s="1" cm="1">
        <f t="array" ref="M74">unf_pvt_dZdt($D50,M$36,gg,zcor)*100</f>
        <v>4.1656232000919502E-2</v>
      </c>
      <c r="N74" s="1" cm="1">
        <f t="array" ref="N74">unf_pvt_dZdt($D50,N$36,gg,zcor)*100</f>
        <v>4.6392634738268157E-2</v>
      </c>
      <c r="O74" s="1" cm="1">
        <f t="array" ref="O74">unf_pvt_dZdt($D50,O$36,gg,zcor)*100</f>
        <v>5.0915416089036825E-2</v>
      </c>
      <c r="P74" s="1" cm="1">
        <f t="array" ref="P74">unf_pvt_dZdt($D50,P$36,gg,zcor)*100</f>
        <v>5.5271042793236802E-2</v>
      </c>
      <c r="Q74" s="1" cm="1">
        <f t="array" ref="Q74">unf_pvt_dZdt($D50,Q$36,gg,zcor)*100</f>
        <v>5.9505915080304561E-2</v>
      </c>
      <c r="R74" s="1" cm="1">
        <f t="array" ref="R74">unf_pvt_dZdt($D50,R$36,gg,zcor)*100</f>
        <v>6.3666114092253423E-2</v>
      </c>
      <c r="S74" s="1" cm="1">
        <f t="array" ref="S74">unf_pvt_dZdt($D50,S$36,gg,zcor)*100</f>
        <v>6.7797434655014754E-2</v>
      </c>
      <c r="T74" s="1" cm="1">
        <f t="array" ref="T74">unf_pvt_dZdt($D50,T$36,gg,zcor)*100</f>
        <v>7.1945589716015945E-2</v>
      </c>
      <c r="U74" s="1" cm="1">
        <f t="array" ref="U74">unf_pvt_dZdt($D50,U$36,gg,zcor)*100</f>
        <v>7.6156525164128297E-2</v>
      </c>
      <c r="V74" s="1" cm="1">
        <f t="array" ref="V74">unf_pvt_dZdt($D50,V$36,gg,zcor)*100</f>
        <v>8.04768119633259E-2</v>
      </c>
      <c r="W74" s="1" cm="1">
        <f t="array" ref="W74">unf_pvt_dZdt($D50,W$36,gg,zcor)*100</f>
        <v>8.4954098640954712E-2</v>
      </c>
      <c r="X74" s="1" cm="1">
        <f t="array" ref="X74">unf_pvt_dZdt($D50,X$36,gg,zcor)*100</f>
        <v>8.9637616895732464E-2</v>
      </c>
      <c r="Y74" s="1" cm="1">
        <f t="array" ref="Y74">unf_pvt_dZdt($D50,Y$36,gg,zcor)*100</f>
        <v>9.4578739352924046E-2</v>
      </c>
      <c r="Z74" s="1" cm="1">
        <f t="array" ref="Z74">unf_pvt_dZdt($D50,Z$36,gg,zcor)*100</f>
        <v>9.9831592829779936E-2</v>
      </c>
      <c r="AA74" s="1" cm="1">
        <f t="array" ref="AA74">unf_pvt_dZdt($D50,AA$36,gg,zcor)*100</f>
        <v>0.10545373378345602</v>
      </c>
      <c r="AB74" s="1" cm="1">
        <f t="array" ref="AB74">unf_pvt_dZdt($D50,AB$36,gg,zcor)*100</f>
        <v>0.11150689537253733</v>
      </c>
      <c r="AC74" s="1" cm="1">
        <f t="array" ref="AC74">unf_pvt_dZdt($D50,AC$36,gg,zcor)*100</f>
        <v>0.11805781814522298</v>
      </c>
      <c r="AD74" s="1" cm="1">
        <f t="array" ref="AD74">unf_pvt_dZdt($D50,AD$36,gg,zcor)*100</f>
        <v>0.12517917896315289</v>
      </c>
      <c r="AE74" s="1" cm="1">
        <f t="array" ref="AE74">unf_pvt_dZdt($D50,AE$36,gg,zcor)*100</f>
        <v>0.13295063555407438</v>
      </c>
      <c r="AF74" s="1" cm="1">
        <f t="array" ref="AF74">unf_pvt_dZdt($D50,AF$36,gg,zcor)*100</f>
        <v>0.14146000721404484</v>
      </c>
      <c r="AG74" s="1" cm="1">
        <f t="array" ref="AG74">unf_pvt_dZdt($D50,AG$36,gg,zcor)*100</f>
        <v>0.15080461575722737</v>
      </c>
      <c r="AH74" s="1" cm="1">
        <f t="array" ref="AH74">unf_pvt_dZdt($D50,AH$36,gg,zcor)*100</f>
        <v>0.16109281498799533</v>
      </c>
      <c r="AI74" s="1" cm="1">
        <f t="array" ref="AI74">unf_pvt_dZdt($D50,AI$36,gg,zcor)*100</f>
        <v>0.17244574188590711</v>
      </c>
      <c r="AJ74" s="1" cm="1">
        <f t="array" ref="AJ74">unf_pvt_dZdt($D50,AJ$36,gg,zcor)*100</f>
        <v>0.18499932849991296</v>
      </c>
      <c r="AK74" s="1" cm="1">
        <f t="array" ref="AK74">unf_pvt_dZdt($D50,AK$36,gg,zcor)*100</f>
        <v>0.19890662046972984</v>
      </c>
    </row>
    <row r="75" spans="5:37" x14ac:dyDescent="0.25">
      <c r="E75" t="str">
        <f t="shared" si="3"/>
        <v>t=130 C</v>
      </c>
      <c r="F75" s="1" cm="1">
        <f t="array" ref="F75">unf_pvt_dZdt($D51,F$36,gg,zcor)*100</f>
        <v>4.6428958844213497E-4</v>
      </c>
      <c r="G75" s="1" cm="1">
        <f t="array" ref="G75">unf_pvt_dZdt($D51,G$36,gg,zcor)*100</f>
        <v>6.0820423452012662E-3</v>
      </c>
      <c r="H75" s="1" cm="1">
        <f t="array" ref="H75">unf_pvt_dZdt($D51,H$36,gg,zcor)*100</f>
        <v>1.1984835405209893E-2</v>
      </c>
      <c r="I75" s="1" cm="1">
        <f t="array" ref="I75">unf_pvt_dZdt($D51,I$36,gg,zcor)*100</f>
        <v>1.7687853356651573E-2</v>
      </c>
      <c r="J75" s="1" cm="1">
        <f t="array" ref="J75">unf_pvt_dZdt($D51,J$36,gg,zcor)*100</f>
        <v>2.3100256285712994E-2</v>
      </c>
      <c r="K75" s="1" cm="1">
        <f t="array" ref="K75">unf_pvt_dZdt($D51,K$36,gg,zcor)*100</f>
        <v>2.8213504793983546E-2</v>
      </c>
      <c r="L75" s="1" cm="1">
        <f t="array" ref="L75">unf_pvt_dZdt($D51,L$36,gg,zcor)*100</f>
        <v>3.3049020966124942E-2</v>
      </c>
      <c r="M75" s="1" cm="1">
        <f t="array" ref="M75">unf_pvt_dZdt($D51,M$36,gg,zcor)*100</f>
        <v>3.7641036447877418E-2</v>
      </c>
      <c r="N75" s="1" cm="1">
        <f t="array" ref="N75">unf_pvt_dZdt($D51,N$36,gg,zcor)*100</f>
        <v>4.2029511333363523E-2</v>
      </c>
      <c r="O75" s="1" cm="1">
        <f t="array" ref="O75">unf_pvt_dZdt($D51,O$36,gg,zcor)*100</f>
        <v>4.6256880346651208E-2</v>
      </c>
      <c r="P75" s="1" cm="1">
        <f t="array" ref="P75">unf_pvt_dZdt($D51,P$36,gg,zcor)*100</f>
        <v>5.0366511852084628E-2</v>
      </c>
      <c r="Q75" s="1" cm="1">
        <f t="array" ref="Q75">unf_pvt_dZdt($D51,Q$36,gg,zcor)*100</f>
        <v>5.4402020835064846E-2</v>
      </c>
      <c r="R75" s="1" cm="1">
        <f t="array" ref="R75">unf_pvt_dZdt($D51,R$36,gg,zcor)*100</f>
        <v>5.8407042459185377E-2</v>
      </c>
      <c r="S75" s="1" cm="1">
        <f t="array" ref="S75">unf_pvt_dZdt($D51,S$36,gg,zcor)*100</f>
        <v>6.2425270504373742E-2</v>
      </c>
      <c r="T75" s="1" cm="1">
        <f t="array" ref="T75">unf_pvt_dZdt($D51,T$36,gg,zcor)*100</f>
        <v>6.6500657865065094E-2</v>
      </c>
      <c r="U75" s="1" cm="1">
        <f t="array" ref="U75">unf_pvt_dZdt($D51,U$36,gg,zcor)*100</f>
        <v>7.0677723473355769E-2</v>
      </c>
      <c r="V75" s="1" cm="1">
        <f t="array" ref="V75">unf_pvt_dZdt($D51,V$36,gg,zcor)*100</f>
        <v>7.5001935626151095E-2</v>
      </c>
      <c r="W75" s="1" cm="1">
        <f t="array" ref="W75">unf_pvt_dZdt($D51,W$36,gg,zcor)*100</f>
        <v>7.9520156398782404E-2</v>
      </c>
      <c r="X75" s="1" cm="1">
        <f t="array" ref="X75">unf_pvt_dZdt($D51,X$36,gg,zcor)*100</f>
        <v>8.4281140808606381E-2</v>
      </c>
      <c r="Y75" s="1" cm="1">
        <f t="array" ref="Y75">unf_pvt_dZdt($D51,Y$36,gg,zcor)*100</f>
        <v>8.9336090218994357E-2</v>
      </c>
      <c r="Z75" s="1" cm="1">
        <f t="array" ref="Z75">unf_pvt_dZdt($D51,Z$36,gg,zcor)*100</f>
        <v>9.473926354774953E-2</v>
      </c>
      <c r="AA75" s="1" cm="1">
        <f t="array" ref="AA75">unf_pvt_dZdt($D51,AA$36,gg,zcor)*100</f>
        <v>0.10054865300501703</v>
      </c>
      <c r="AB75" s="1" cm="1">
        <f t="array" ref="AB75">unf_pvt_dZdt($D51,AB$36,gg,zcor)*100</f>
        <v>0.10682673373096918</v>
      </c>
      <c r="AC75" s="1" cm="1">
        <f t="array" ref="AC75">unf_pvt_dZdt($D51,AC$36,gg,zcor)*100</f>
        <v>0.113641299211098</v>
      </c>
      <c r="AD75" s="1" cm="1">
        <f t="array" ref="AD75">unf_pvt_dZdt($D51,AD$36,gg,zcor)*100</f>
        <v>0.12106639686360054</v>
      </c>
      <c r="AE75" s="1" cm="1">
        <f t="array" ref="AE75">unf_pvt_dZdt($D51,AE$36,gg,zcor)*100</f>
        <v>0.12918338090628367</v>
      </c>
      <c r="AF75" s="1" cm="1">
        <f t="array" ref="AF75">unf_pvt_dZdt($D51,AF$36,gg,zcor)*100</f>
        <v>0.13808210265131571</v>
      </c>
      <c r="AG75" s="1" cm="1">
        <f t="array" ref="AG75">unf_pvt_dZdt($D51,AG$36,gg,zcor)*100</f>
        <v>0.14786226182827988</v>
      </c>
      <c r="AH75" s="1" cm="1">
        <f t="array" ref="AH75">unf_pvt_dZdt($D51,AH$36,gg,zcor)*100</f>
        <v>0.15863494659251742</v>
      </c>
      <c r="AI75" s="1" cm="1">
        <f t="array" ref="AI75">unf_pvt_dZdt($D51,AI$36,gg,zcor)*100</f>
        <v>0.17052439458820068</v>
      </c>
      <c r="AJ75" s="1" cm="1">
        <f t="array" ref="AJ75">unf_pvt_dZdt($D51,AJ$36,gg,zcor)*100</f>
        <v>0.1836700130397606</v>
      </c>
      <c r="AK75" s="1" cm="1">
        <f t="array" ref="AK75">unf_pvt_dZdt($D51,AK$36,gg,zcor)*100</f>
        <v>0.19822870243602075</v>
      </c>
    </row>
    <row r="76" spans="5:37" x14ac:dyDescent="0.25">
      <c r="E76" t="str">
        <f t="shared" si="3"/>
        <v>t=140 C</v>
      </c>
      <c r="F76" s="1" cm="1">
        <f t="array" ref="F76">unf_pvt_dZdt($D52,F$36,gg,zcor)*100</f>
        <v>4.5933725767444145E-4</v>
      </c>
      <c r="G76" s="1" cm="1">
        <f t="array" ref="G76">unf_pvt_dZdt($D52,G$36,gg,zcor)*100</f>
        <v>5.5174340853891835E-3</v>
      </c>
      <c r="H76" s="1" cm="1">
        <f t="array" ref="H76">unf_pvt_dZdt($D52,H$36,gg,zcor)*100</f>
        <v>1.0775786701500145E-2</v>
      </c>
      <c r="I76" s="1" cm="1">
        <f t="array" ref="I76">unf_pvt_dZdt($D52,I$36,gg,zcor)*100</f>
        <v>1.5863283650108251E-2</v>
      </c>
      <c r="J76" s="1" cm="1">
        <f t="array" ref="J76">unf_pvt_dZdt($D52,J$36,gg,zcor)*100</f>
        <v>2.0708726687801438E-2</v>
      </c>
      <c r="K76" s="1" cm="1">
        <f t="array" ref="K76">unf_pvt_dZdt($D52,K$36,gg,zcor)*100</f>
        <v>2.530843415260442E-2</v>
      </c>
      <c r="L76" s="1" cm="1">
        <f t="array" ref="L76">unf_pvt_dZdt($D52,L$36,gg,zcor)*100</f>
        <v>2.9684019774989245E-2</v>
      </c>
      <c r="M76" s="1" cm="1">
        <f t="array" ref="M76">unf_pvt_dZdt($D52,M$36,gg,zcor)*100</f>
        <v>3.386815805783705E-2</v>
      </c>
      <c r="N76" s="1" cm="1">
        <f t="array" ref="N76">unf_pvt_dZdt($D52,N$36,gg,zcor)*100</f>
        <v>3.7898614059006519E-2</v>
      </c>
      <c r="O76" s="1" cm="1">
        <f t="array" ref="O76">unf_pvt_dZdt($D52,O$36,gg,zcor)*100</f>
        <v>4.1815479673079636E-2</v>
      </c>
      <c r="P76" s="1" cm="1">
        <f t="array" ref="P76">unf_pvt_dZdt($D52,P$36,gg,zcor)*100</f>
        <v>4.5659868135983217E-2</v>
      </c>
      <c r="Q76" s="1" cm="1">
        <f t="array" ref="Q76">unf_pvt_dZdt($D52,Q$36,gg,zcor)*100</f>
        <v>4.947334593174979E-2</v>
      </c>
      <c r="R76" s="1" cm="1">
        <f t="array" ref="R76">unf_pvt_dZdt($D52,R$36,gg,zcor)*100</f>
        <v>5.3297768211502117E-2</v>
      </c>
      <c r="S76" s="1" cm="1">
        <f t="array" ref="S76">unf_pvt_dZdt($D52,S$36,gg,zcor)*100</f>
        <v>5.7175350294924598E-2</v>
      </c>
      <c r="T76" s="1" cm="1">
        <f t="array" ref="T76">unf_pvt_dZdt($D52,T$36,gg,zcor)*100</f>
        <v>6.114888689867648E-2</v>
      </c>
      <c r="U76" s="1" cm="1">
        <f t="array" ref="U76">unf_pvt_dZdt($D52,U$36,gg,zcor)*100</f>
        <v>6.5262071324845294E-2</v>
      </c>
      <c r="V76" s="1" cm="1">
        <f t="array" ref="V76">unf_pvt_dZdt($D52,V$36,gg,zcor)*100</f>
        <v>6.9559889108727901E-2</v>
      </c>
      <c r="W76" s="1" cm="1">
        <f t="array" ref="W76">unf_pvt_dZdt($D52,W$36,gg,zcor)*100</f>
        <v>7.4089073566652175E-2</v>
      </c>
      <c r="X76" s="1" cm="1">
        <f t="array" ref="X76">unf_pvt_dZdt($D52,X$36,gg,zcor)*100</f>
        <v>7.8898618704803525E-2</v>
      </c>
      <c r="Y76" s="1" cm="1">
        <f t="array" ref="Y76">unf_pvt_dZdt($D52,Y$36,gg,zcor)*100</f>
        <v>8.4040350248892892E-2</v>
      </c>
      <c r="Z76" s="1" cm="1">
        <f t="array" ref="Z76">unf_pvt_dZdt($D52,Z$36,gg,zcor)*100</f>
        <v>8.9569559390767495E-2</v>
      </c>
      <c r="AA76" s="1" cm="1">
        <f t="array" ref="AA76">unf_pvt_dZdt($D52,AA$36,gg,zcor)*100</f>
        <v>9.5545706854771595E-2</v>
      </c>
      <c r="AB76" s="1" cm="1">
        <f t="array" ref="AB76">unf_pvt_dZdt($D52,AB$36,gg,zcor)*100</f>
        <v>0.1020332075500896</v>
      </c>
      <c r="AC76" s="1" cm="1">
        <f t="array" ref="AC76">unf_pvt_dZdt($D52,AC$36,gg,zcor)*100</f>
        <v>0.10910230860439185</v>
      </c>
      <c r="AD76" s="1" cm="1">
        <f t="array" ref="AD76">unf_pvt_dZdt($D52,AD$36,gg,zcor)*100</f>
        <v>0.11683007620510999</v>
      </c>
      <c r="AE76" s="1" cm="1">
        <f t="array" ref="AE76">unf_pvt_dZdt($D52,AE$36,gg,zcor)*100</f>
        <v>0.12530150952039243</v>
      </c>
      <c r="AF76" s="1" cm="1">
        <f t="array" ref="AF76">unf_pvt_dZdt($D52,AF$36,gg,zcor)*100</f>
        <v>0.13461080318832863</v>
      </c>
      <c r="AG76" s="1" cm="1">
        <f t="array" ref="AG76">unf_pvt_dZdt($D52,AG$36,gg,zcor)*100</f>
        <v>0.14486278354763904</v>
      </c>
      <c r="AH76" s="1" cm="1">
        <f t="array" ref="AH76">unf_pvt_dZdt($D52,AH$36,gg,zcor)*100</f>
        <v>0.15617454808491971</v>
      </c>
      <c r="AI76" s="1" cm="1">
        <f t="array" ref="AI76">unf_pvt_dZdt($D52,AI$36,gg,zcor)*100</f>
        <v>0.16867734260572753</v>
      </c>
      <c r="AJ76" s="1" cm="1">
        <f t="array" ref="AJ76">unf_pvt_dZdt($D52,AJ$36,gg,zcor)*100</f>
        <v>0.18251871659114016</v>
      </c>
      <c r="AK76" s="1" cm="1">
        <f t="array" ref="AK76">unf_pvt_dZdt($D52,AK$36,gg,zcor)*100</f>
        <v>0.1978650042264718</v>
      </c>
    </row>
    <row r="77" spans="5:37" x14ac:dyDescent="0.25">
      <c r="E77" t="str">
        <f t="shared" si="3"/>
        <v>t=150 C</v>
      </c>
      <c r="F77" s="1" cm="1">
        <f t="array" ref="F77">unf_pvt_dZdt($D53,F$36,gg,zcor)*100</f>
        <v>4.6676311327153996E-4</v>
      </c>
      <c r="G77" s="1" cm="1">
        <f t="array" ref="G77">unf_pvt_dZdt($D53,G$36,gg,zcor)*100</f>
        <v>5.0550545344085762E-3</v>
      </c>
      <c r="H77" s="1" cm="1">
        <f t="array" ref="H77">unf_pvt_dZdt($D53,H$36,gg,zcor)*100</f>
        <v>9.7234153867420403E-3</v>
      </c>
      <c r="I77" s="1" cm="1">
        <f t="array" ref="I77">unf_pvt_dZdt($D53,I$36,gg,zcor)*100</f>
        <v>1.4229100351093038E-2</v>
      </c>
      <c r="J77" s="1" cm="1">
        <f t="array" ref="J77">unf_pvt_dZdt($D53,J$36,gg,zcor)*100</f>
        <v>1.8526442779553953E-2</v>
      </c>
      <c r="K77" s="1" cm="1">
        <f t="array" ref="K77">unf_pvt_dZdt($D53,K$36,gg,zcor)*100</f>
        <v>2.2619980110105686E-2</v>
      </c>
      <c r="L77" s="1" cm="1">
        <f t="array" ref="L77">unf_pvt_dZdt($D53,L$36,gg,zcor)*100</f>
        <v>2.6533758352709214E-2</v>
      </c>
      <c r="M77" s="1" cm="1">
        <f t="array" ref="M77">unf_pvt_dZdt($D53,M$36,gg,zcor)*100</f>
        <v>3.0300527058990667E-2</v>
      </c>
      <c r="N77" s="1" cm="1">
        <f t="array" ref="N77">unf_pvt_dZdt($D53,N$36,gg,zcor)*100</f>
        <v>3.3957116211902338E-2</v>
      </c>
      <c r="O77" s="1" cm="1">
        <f t="array" ref="O77">unf_pvt_dZdt($D53,O$36,gg,zcor)*100</f>
        <v>3.7542288939818036E-2</v>
      </c>
      <c r="P77" s="1" cm="1">
        <f t="array" ref="P77">unf_pvt_dZdt($D53,P$36,gg,zcor)*100</f>
        <v>4.109574664812321E-2</v>
      </c>
      <c r="Q77" s="1" cm="1">
        <f t="array" ref="Q77">unf_pvt_dZdt($D53,Q$36,gg,zcor)*100</f>
        <v>4.4657728435648636E-2</v>
      </c>
      <c r="R77" s="1" cm="1">
        <f t="array" ref="R77">unf_pvt_dZdt($D53,R$36,gg,zcor)*100</f>
        <v>4.8268942091089784E-2</v>
      </c>
      <c r="S77" s="1" cm="1">
        <f t="array" ref="S77">unf_pvt_dZdt($D53,S$36,gg,zcor)*100</f>
        <v>5.1970693611291807E-2</v>
      </c>
      <c r="T77" s="1" cm="1">
        <f t="array" ref="T77">unf_pvt_dZdt($D53,T$36,gg,zcor)*100</f>
        <v>5.5805144782539173E-2</v>
      </c>
      <c r="U77" s="1" cm="1">
        <f t="array" ref="U77">unf_pvt_dZdt($D53,U$36,gg,zcor)*100</f>
        <v>5.981566102075675E-2</v>
      </c>
      <c r="V77" s="1" cm="1">
        <f t="array" ref="V77">unf_pvt_dZdt($D53,V$36,gg,zcor)*100</f>
        <v>6.4047229848984699E-2</v>
      </c>
      <c r="W77" s="1" cm="1">
        <f t="array" ref="W77">unf_pvt_dZdt($D53,W$36,gg,zcor)*100</f>
        <v>6.8546941160096964E-2</v>
      </c>
      <c r="X77" s="1" cm="1">
        <f t="array" ref="X77">unf_pvt_dZdt($D53,X$36,gg,zcor)*100</f>
        <v>7.3364527250152634E-2</v>
      </c>
      <c r="Y77" s="1" cm="1">
        <f t="array" ref="Y77">unf_pvt_dZdt($D53,Y$36,gg,zcor)*100</f>
        <v>7.8552965274480968E-2</v>
      </c>
      <c r="Z77" s="1" cm="1">
        <f t="array" ref="Z77">unf_pvt_dZdt($D53,Z$36,gg,zcor)*100</f>
        <v>8.4169148276025396E-2</v>
      </c>
      <c r="AA77" s="1" cm="1">
        <f t="array" ref="AA77">unf_pvt_dZdt($D53,AA$36,gg,zcor)*100</f>
        <v>9.027463384336798E-2</v>
      </c>
      <c r="AB77" s="1" cm="1">
        <f t="array" ref="AB77">unf_pvt_dZdt($D53,AB$36,gg,zcor)*100</f>
        <v>9.6936482099296839E-2</v>
      </c>
      <c r="AC77" s="1" cm="1">
        <f t="array" ref="AC77">unf_pvt_dZdt($D53,AC$36,gg,zcor)*100</f>
        <v>0.10422819737221367</v>
      </c>
      <c r="AD77" s="1" cm="1">
        <f t="array" ref="AD77">unf_pvt_dZdt($D53,AD$36,gg,zcor)*100</f>
        <v>0.11223079070354913</v>
      </c>
      <c r="AE77" s="1" cm="1">
        <f t="array" ref="AE77">unf_pvt_dZdt($D53,AE$36,gg,zcor)*100</f>
        <v>0.12103398344942562</v>
      </c>
      <c r="AF77" s="1" cm="1">
        <f t="array" ref="AF77">unf_pvt_dZdt($D53,AF$36,gg,zcor)*100</f>
        <v>0.13073757576420597</v>
      </c>
      <c r="AG77" s="1" cm="1">
        <f t="array" ref="AG77">unf_pvt_dZdt($D53,AG$36,gg,zcor)*100</f>
        <v>0.14145300785206594</v>
      </c>
      <c r="AH77" s="1" cm="1">
        <f t="array" ref="AH77">unf_pvt_dZdt($D53,AH$36,gg,zcor)*100</f>
        <v>0.15330514664180228</v>
      </c>
      <c r="AI77" s="1" cm="1">
        <f t="array" ref="AI77">unf_pvt_dZdt($D53,AI$36,gg,zcor)*100</f>
        <v>0.16643433616847503</v>
      </c>
      <c r="AJ77" s="1" cm="1">
        <f t="array" ref="AJ77">unf_pvt_dZdt($D53,AJ$36,gg,zcor)*100</f>
        <v>0.18099875658572628</v>
      </c>
      <c r="AK77" s="1" cm="1">
        <f t="array" ref="AK77">unf_pvt_dZdt($D53,AK$36,gg,zcor)*100</f>
        <v>0.19717714459610569</v>
      </c>
    </row>
    <row r="78" spans="5:37" x14ac:dyDescent="0.25">
      <c r="E78" t="str">
        <f t="shared" si="3"/>
        <v>t=160 C</v>
      </c>
      <c r="F78" s="1" cm="1">
        <f t="array" ref="F78">unf_pvt_dZdt($D54,F$36,gg,zcor)*100</f>
        <v>4.8332533364447983E-4</v>
      </c>
      <c r="G78" s="1" cm="1">
        <f t="array" ref="G78">unf_pvt_dZdt($D54,G$36,gg,zcor)*100</f>
        <v>4.6853025853499375E-3</v>
      </c>
      <c r="H78" s="1" cm="1">
        <f t="array" ref="H78">unf_pvt_dZdt($D54,H$36,gg,zcor)*100</f>
        <v>8.8155400543854512E-3</v>
      </c>
      <c r="I78" s="1" cm="1">
        <f t="array" ref="I78">unf_pvt_dZdt($D54,I$36,gg,zcor)*100</f>
        <v>1.2770375030557446E-2</v>
      </c>
      <c r="J78" s="1" cm="1">
        <f t="array" ref="J78">unf_pvt_dZdt($D54,J$36,gg,zcor)*100</f>
        <v>1.6535102296155735E-2</v>
      </c>
      <c r="K78" s="1" cm="1">
        <f t="array" ref="K78">unf_pvt_dZdt($D54,K$36,gg,zcor)*100</f>
        <v>2.0125766245771004E-2</v>
      </c>
      <c r="L78" s="1" cm="1">
        <f t="array" ref="L78">unf_pvt_dZdt($D54,L$36,gg,zcor)*100</f>
        <v>2.3571102726882565E-2</v>
      </c>
      <c r="M78" s="1" cm="1">
        <f t="array" ref="M78">unf_pvt_dZdt($D54,M$36,gg,zcor)*100</f>
        <v>2.6905608286886817E-2</v>
      </c>
      <c r="N78" s="1" cm="1">
        <f t="array" ref="N78">unf_pvt_dZdt($D54,N$36,gg,zcor)*100</f>
        <v>3.0166480053939182E-2</v>
      </c>
      <c r="O78" s="1" cm="1">
        <f t="array" ref="O78">unf_pvt_dZdt($D54,O$36,gg,zcor)*100</f>
        <v>3.3392204190851871E-2</v>
      </c>
      <c r="P78" s="1" cm="1">
        <f t="array" ref="P78">unf_pvt_dZdt($D54,P$36,gg,zcor)*100</f>
        <v>3.6621944116577154E-2</v>
      </c>
      <c r="Q78" s="1" cm="1">
        <f t="array" ref="Q78">unf_pvt_dZdt($D54,Q$36,gg,zcor)*100</f>
        <v>3.9895354815744355E-2</v>
      </c>
      <c r="R78" s="1" cm="1">
        <f t="array" ref="R78">unf_pvt_dZdt($D54,R$36,gg,zcor)*100</f>
        <v>4.325264236215709E-2</v>
      </c>
      <c r="S78" s="1" cm="1">
        <f t="array" ref="S78">unf_pvt_dZdt($D54,S$36,gg,zcor)*100</f>
        <v>4.673477563654771E-2</v>
      </c>
      <c r="T78" s="1" cm="1">
        <f t="array" ref="T78">unf_pvt_dZdt($D54,T$36,gg,zcor)*100</f>
        <v>5.0383800943132329E-2</v>
      </c>
      <c r="U78" s="1" cm="1">
        <f t="array" ref="U78">unf_pvt_dZdt($D54,U$36,gg,zcor)*100</f>
        <v>5.4243233654771572E-2</v>
      </c>
      <c r="V78" s="1" cm="1">
        <f t="array" ref="V78">unf_pvt_dZdt($D54,V$36,gg,zcor)*100</f>
        <v>5.8358514434031505E-2</v>
      </c>
      <c r="W78" s="1" cm="1">
        <f t="array" ref="W78">unf_pvt_dZdt($D54,W$36,gg,zcor)*100</f>
        <v>6.2777525778434651E-2</v>
      </c>
      <c r="X78" s="1" cm="1">
        <f t="array" ref="X78">unf_pvt_dZdt($D54,X$36,gg,zcor)*100</f>
        <v>6.7551170052748688E-2</v>
      </c>
      <c r="Y78" s="1" cm="1">
        <f t="array" ref="Y78">unf_pvt_dZdt($D54,Y$36,gg,zcor)*100</f>
        <v>7.2734014068265296E-2</v>
      </c>
      <c r="Z78" s="1" cm="1">
        <f t="array" ref="Z78">unf_pvt_dZdt($D54,Z$36,gg,zcor)*100</f>
        <v>7.8385008376535836E-2</v>
      </c>
      <c r="AA78" s="1" cm="1">
        <f t="array" ref="AA78">unf_pvt_dZdt($D54,AA$36,gg,zcor)*100</f>
        <v>8.4568292185505101E-2</v>
      </c>
      <c r="AB78" s="1" cm="1">
        <f t="array" ref="AB78">unf_pvt_dZdt($D54,AB$36,gg,zcor)*100</f>
        <v>9.1354097472295948E-2</v>
      </c>
      <c r="AC78" s="1" cm="1">
        <f t="array" ref="AC78">unf_pvt_dZdt($D54,AC$36,gg,zcor)*100</f>
        <v>9.8819768621583037E-2</v>
      </c>
      <c r="AD78" s="1" cm="1">
        <f t="array" ref="AD78">unf_pvt_dZdt($D54,AD$36,gg,zcor)*100</f>
        <v>0.10705091696694424</v>
      </c>
      <c r="AE78" s="1" cm="1">
        <f t="array" ref="AE78">unf_pvt_dZdt($D54,AE$36,gg,zcor)*100</f>
        <v>0.11614273301319145</v>
      </c>
      <c r="AF78" s="1" cm="1">
        <f t="array" ref="AF78">unf_pvt_dZdt($D54,AF$36,gg,zcor)*100</f>
        <v>0.12620148308761792</v>
      </c>
      <c r="AG78" s="1" cm="1">
        <f t="array" ref="AG78">unf_pvt_dZdt($D54,AG$36,gg,zcor)*100</f>
        <v>0.13734622174199629</v>
      </c>
      <c r="AH78" s="1" cm="1">
        <f t="array" ref="AH78">unf_pvt_dZdt($D54,AH$36,gg,zcor)*100</f>
        <v>0.14971075665948241</v>
      </c>
      <c r="AI78" s="1" cm="1">
        <f t="array" ref="AI78">unf_pvt_dZdt($D54,AI$36,gg,zcor)*100</f>
        <v>0.16344590918260238</v>
      </c>
      <c r="AJ78" s="1" cm="1">
        <f t="array" ref="AJ78">unf_pvt_dZdt($D54,AJ$36,gg,zcor)*100</f>
        <v>0.17872212114311559</v>
      </c>
      <c r="AK78" s="1" cm="1">
        <f t="array" ref="AK78">unf_pvt_dZdt($D54,AK$36,gg,zcor)*100</f>
        <v>0.19573246764537089</v>
      </c>
    </row>
    <row r="79" spans="5:37" x14ac:dyDescent="0.25">
      <c r="E79" t="str">
        <f t="shared" si="3"/>
        <v>t=170 C</v>
      </c>
      <c r="F79" s="1" cm="1">
        <f t="array" ref="F79">unf_pvt_dZdt($D55,F$36,gg,zcor)*100</f>
        <v>5.059358983983131E-4</v>
      </c>
      <c r="G79" s="1" cm="1">
        <f t="array" ref="G79">unf_pvt_dZdt($D55,G$36,gg,zcor)*100</f>
        <v>4.3991151964517528E-3</v>
      </c>
      <c r="H79" s="1" cm="1">
        <f t="array" ref="H79">unf_pvt_dZdt($D55,H$36,gg,zcor)*100</f>
        <v>8.0414618864876886E-3</v>
      </c>
      <c r="I79" s="1" cm="1">
        <f t="array" ref="I79">unf_pvt_dZdt($D55,I$36,gg,zcor)*100</f>
        <v>1.1474559310831189E-2</v>
      </c>
      <c r="J79" s="1" cm="1">
        <f t="array" ref="J79">unf_pvt_dZdt($D55,J$36,gg,zcor)*100</f>
        <v>1.471945668141128E-2</v>
      </c>
      <c r="K79" s="1" cm="1">
        <f t="array" ref="K79">unf_pvt_dZdt($D55,K$36,gg,zcor)*100</f>
        <v>1.7806854693769303E-2</v>
      </c>
      <c r="L79" s="1" cm="1">
        <f t="array" ref="L79">unf_pvt_dZdt($D55,L$36,gg,zcor)*100</f>
        <v>2.0772429833226802E-2</v>
      </c>
      <c r="M79" s="1" cm="1">
        <f t="array" ref="M79">unf_pvt_dZdt($D55,M$36,gg,zcor)*100</f>
        <v>2.365413252891635E-2</v>
      </c>
      <c r="N79" s="1" cm="1">
        <f t="array" ref="N79">unf_pvt_dZdt($D55,N$36,gg,zcor)*100</f>
        <v>2.6490876734674984E-2</v>
      </c>
      <c r="O79" s="1" cm="1">
        <f t="array" ref="O79">unf_pvt_dZdt($D55,O$36,gg,zcor)*100</f>
        <v>2.9321972555340636E-2</v>
      </c>
      <c r="P79" s="1" cm="1">
        <f t="array" ref="P79">unf_pvt_dZdt($D55,P$36,gg,zcor)*100</f>
        <v>3.2186965667202472E-2</v>
      </c>
      <c r="Q79" s="1" cm="1">
        <f t="array" ref="Q79">unf_pvt_dZdt($D55,Q$36,gg,zcor)*100</f>
        <v>3.5125712082084704E-2</v>
      </c>
      <c r="R79" s="1" cm="1">
        <f t="array" ref="R79">unf_pvt_dZdt($D55,R$36,gg,zcor)*100</f>
        <v>3.8178598361859883E-2</v>
      </c>
      <c r="S79" s="1" cm="1">
        <f t="array" ref="S79">unf_pvt_dZdt($D55,S$36,gg,zcor)*100</f>
        <v>4.1386859332304127E-2</v>
      </c>
      <c r="T79" s="1" cm="1">
        <f t="array" ref="T79">unf_pvt_dZdt($D55,T$36,gg,zcor)*100</f>
        <v>4.479296812598399E-2</v>
      </c>
      <c r="U79" s="1" cm="1">
        <f t="array" ref="U79">unf_pvt_dZdt($D55,U$36,gg,zcor)*100</f>
        <v>4.8441086472506001E-2</v>
      </c>
      <c r="V79" s="1" cm="1">
        <f t="array" ref="V79">unf_pvt_dZdt($D55,V$36,gg,zcor)*100</f>
        <v>5.2377571158501723E-2</v>
      </c>
      <c r="W79" s="1" cm="1">
        <f t="array" ref="W79">unf_pvt_dZdt($D55,W$36,gg,zcor)*100</f>
        <v>5.6651537847063338E-2</v>
      </c>
      <c r="X79" s="1" cm="1">
        <f t="array" ref="X79">unf_pvt_dZdt($D55,X$36,gg,zcor)*100</f>
        <v>6.1315487218660536E-2</v>
      </c>
      <c r="Y79" s="1" cm="1">
        <f t="array" ref="Y79">unf_pvt_dZdt($D55,Y$36,gg,zcor)*100</f>
        <v>6.6426001383845801E-2</v>
      </c>
      <c r="Z79" s="1" cm="1">
        <f t="array" ref="Z79">unf_pvt_dZdt($D55,Z$36,gg,zcor)*100</f>
        <v>7.204452116305049E-2</v>
      </c>
      <c r="AA79" s="1" cm="1">
        <f t="array" ref="AA79">unf_pvt_dZdt($D55,AA$36,gg,zcor)*100</f>
        <v>7.8238217371406904E-2</v>
      </c>
      <c r="AB79" s="1" cm="1">
        <f t="array" ref="AB79">unf_pvt_dZdt($D55,AB$36,gg,zcor)*100</f>
        <v>8.5080971896189794E-2</v>
      </c>
      <c r="AC79" s="1" cm="1">
        <f t="array" ref="AC79">unf_pvt_dZdt($D55,AC$36,gg,zcor)*100</f>
        <v>9.265448727280301E-2</v>
      </c>
      <c r="AD79" s="1" cm="1">
        <f t="array" ref="AD79">unf_pvt_dZdt($D55,AD$36,gg,zcor)*100</f>
        <v>0.10104954673173516</v>
      </c>
      <c r="AE79" s="1" cm="1">
        <f t="array" ref="AE79">unf_pvt_dZdt($D55,AE$36,gg,zcor)*100</f>
        <v>0.11036745049719521</v>
      </c>
      <c r="AF79" s="1" cm="1">
        <f t="array" ref="AF79">unf_pvt_dZdt($D55,AF$36,gg,zcor)*100</f>
        <v>0.12072165852394789</v>
      </c>
      <c r="AG79" s="1" cm="1">
        <f t="array" ref="AG79">unf_pvt_dZdt($D55,AG$36,gg,zcor)*100</f>
        <v>0.13223967507647316</v>
      </c>
      <c r="AH79" s="1" cm="1">
        <f t="array" ref="AH79">unf_pvt_dZdt($D55,AH$36,gg,zcor)*100</f>
        <v>0.14506521668744554</v>
      </c>
      <c r="AI79" s="1" cm="1">
        <f t="array" ref="AI79">unf_pvt_dZdt($D55,AI$36,gg,zcor)*100</f>
        <v>0.15936071231936744</v>
      </c>
      <c r="AJ79" s="1" cm="1">
        <f t="array" ref="AJ79">unf_pvt_dZdt($D55,AJ$36,gg,zcor)*100</f>
        <v>0.17531019320093932</v>
      </c>
      <c r="AK79" s="1" cm="1">
        <f t="array" ref="AK79">unf_pvt_dZdt($D55,AK$36,gg,zcor)*100</f>
        <v>0.19312264008664037</v>
      </c>
    </row>
    <row r="80" spans="5:37" x14ac:dyDescent="0.25">
      <c r="E80" t="str">
        <f t="shared" si="3"/>
        <v>t=180 C</v>
      </c>
      <c r="F80" s="1" cm="1">
        <f t="array" ref="F80">unf_pvt_dZdt($D56,F$36,gg,zcor)*100</f>
        <v>5.3171448932687326E-4</v>
      </c>
      <c r="G80" s="1" cm="1">
        <f t="array" ref="G80">unf_pvt_dZdt($D56,G$36,gg,zcor)*100</f>
        <v>4.1877738514717322E-3</v>
      </c>
      <c r="H80" s="1" cm="1">
        <f t="array" ref="H80">unf_pvt_dZdt($D56,H$36,gg,zcor)*100</f>
        <v>7.3916141275498504E-3</v>
      </c>
      <c r="I80" s="1" cm="1">
        <f t="array" ref="I80">unf_pvt_dZdt($D56,I$36,gg,zcor)*100</f>
        <v>1.0331042143540969E-2</v>
      </c>
      <c r="J80" s="1" cm="1">
        <f t="array" ref="J80">unf_pvt_dZdt($D56,J$36,gg,zcor)*100</f>
        <v>1.3066783288828709E-2</v>
      </c>
      <c r="K80" s="1" cm="1">
        <f t="array" ref="K80">unf_pvt_dZdt($D56,K$36,gg,zcor)*100</f>
        <v>1.5647105113369975E-2</v>
      </c>
      <c r="L80" s="1" cm="1">
        <f t="array" ref="L80">unf_pvt_dZdt($D56,L$36,gg,zcor)*100</f>
        <v>1.8116822438907221E-2</v>
      </c>
      <c r="M80" s="1" cm="1">
        <f t="array" ref="M80">unf_pvt_dZdt($D56,M$36,gg,zcor)*100</f>
        <v>2.0519060900170416E-2</v>
      </c>
      <c r="N80" s="1" cm="1">
        <f t="array" ref="N80">unf_pvt_dZdt($D56,N$36,gg,zcor)*100</f>
        <v>2.2895841786274573E-2</v>
      </c>
      <c r="O80" s="1" cm="1">
        <f t="array" ref="O80">unf_pvt_dZdt($D56,O$36,gg,zcor)*100</f>
        <v>2.5288450658189632E-2</v>
      </c>
      <c r="P80" s="1" cm="1">
        <f t="array" ref="P80">unf_pvt_dZdt($D56,P$36,gg,zcor)*100</f>
        <v>2.7737788750092918E-2</v>
      </c>
      <c r="Q80" s="1" cm="1">
        <f t="array" ref="Q80">unf_pvt_dZdt($D56,Q$36,gg,zcor)*100</f>
        <v>3.0284750377251868E-2</v>
      </c>
      <c r="R80" s="1" cm="1">
        <f t="array" ref="R80">unf_pvt_dZdt($D56,R$36,gg,zcor)*100</f>
        <v>3.2970634406881416E-2</v>
      </c>
      <c r="S80" s="1" cm="1">
        <f t="array" ref="S80">unf_pvt_dZdt($D56,S$36,gg,zcor)*100</f>
        <v>3.5837591021214976E-2</v>
      </c>
      <c r="T80" s="1" cm="1">
        <f t="array" ref="T80">unf_pvt_dZdt($D56,T$36,gg,zcor)*100</f>
        <v>3.892910524538884E-2</v>
      </c>
      <c r="U80" s="1" cm="1">
        <f t="array" ref="U80">unf_pvt_dZdt($D56,U$36,gg,zcor)*100</f>
        <v>4.2290520563037504E-2</v>
      </c>
      <c r="V80" s="1" cm="1">
        <f t="array" ref="V80">unf_pvt_dZdt($D56,V$36,gg,zcor)*100</f>
        <v>4.5969608031715126E-2</v>
      </c>
      <c r="W80" s="1" cm="1">
        <f t="array" ref="W80">unf_pvt_dZdt($D56,W$36,gg,zcor)*100</f>
        <v>5.0017188290230052E-2</v>
      </c>
      <c r="X80" s="1" cm="1">
        <f t="array" ref="X80">unf_pvt_dZdt($D56,X$36,gg,zcor)*100</f>
        <v>5.4487815807746642E-2</v>
      </c>
      <c r="Y80" s="1" cm="1">
        <f t="array" ref="Y80">unf_pvt_dZdt($D56,Y$36,gg,zcor)*100</f>
        <v>5.9440536682275891E-2</v>
      </c>
      <c r="Z80" s="1" cm="1">
        <f t="array" ref="Z80">unf_pvt_dZdt($D56,Z$36,gg,zcor)*100</f>
        <v>6.4939733391611298E-2</v>
      </c>
      <c r="AA80" s="1" cm="1">
        <f t="array" ref="AA80">unf_pvt_dZdt($D56,AA$36,gg,zcor)*100</f>
        <v>7.1056072225683664E-2</v>
      </c>
      <c r="AB80" s="1" cm="1">
        <f t="array" ref="AB80">unf_pvt_dZdt($D56,AB$36,gg,zcor)*100</f>
        <v>7.7867571754097753E-2</v>
      </c>
      <c r="AC80" s="1" cm="1">
        <f t="array" ref="AC80">unf_pvt_dZdt($D56,AC$36,gg,zcor)*100</f>
        <v>8.5460813742388453E-2</v>
      </c>
      <c r="AD80" s="1" cm="1">
        <f t="array" ref="AD80">unf_pvt_dZdt($D56,AD$36,gg,zcor)*100</f>
        <v>9.3932321495460158E-2</v>
      </c>
      <c r="AE80" s="1" cm="1">
        <f t="array" ref="AE80">unf_pvt_dZdt($D56,AE$36,gg,zcor)*100</f>
        <v>0.1033901348035382</v>
      </c>
      <c r="AF80" s="1" cm="1">
        <f t="array" ref="AF80">unf_pvt_dZdt($D56,AF$36,gg,zcor)*100</f>
        <v>0.11395561563687373</v>
      </c>
      <c r="AG80" s="1" cm="1">
        <f t="array" ref="AG80">unf_pvt_dZdt($D56,AG$36,gg,zcor)*100</f>
        <v>0.12576552461163182</v>
      </c>
      <c r="AH80" s="1" cm="1">
        <f t="array" ref="AH80">unf_pvt_dZdt($D56,AH$36,gg,zcor)*100</f>
        <v>0.13897441525023702</v>
      </c>
      <c r="AI80" s="1" cm="1">
        <f t="array" ref="AI80">unf_pvt_dZdt($D56,AI$36,gg,zcor)*100</f>
        <v>0.15375740135548099</v>
      </c>
      <c r="AJ80" s="1" cm="1">
        <f t="array" ref="AJ80">unf_pvt_dZdt($D56,AJ$36,gg,zcor)*100</f>
        <v>0.17031336272932407</v>
      </c>
      <c r="AK80" s="1" cm="1">
        <f t="array" ref="AK80">unf_pvt_dZdt($D56,AK$36,gg,zcor)*100</f>
        <v>0.18886866626832699</v>
      </c>
    </row>
    <row r="81" spans="5:37" x14ac:dyDescent="0.25">
      <c r="E81" t="str">
        <f t="shared" si="3"/>
        <v>t=190 C</v>
      </c>
      <c r="F81" s="1" cm="1">
        <f t="array" ref="F81">unf_pvt_dZdt($D57,F$36,gg,zcor)*100</f>
        <v>5.5804599674580402E-4</v>
      </c>
      <c r="G81" s="1" cm="1">
        <f t="array" ref="G81">unf_pvt_dZdt($D57,G$36,gg,zcor)*100</f>
        <v>4.0427483452010193E-3</v>
      </c>
      <c r="H81" s="1" cm="1">
        <f t="array" ref="H81">unf_pvt_dZdt($D57,H$36,gg,zcor)*100</f>
        <v>6.8572643188158366E-3</v>
      </c>
      <c r="I81" s="1" cm="1">
        <f t="array" ref="I81">unf_pvt_dZdt($D57,I$36,gg,zcor)*100</f>
        <v>9.3307884089233184E-3</v>
      </c>
      <c r="J81" s="1" cm="1">
        <f t="array" ref="J81">unf_pvt_dZdt($D57,J$36,gg,zcor)*100</f>
        <v>1.1566471656010435E-2</v>
      </c>
      <c r="K81" s="1" cm="1">
        <f t="array" ref="K81">unf_pvt_dZdt($D57,K$36,gg,zcor)*100</f>
        <v>1.363267470422258E-2</v>
      </c>
      <c r="L81" s="1" cm="1">
        <f t="array" ref="L81">unf_pvt_dZdt($D57,L$36,gg,zcor)*100</f>
        <v>1.5585418296382159E-2</v>
      </c>
      <c r="M81" s="1" cm="1">
        <f t="array" ref="M81">unf_pvt_dZdt($D57,M$36,gg,zcor)*100</f>
        <v>1.7474696939911993E-2</v>
      </c>
      <c r="N81" s="1" cm="1">
        <f t="array" ref="N81">unf_pvt_dZdt($D57,N$36,gg,zcor)*100</f>
        <v>1.9347048124007671E-2</v>
      </c>
      <c r="O81" s="1" cm="1">
        <f t="array" ref="O81">unf_pvt_dZdt($D57,O$36,gg,zcor)*100</f>
        <v>2.1246924333473416E-2</v>
      </c>
      <c r="P81" s="1" cm="1">
        <f t="array" ref="P81">unf_pvt_dZdt($D57,P$36,gg,zcor)*100</f>
        <v>2.3217605587877443E-2</v>
      </c>
      <c r="Q81" s="1" cm="1">
        <f t="array" ref="Q81">unf_pvt_dZdt($D57,Q$36,gg,zcor)*100</f>
        <v>2.5301915801856367E-2</v>
      </c>
      <c r="R81" s="1" cm="1">
        <f t="array" ref="R81">unf_pvt_dZdt($D57,R$36,gg,zcor)*100</f>
        <v>2.7542852991668809E-2</v>
      </c>
      <c r="S81" s="1" cm="1">
        <f t="array" ref="S81">unf_pvt_dZdt($D57,S$36,gg,zcor)*100</f>
        <v>2.9984186489029341E-2</v>
      </c>
      <c r="T81" s="1" cm="1">
        <f t="array" ref="T81">unf_pvt_dZdt($D57,T$36,gg,zcor)*100</f>
        <v>3.2671051134691709E-2</v>
      </c>
      <c r="U81" s="1" cm="1">
        <f t="array" ref="U81">unf_pvt_dZdt($D57,U$36,gg,zcor)*100</f>
        <v>3.5650558472655192E-2</v>
      </c>
      <c r="V81" s="1" cm="1">
        <f t="array" ref="V81">unf_pvt_dZdt($D57,V$36,gg,zcor)*100</f>
        <v>3.8972440736362302E-2</v>
      </c>
      <c r="W81" s="1" cm="1">
        <f t="array" ref="W81">unf_pvt_dZdt($D57,W$36,gg,zcor)*100</f>
        <v>4.2689741918344737E-2</v>
      </c>
      <c r="X81" s="1" cm="1">
        <f t="array" ref="X81">unf_pvt_dZdt($D57,X$36,gg,zcor)*100</f>
        <v>4.6859570168367171E-2</v>
      </c>
      <c r="Y81" s="1" cm="1">
        <f t="array" ref="Y81">unf_pvt_dZdt($D57,Y$36,gg,zcor)*100</f>
        <v>5.1543926619546099E-2</v>
      </c>
      <c r="Z81" s="1" cm="1">
        <f t="array" ref="Z81">unf_pvt_dZdt($D57,Z$36,gg,zcor)*100</f>
        <v>5.6810627228065513E-2</v>
      </c>
      <c r="AA81" s="1" cm="1">
        <f t="array" ref="AA81">unf_pvt_dZdt($D57,AA$36,gg,zcor)*100</f>
        <v>6.2734336288894355E-2</v>
      </c>
      <c r="AB81" s="1" cm="1">
        <f t="array" ref="AB81">unf_pvt_dZdt($D57,AB$36,gg,zcor)*100</f>
        <v>6.9397732884945995E-2</v>
      </c>
      <c r="AC81" s="1" cm="1">
        <f t="array" ref="AC81">unf_pvt_dZdt($D57,AC$36,gg,zcor)*100</f>
        <v>7.6892834758535145E-2</v>
      </c>
      <c r="AD81" s="1" cm="1">
        <f t="array" ref="AD81">unf_pvt_dZdt($D57,AD$36,gg,zcor)*100</f>
        <v>8.5322507955565285E-2</v>
      </c>
      <c r="AE81" s="1" cm="1">
        <f t="array" ref="AE81">unf_pvt_dZdt($D57,AE$36,gg,zcor)*100</f>
        <v>9.4802195260479394E-2</v>
      </c>
      <c r="AF81" s="1" cm="1">
        <f t="array" ref="AF81">unf_pvt_dZdt($D57,AF$36,gg,zcor)*100</f>
        <v>0.1054619020144365</v>
      </c>
      <c r="AG81" s="1" cm="1">
        <f t="array" ref="AG81">unf_pvt_dZdt($D57,AG$36,gg,zcor)*100</f>
        <v>0.1174484845529733</v>
      </c>
      <c r="AH81" s="1" cm="1">
        <f t="array" ref="AH81">unf_pvt_dZdt($D57,AH$36,gg,zcor)*100</f>
        <v>0.13092829444394383</v>
      </c>
      <c r="AI81" s="1" cm="1">
        <f t="array" ref="AI81">unf_pvt_dZdt($D57,AI$36,gg,zcor)*100</f>
        <v>0.14609024119249803</v>
      </c>
      <c r="AJ81" s="1" cm="1">
        <f t="array" ref="AJ81">unf_pvt_dZdt($D57,AJ$36,gg,zcor)*100</f>
        <v>0.1631493473879253</v>
      </c>
      <c r="AK81" s="1" cm="1">
        <f t="array" ref="AK81">unf_pvt_dZdt($D57,AK$36,gg,zcor)*100</f>
        <v>0.18235088380880171</v>
      </c>
    </row>
    <row r="82" spans="5:37" x14ac:dyDescent="0.25">
      <c r="E82" t="str">
        <f t="shared" si="3"/>
        <v>t=200 C</v>
      </c>
      <c r="F82" s="1" cm="1">
        <f t="array" ref="F82">unf_pvt_dZdt($D58,F$36,gg,zcor)*100</f>
        <v>5.8263789537438271E-4</v>
      </c>
      <c r="G82" s="1" cm="1">
        <f t="array" ref="G82">unf_pvt_dZdt($D58,G$36,gg,zcor)*100</f>
        <v>3.9555740435348596E-3</v>
      </c>
      <c r="H82" s="1" cm="1">
        <f t="array" ref="H82">unf_pvt_dZdt($D58,H$36,gg,zcor)*100</f>
        <v>6.4302551974204647E-3</v>
      </c>
      <c r="I82" s="1" cm="1">
        <f t="array" ref="I82">unf_pvt_dZdt($D58,I$36,gg,zcor)*100</f>
        <v>8.4660363247612835E-3</v>
      </c>
      <c r="J82" s="1" cm="1">
        <f t="array" ref="J82">unf_pvt_dZdt($D58,J$36,gg,zcor)*100</f>
        <v>1.0209695137652908E-2</v>
      </c>
      <c r="K82" s="1" cm="1">
        <f t="array" ref="K82">unf_pvt_dZdt($D58,K$36,gg,zcor)*100</f>
        <v>1.1751624013123241E-2</v>
      </c>
      <c r="L82" s="1" cm="1">
        <f t="array" ref="L82">unf_pvt_dZdt($D58,L$36,gg,zcor)*100</f>
        <v>1.3160868171713247E-2</v>
      </c>
      <c r="M82" s="1" cm="1">
        <f t="array" ref="M82">unf_pvt_dZdt($D58,M$36,gg,zcor)*100</f>
        <v>1.4495884013143723E-2</v>
      </c>
      <c r="N82" s="1" cm="1">
        <f t="array" ref="N82">unf_pvt_dZdt($D58,N$36,gg,zcor)*100</f>
        <v>1.5809106644670834E-2</v>
      </c>
      <c r="O82" s="1" cm="1">
        <f t="array" ref="O82">unf_pvt_dZdt($D58,O$36,gg,zcor)*100</f>
        <v>1.7149358190637898E-2</v>
      </c>
      <c r="P82" s="1" cm="1">
        <f t="array" ref="P82">unf_pvt_dZdt($D58,P$36,gg,zcor)*100</f>
        <v>1.8563353195721888E-2</v>
      </c>
      <c r="Q82" s="1" cm="1">
        <f t="array" ref="Q82">unf_pvt_dZdt($D58,Q$36,gg,zcor)*100</f>
        <v>2.0096780797951297E-2</v>
      </c>
      <c r="R82" s="1" cm="1">
        <f t="array" ref="R82">unf_pvt_dZdt($D58,R$36,gg,zcor)*100</f>
        <v>2.1795175797034716E-2</v>
      </c>
      <c r="S82" s="1" cm="1">
        <f t="array" ref="S82">unf_pvt_dZdt($D58,S$36,gg,zcor)*100</f>
        <v>2.3704684586567382E-2</v>
      </c>
      <c r="T82" s="1" cm="1">
        <f t="array" ref="T82">unf_pvt_dZdt($D58,T$36,gg,zcor)*100</f>
        <v>2.587278533927595E-2</v>
      </c>
      <c r="U82" s="1" cm="1">
        <f t="array" ref="U82">unf_pvt_dZdt($D58,U$36,gg,zcor)*100</f>
        <v>2.8348999922656049E-2</v>
      </c>
      <c r="V82" s="1" cm="1">
        <f t="array" ref="V82">unf_pvt_dZdt($D58,V$36,gg,zcor)*100</f>
        <v>3.1185624352003671E-2</v>
      </c>
      <c r="W82" s="1" cm="1">
        <f t="array" ref="W82">unf_pvt_dZdt($D58,W$36,gg,zcor)*100</f>
        <v>3.4438499469713335E-2</v>
      </c>
      <c r="X82" s="1" cm="1">
        <f t="array" ref="X82">unf_pvt_dZdt($D58,X$36,gg,zcor)*100</f>
        <v>3.8167841430514216E-2</v>
      </c>
      <c r="Y82" s="1" cm="1">
        <f t="array" ref="Y82">unf_pvt_dZdt($D58,Y$36,gg,zcor)*100</f>
        <v>4.2439151235473815E-2</v>
      </c>
      <c r="Z82" s="1" cm="1">
        <f t="array" ref="Z82">unf_pvt_dZdt($D58,Z$36,gg,zcor)*100</f>
        <v>4.7324223444222824E-2</v>
      </c>
      <c r="AA82" s="1" cm="1">
        <f t="array" ref="AA82">unf_pvt_dZdt($D58,AA$36,gg,zcor)*100</f>
        <v>5.2902275976318691E-2</v>
      </c>
      <c r="AB82" s="1" cm="1">
        <f t="array" ref="AB82">unf_pvt_dZdt($D58,AB$36,gg,zcor)*100</f>
        <v>5.9261225512585725E-2</v>
      </c>
      <c r="AC82" s="1" cm="1">
        <f t="array" ref="AC82">unf_pvt_dZdt($D58,AC$36,gg,zcor)*100</f>
        <v>6.6499136403219694E-2</v>
      </c>
      <c r="AD82" s="1" cm="1">
        <f t="array" ref="AD82">unf_pvt_dZdt($D58,AD$36,gg,zcor)*100</f>
        <v>7.4725875219172622E-2</v>
      </c>
      <c r="AE82" s="1" cm="1">
        <f t="array" ref="AE82">unf_pvt_dZdt($D58,AE$36,gg,zcor)*100</f>
        <v>8.4065008253864093E-2</v>
      </c>
      <c r="AF82" s="1" cm="1">
        <f t="array" ref="AF82">unf_pvt_dZdt($D58,AF$36,gg,zcor)*100</f>
        <v>9.4655985529712439E-2</v>
      </c>
      <c r="AG82" s="1" cm="1">
        <f t="array" ref="AG82">unf_pvt_dZdt($D58,AG$36,gg,zcor)*100</f>
        <v>0.10665666239240146</v>
      </c>
      <c r="AH82" s="1" cm="1">
        <f t="array" ref="AH82">unf_pvt_dZdt($D58,AH$36,gg,zcor)*100</f>
        <v>0.12024621876660646</v>
      </c>
      <c r="AI82" s="1" cm="1">
        <f t="array" ref="AI82">unf_pvt_dZdt($D58,AI$36,gg,zcor)*100</f>
        <v>0.13562854696269611</v>
      </c>
      <c r="AJ82" s="1" cm="1">
        <f t="array" ref="AJ82">unf_pvt_dZdt($D58,AJ$36,gg,zcor)*100</f>
        <v>0.15303619183848483</v>
      </c>
      <c r="AK82" s="1" cm="1">
        <f t="array" ref="AK82">unf_pvt_dZdt($D58,AK$36,gg,zcor)*100</f>
        <v>0.17273494261416111</v>
      </c>
    </row>
    <row r="83" spans="5:37" x14ac:dyDescent="0.25"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5:37" x14ac:dyDescent="0.25"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5:37" x14ac:dyDescent="0.25">
      <c r="E85" t="str">
        <f>E62</f>
        <v>t=0 C</v>
      </c>
      <c r="F85" s="1" cm="1">
        <f t="array" ref="F85">unf_pvt_dZdp($D38,F$36,gg,zcor)*100</f>
        <v>-2.7682500857673098</v>
      </c>
      <c r="G85" s="1" cm="1">
        <f t="array" ref="G85">unf_pvt_dZdp($D38,G$36,gg,zcor)*100</f>
        <v>-2.5287999607526146</v>
      </c>
      <c r="H85" s="1" cm="1">
        <f t="array" ref="H85">unf_pvt_dZdp($D38,H$36,gg,zcor)*100</f>
        <v>-2.1837390695345071</v>
      </c>
      <c r="I85" s="1" cm="1">
        <f t="array" ref="I85">unf_pvt_dZdp($D38,I$36,gg,zcor)*100</f>
        <v>-1.8592077613122093</v>
      </c>
      <c r="J85" s="1" cm="1">
        <f t="array" ref="J85">unf_pvt_dZdp($D38,J$36,gg,zcor)*100</f>
        <v>-1.5727035950197088</v>
      </c>
      <c r="K85" s="1" cm="1">
        <f t="array" ref="K85">unf_pvt_dZdp($D38,K$36,gg,zcor)*100</f>
        <v>-1.3392909773868311</v>
      </c>
      <c r="L85" s="1" cm="1">
        <f t="array" ref="L85">unf_pvt_dZdp($D38,L$36,gg,zcor)*100</f>
        <v>-1.1781615076966734</v>
      </c>
      <c r="M85" s="1" cm="1">
        <f t="array" ref="M85">unf_pvt_dZdp($D38,M$36,gg,zcor)*100</f>
        <v>-1.1134960914194192</v>
      </c>
      <c r="N85" s="1" cm="1">
        <f t="array" ref="N85">unf_pvt_dZdp($D38,N$36,gg,zcor)*100</f>
        <v>-1.1729474220201208</v>
      </c>
      <c r="O85" s="1" cm="1">
        <f t="array" ref="O85">unf_pvt_dZdp($D38,O$36,gg,zcor)*100</f>
        <v>-1.3831912922368517</v>
      </c>
      <c r="P85" s="1" cm="1">
        <f t="array" ref="P85">unf_pvt_dZdp($D38,P$36,gg,zcor)*100</f>
        <v>-1.7609787575267877</v>
      </c>
      <c r="Q85" s="1" cm="1">
        <f t="array" ref="Q85">unf_pvt_dZdp($D38,Q$36,gg,zcor)*100</f>
        <v>-2.298173518937574</v>
      </c>
      <c r="R85" s="1" cm="1">
        <f t="array" ref="R85">unf_pvt_dZdp($D38,R$36,gg,zcor)*100</f>
        <v>-2.9413291973046096</v>
      </c>
      <c r="S85" s="1" cm="1">
        <f t="array" ref="S85">unf_pvt_dZdp($D38,S$36,gg,zcor)*100</f>
        <v>-3.5720128923710792</v>
      </c>
      <c r="T85" s="1" cm="1">
        <f t="array" ref="T85">unf_pvt_dZdp($D38,T$36,gg,zcor)*100</f>
        <v>-4.0035272506255826</v>
      </c>
      <c r="U85" s="1" cm="1">
        <f t="array" ref="U85">unf_pvt_dZdp($D38,U$36,gg,zcor)*100</f>
        <v>-4.0175706130785027</v>
      </c>
      <c r="V85" s="1" cm="1">
        <f t="array" ref="V85">unf_pvt_dZdp($D38,V$36,gg,zcor)*100</f>
        <v>-3.4558305330656403</v>
      </c>
      <c r="W85" s="1" cm="1">
        <f t="array" ref="W85">unf_pvt_dZdp($D38,W$36,gg,zcor)*100</f>
        <v>-2.3396018618904169</v>
      </c>
      <c r="X85" s="1" cm="1">
        <f t="array" ref="X85">unf_pvt_dZdp($D38,X$36,gg,zcor)*100</f>
        <v>-0.92817198728001316</v>
      </c>
      <c r="Y85" s="1" cm="1">
        <f t="array" ref="Y85">unf_pvt_dZdp($D38,Y$36,gg,zcor)*100</f>
        <v>0.3812006704162485</v>
      </c>
      <c r="Z85" s="1" cm="1">
        <f t="array" ref="Z85">unf_pvt_dZdp($D38,Z$36,gg,zcor)*100</f>
        <v>1.2842979687488487</v>
      </c>
      <c r="AA85" s="1" cm="1">
        <f t="array" ref="AA85">unf_pvt_dZdp($D38,AA$36,gg,zcor)*100</f>
        <v>1.735837221209513</v>
      </c>
      <c r="AB85" s="1" cm="1">
        <f t="array" ref="AB85">unf_pvt_dZdp($D38,AB$36,gg,zcor)*100</f>
        <v>1.8915158606780391</v>
      </c>
      <c r="AC85" s="1" cm="1">
        <f t="array" ref="AC85">unf_pvt_dZdp($D38,AC$36,gg,zcor)*100</f>
        <v>1.9248455344622606</v>
      </c>
      <c r="AD85" s="1" cm="1">
        <f t="array" ref="AD85">unf_pvt_dZdp($D38,AD$36,gg,zcor)*100</f>
        <v>1.9268361404445322</v>
      </c>
      <c r="AE85" s="1" cm="1">
        <f t="array" ref="AE85">unf_pvt_dZdp($D38,AE$36,gg,zcor)*100</f>
        <v>1.9241697724969864</v>
      </c>
      <c r="AF85" s="1" cm="1">
        <f t="array" ref="AF85">unf_pvt_dZdp($D38,AF$36,gg,zcor)*100</f>
        <v>1.9212241884813963</v>
      </c>
      <c r="AG85" s="1" cm="1">
        <f t="array" ref="AG85">unf_pvt_dZdp($D38,AG$36,gg,zcor)*100</f>
        <v>1.9183768413510993</v>
      </c>
      <c r="AH85" s="1" cm="1">
        <f t="array" ref="AH85">unf_pvt_dZdp($D38,AH$36,gg,zcor)*100</f>
        <v>1.9156362788386172</v>
      </c>
      <c r="AI85" s="1" cm="1">
        <f t="array" ref="AI85">unf_pvt_dZdp($D38,AI$36,gg,zcor)*100</f>
        <v>1.9129952137875161</v>
      </c>
      <c r="AJ85" s="1" cm="1">
        <f t="array" ref="AJ85">unf_pvt_dZdp($D38,AJ$36,gg,zcor)*100</f>
        <v>1.9104467998198871</v>
      </c>
      <c r="AK85" s="1" cm="1">
        <f t="array" ref="AK85">unf_pvt_dZdp($D38,AK$36,gg,zcor)*100</f>
        <v>1.9079848674663502</v>
      </c>
    </row>
    <row r="86" spans="5:37" x14ac:dyDescent="0.25">
      <c r="E86" t="str">
        <f t="shared" ref="E86:E105" si="4">E63</f>
        <v>t=10 C</v>
      </c>
      <c r="F86" s="1" cm="1">
        <f t="array" ref="F86">unf_pvt_dZdp($D39,F$36,gg,zcor)*100</f>
        <v>-2.464352917512791</v>
      </c>
      <c r="G86" s="1" cm="1">
        <f t="array" ref="G86">unf_pvt_dZdp($D39,G$36,gg,zcor)*100</f>
        <v>-2.2565159150211844</v>
      </c>
      <c r="H86" s="1" cm="1">
        <f t="array" ref="H86">unf_pvt_dZdp($D39,H$36,gg,zcor)*100</f>
        <v>-1.9399298721800573</v>
      </c>
      <c r="I86" s="1" cm="1">
        <f t="array" ref="I86">unf_pvt_dZdp($D39,I$36,gg,zcor)*100</f>
        <v>-1.6380261956461251</v>
      </c>
      <c r="J86" s="1" cm="1">
        <f t="array" ref="J86">unf_pvt_dZdp($D39,J$36,gg,zcor)*100</f>
        <v>-1.3629850636809326</v>
      </c>
      <c r="K86" s="1" cm="1">
        <f t="array" ref="K86">unf_pvt_dZdp($D39,K$36,gg,zcor)*100</f>
        <v>-1.1210233059844033</v>
      </c>
      <c r="L86" s="1" cm="1">
        <f t="array" ref="L86">unf_pvt_dZdp($D39,L$36,gg,zcor)*100</f>
        <v>-0.91881721024700269</v>
      </c>
      <c r="M86" s="1" cm="1">
        <f t="array" ref="M86">unf_pvt_dZdp($D39,M$36,gg,zcor)*100</f>
        <v>-0.7648979769281361</v>
      </c>
      <c r="N86" s="1" cm="1">
        <f t="array" ref="N86">unf_pvt_dZdp($D39,N$36,gg,zcor)*100</f>
        <v>-0.66988190210004461</v>
      </c>
      <c r="O86" s="1" cm="1">
        <f t="array" ref="O86">unf_pvt_dZdp($D39,O$36,gg,zcor)*100</f>
        <v>-0.64602714952455287</v>
      </c>
      <c r="P86" s="1" cm="1">
        <f t="array" ref="P86">unf_pvt_dZdp($D39,P$36,gg,zcor)*100</f>
        <v>-0.70598228491869364</v>
      </c>
      <c r="Q86" s="1" cm="1">
        <f t="array" ref="Q86">unf_pvt_dZdp($D39,Q$36,gg,zcor)*100</f>
        <v>-0.86034476927898673</v>
      </c>
      <c r="R86" s="1" cm="1">
        <f t="array" ref="R86">unf_pvt_dZdp($D39,R$36,gg,zcor)*100</f>
        <v>-1.113565982625575</v>
      </c>
      <c r="S86" s="1" cm="1">
        <f t="array" ref="S86">unf_pvt_dZdp($D39,S$36,gg,zcor)*100</f>
        <v>-1.4579317170970718</v>
      </c>
      <c r="T86" s="1" cm="1">
        <f t="array" ref="T86">unf_pvt_dZdp($D39,T$36,gg,zcor)*100</f>
        <v>-1.8660597577546678</v>
      </c>
      <c r="U86" s="1" cm="1">
        <f t="array" ref="U86">unf_pvt_dZdp($D39,U$36,gg,zcor)*100</f>
        <v>-2.2838506759148558</v>
      </c>
      <c r="V86" s="1" cm="1">
        <f t="array" ref="V86">unf_pvt_dZdp($D39,V$36,gg,zcor)*100</f>
        <v>-2.6280632468811405</v>
      </c>
      <c r="W86" s="1" cm="1">
        <f t="array" ref="W86">unf_pvt_dZdp($D39,W$36,gg,zcor)*100</f>
        <v>-2.794719170629012</v>
      </c>
      <c r="X86" s="1" cm="1">
        <f t="array" ref="X86">unf_pvt_dZdp($D39,X$36,gg,zcor)*100</f>
        <v>-2.6839471829598338</v>
      </c>
      <c r="Y86" s="1" cm="1">
        <f t="array" ref="Y86">unf_pvt_dZdp($D39,Y$36,gg,zcor)*100</f>
        <v>-2.240285659942387</v>
      </c>
      <c r="Z86" s="1" cm="1">
        <f t="array" ref="Z86">unf_pvt_dZdp($D39,Z$36,gg,zcor)*100</f>
        <v>-1.4938710546741341</v>
      </c>
      <c r="AA86" s="1" cm="1">
        <f t="array" ref="AA86">unf_pvt_dZdp($D39,AA$36,gg,zcor)*100</f>
        <v>-0.5744445910882412</v>
      </c>
      <c r="AB86" s="1" cm="1">
        <f t="array" ref="AB86">unf_pvt_dZdp($D39,AB$36,gg,zcor)*100</f>
        <v>0.32660204498324852</v>
      </c>
      <c r="AC86" s="1" cm="1">
        <f t="array" ref="AC86">unf_pvt_dZdp($D39,AC$36,gg,zcor)*100</f>
        <v>1.0385642666743689</v>
      </c>
      <c r="AD86" s="1" cm="1">
        <f t="array" ref="AD86">unf_pvt_dZdp($D39,AD$36,gg,zcor)*100</f>
        <v>1.4871927927773143</v>
      </c>
      <c r="AE86" s="1" cm="1">
        <f t="array" ref="AE86">unf_pvt_dZdp($D39,AE$36,gg,zcor)*100</f>
        <v>1.7070687962517095</v>
      </c>
      <c r="AF86" s="1" cm="1">
        <f t="array" ref="AF86">unf_pvt_dZdp($D39,AF$36,gg,zcor)*100</f>
        <v>1.7874837645270869</v>
      </c>
      <c r="AG86" s="1" cm="1">
        <f t="array" ref="AG86">unf_pvt_dZdp($D39,AG$36,gg,zcor)*100</f>
        <v>1.8074194086559192</v>
      </c>
      <c r="AH86" s="1" cm="1">
        <f t="array" ref="AH86">unf_pvt_dZdp($D39,AH$36,gg,zcor)*100</f>
        <v>1.8090546967552967</v>
      </c>
      <c r="AI86" s="1" cm="1">
        <f t="array" ref="AI86">unf_pvt_dZdp($D39,AI$36,gg,zcor)*100</f>
        <v>1.8069987858271297</v>
      </c>
      <c r="AJ86" s="1" cm="1">
        <f t="array" ref="AJ86">unf_pvt_dZdp($D39,AJ$36,gg,zcor)*100</f>
        <v>1.8045272925459876</v>
      </c>
      <c r="AK86" s="1" cm="1">
        <f t="array" ref="AK86">unf_pvt_dZdp($D39,AK$36,gg,zcor)*100</f>
        <v>1.8020993305345456</v>
      </c>
    </row>
    <row r="87" spans="5:37" x14ac:dyDescent="0.25">
      <c r="E87" t="str">
        <f t="shared" si="4"/>
        <v>t=20 C</v>
      </c>
      <c r="F87" s="1" cm="1">
        <f t="array" ref="F87">unf_pvt_dZdp($D40,F$36,gg,zcor)*100</f>
        <v>-2.2040930266331582</v>
      </c>
      <c r="G87" s="1" cm="1">
        <f t="array" ref="G87">unf_pvt_dZdp($D40,G$36,gg,zcor)*100</f>
        <v>-2.0165390415061157</v>
      </c>
      <c r="H87" s="1" cm="1">
        <f t="array" ref="H87">unf_pvt_dZdp($D40,H$36,gg,zcor)*100</f>
        <v>-1.7244821913786623</v>
      </c>
      <c r="I87" s="1" cm="1">
        <f t="array" ref="I87">unf_pvt_dZdp($D40,I$36,gg,zcor)*100</f>
        <v>-1.4443177046064015</v>
      </c>
      <c r="J87" s="1" cm="1">
        <f t="array" ref="J87">unf_pvt_dZdp($D40,J$36,gg,zcor)*100</f>
        <v>-1.1858227279060163</v>
      </c>
      <c r="K87" s="1" cm="1">
        <f t="array" ref="K87">unf_pvt_dZdp($D40,K$36,gg,zcor)*100</f>
        <v>-0.95187413591490966</v>
      </c>
      <c r="L87" s="1" cm="1">
        <f t="array" ref="L87">unf_pvt_dZdp($D40,L$36,gg,zcor)*100</f>
        <v>-0.74444578739618628</v>
      </c>
      <c r="M87" s="1" cm="1">
        <f t="array" ref="M87">unf_pvt_dZdp($D40,M$36,gg,zcor)*100</f>
        <v>-0.56595325196195923</v>
      </c>
      <c r="N87" s="1" cm="1">
        <f t="array" ref="N87">unf_pvt_dZdp($D40,N$36,gg,zcor)*100</f>
        <v>-0.41967340904891515</v>
      </c>
      <c r="O87" s="1" cm="1">
        <f t="array" ref="O87">unf_pvt_dZdp($D40,O$36,gg,zcor)*100</f>
        <v>-0.30985144432671419</v>
      </c>
      <c r="P87" s="1" cm="1">
        <f t="array" ref="P87">unf_pvt_dZdp($D40,P$36,gg,zcor)*100</f>
        <v>-0.24161604292305405</v>
      </c>
      <c r="Q87" s="1" cm="1">
        <f t="array" ref="Q87">unf_pvt_dZdp($D40,Q$36,gg,zcor)*100</f>
        <v>-0.22068371309358348</v>
      </c>
      <c r="R87" s="1" cm="1">
        <f t="array" ref="R87">unf_pvt_dZdp($D40,R$36,gg,zcor)*100</f>
        <v>-0.25276717586009134</v>
      </c>
      <c r="S87" s="1" cm="1">
        <f t="array" ref="S87">unf_pvt_dZdp($D40,S$36,gg,zcor)*100</f>
        <v>-0.34256440910596098</v>
      </c>
      <c r="T87" s="1" cm="1">
        <f t="array" ref="T87">unf_pvt_dZdp($D40,T$36,gg,zcor)*100</f>
        <v>-0.4921993136119962</v>
      </c>
      <c r="U87" s="1" cm="1">
        <f t="array" ref="U87">unf_pvt_dZdp($D40,U$36,gg,zcor)*100</f>
        <v>-0.69904140592713659</v>
      </c>
      <c r="V87" s="1" cm="1">
        <f t="array" ref="V87">unf_pvt_dZdp($D40,V$36,gg,zcor)*100</f>
        <v>-0.95299700689222</v>
      </c>
      <c r="W87" s="1" cm="1">
        <f t="array" ref="W87">unf_pvt_dZdp($D40,W$36,gg,zcor)*100</f>
        <v>-1.2336871153950657</v>
      </c>
      <c r="X87" s="1" cm="1">
        <f t="array" ref="X87">unf_pvt_dZdp($D40,X$36,gg,zcor)*100</f>
        <v>-1.5084199315962277</v>
      </c>
      <c r="Y87" s="1" cm="1">
        <f t="array" ref="Y87">unf_pvt_dZdp($D40,Y$36,gg,zcor)*100</f>
        <v>-1.7324307280752738</v>
      </c>
      <c r="Z87" s="1" cm="1">
        <f t="array" ref="Z87">unf_pvt_dZdp($D40,Z$36,gg,zcor)*100</f>
        <v>-1.8531964950507795</v>
      </c>
      <c r="AA87" s="1" cm="1">
        <f t="array" ref="AA87">unf_pvt_dZdp($D40,AA$36,gg,zcor)*100</f>
        <v>-1.8201953145435823</v>
      </c>
      <c r="AB87" s="1" cm="1">
        <f t="array" ref="AB87">unf_pvt_dZdp($D40,AB$36,gg,zcor)*100</f>
        <v>-1.5996676280505273</v>
      </c>
      <c r="AC87" s="1" cm="1">
        <f t="array" ref="AC87">unf_pvt_dZdp($D40,AC$36,gg,zcor)*100</f>
        <v>-1.1906422383212156</v>
      </c>
      <c r="AD87" s="1" cm="1">
        <f t="array" ref="AD87">unf_pvt_dZdp($D40,AD$36,gg,zcor)*100</f>
        <v>-0.63493377393197825</v>
      </c>
      <c r="AE87" s="1" cm="1">
        <f t="array" ref="AE87">unf_pvt_dZdp($D40,AE$36,gg,zcor)*100</f>
        <v>-1.2891343977861069E-2</v>
      </c>
      <c r="AF87" s="1" cm="1">
        <f t="array" ref="AF87">unf_pvt_dZdp($D40,AF$36,gg,zcor)*100</f>
        <v>0.57848955989370232</v>
      </c>
      <c r="AG87" s="1" cm="1">
        <f t="array" ref="AG87">unf_pvt_dZdp($D40,AG$36,gg,zcor)*100</f>
        <v>1.0581008104249001</v>
      </c>
      <c r="AH87" s="1" cm="1">
        <f t="array" ref="AH87">unf_pvt_dZdp($D40,AH$36,gg,zcor)*100</f>
        <v>1.3874423164417227</v>
      </c>
      <c r="AI87" s="1" cm="1">
        <f t="array" ref="AI87">unf_pvt_dZdp($D40,AI$36,gg,zcor)*100</f>
        <v>1.576043645102887</v>
      </c>
      <c r="AJ87" s="1" cm="1">
        <f t="array" ref="AJ87">unf_pvt_dZdp($D40,AJ$36,gg,zcor)*100</f>
        <v>1.6640174754056769</v>
      </c>
      <c r="AK87" s="1" cm="1">
        <f t="array" ref="AK87">unf_pvt_dZdp($D40,AK$36,gg,zcor)*100</f>
        <v>1.6960533231391572</v>
      </c>
    </row>
    <row r="88" spans="5:37" x14ac:dyDescent="0.25">
      <c r="E88" t="str">
        <f t="shared" si="4"/>
        <v>t=30 C</v>
      </c>
      <c r="F88" s="1" cm="1">
        <f t="array" ref="F88">unf_pvt_dZdp($D41,F$36,gg,zcor)*100</f>
        <v>-1.9810266984865432</v>
      </c>
      <c r="G88" s="1" cm="1">
        <f t="array" ref="G88">unf_pvt_dZdp($D41,G$36,gg,zcor)*100</f>
        <v>-1.8037752444233224</v>
      </c>
      <c r="H88" s="1" cm="1">
        <f t="array" ref="H88">unf_pvt_dZdp($D41,H$36,gg,zcor)*100</f>
        <v>-1.5324182174158985</v>
      </c>
      <c r="I88" s="1" cm="1">
        <f t="array" ref="I88">unf_pvt_dZdp($D41,I$36,gg,zcor)*100</f>
        <v>-1.2718474296735671</v>
      </c>
      <c r="J88" s="1" cm="1">
        <f t="array" ref="J88">unf_pvt_dZdp($D41,J$36,gg,zcor)*100</f>
        <v>-1.0302274199502914</v>
      </c>
      <c r="K88" s="1" cm="1">
        <f t="array" ref="K88">unf_pvt_dZdp($D41,K$36,gg,zcor)*100</f>
        <v>-0.80905121692453896</v>
      </c>
      <c r="L88" s="1" cm="1">
        <f t="array" ref="L88">unf_pvt_dZdp($D41,L$36,gg,zcor)*100</f>
        <v>-0.60852317151915969</v>
      </c>
      <c r="M88" s="1" cm="1">
        <f t="array" ref="M88">unf_pvt_dZdp($D41,M$36,gg,zcor)*100</f>
        <v>-0.42875580797629986</v>
      </c>
      <c r="N88" s="1" cm="1">
        <f t="array" ref="N88">unf_pvt_dZdp($D41,N$36,gg,zcor)*100</f>
        <v>-0.2701575835051262</v>
      </c>
      <c r="O88" s="1" cm="1">
        <f t="array" ref="O88">unf_pvt_dZdp($D41,O$36,gg,zcor)*100</f>
        <v>-0.13358285904097045</v>
      </c>
      <c r="P88" s="1" cm="1">
        <f t="array" ref="P88">unf_pvt_dZdp($D41,P$36,gg,zcor)*100</f>
        <v>-2.0388055917974768E-2</v>
      </c>
      <c r="Q88" s="1" cm="1">
        <f t="array" ref="Q88">unf_pvt_dZdp($D41,Q$36,gg,zcor)*100</f>
        <v>6.7566754923253924E-2</v>
      </c>
      <c r="R88" s="1" cm="1">
        <f t="array" ref="R88">unf_pvt_dZdp($D41,R$36,gg,zcor)*100</f>
        <v>0.12796828119610026</v>
      </c>
      <c r="S88" s="1" cm="1">
        <f t="array" ref="S88">unf_pvt_dZdp($D41,S$36,gg,zcor)*100</f>
        <v>0.15816847859562166</v>
      </c>
      <c r="T88" s="1" cm="1">
        <f t="array" ref="T88">unf_pvt_dZdp($D41,T$36,gg,zcor)*100</f>
        <v>0.15539970097289135</v>
      </c>
      <c r="U88" s="1" cm="1">
        <f t="array" ref="U88">unf_pvt_dZdp($D41,U$36,gg,zcor)*100</f>
        <v>0.117124020770909</v>
      </c>
      <c r="V88" s="1" cm="1">
        <f t="array" ref="V88">unf_pvt_dZdp($D41,V$36,gg,zcor)*100</f>
        <v>4.155719971810079E-2</v>
      </c>
      <c r="W88" s="1" cm="1">
        <f t="array" ref="W88">unf_pvt_dZdp($D41,W$36,gg,zcor)*100</f>
        <v>-7.1600376273517341E-2</v>
      </c>
      <c r="X88" s="1" cm="1">
        <f t="array" ref="X88">unf_pvt_dZdp($D41,X$36,gg,zcor)*100</f>
        <v>-0.22022101002439065</v>
      </c>
      <c r="Y88" s="1" cm="1">
        <f t="array" ref="Y88">unf_pvt_dZdp($D41,Y$36,gg,zcor)*100</f>
        <v>-0.3986473124284462</v>
      </c>
      <c r="Z88" s="1" cm="1">
        <f t="array" ref="Z88">unf_pvt_dZdp($D41,Z$36,gg,zcor)*100</f>
        <v>-0.59657656322653629</v>
      </c>
      <c r="AA88" s="1" cm="1">
        <f t="array" ref="AA88">unf_pvt_dZdp($D41,AA$36,gg,zcor)*100</f>
        <v>-0.79820922612716672</v>
      </c>
      <c r="AB88" s="1" cm="1">
        <f t="array" ref="AB88">unf_pvt_dZdp($D41,AB$36,gg,zcor)*100</f>
        <v>-0.98208469482830019</v>
      </c>
      <c r="AC88" s="1" cm="1">
        <f t="array" ref="AC88">unf_pvt_dZdp($D41,AC$36,gg,zcor)*100</f>
        <v>-1.1221310743569912</v>
      </c>
      <c r="AD88" s="1" cm="1">
        <f t="array" ref="AD88">unf_pvt_dZdp($D41,AD$36,gg,zcor)*100</f>
        <v>-1.190419632380868</v>
      </c>
      <c r="AE88" s="1" cm="1">
        <f t="array" ref="AE88">unf_pvt_dZdp($D41,AE$36,gg,zcor)*100</f>
        <v>-1.1618167778026933</v>
      </c>
      <c r="AF88" s="1" cm="1">
        <f t="array" ref="AF88">unf_pvt_dZdp($D41,AF$36,gg,zcor)*100</f>
        <v>-1.0200837737139867</v>
      </c>
      <c r="AG88" s="1" cm="1">
        <f t="array" ref="AG88">unf_pvt_dZdp($D41,AG$36,gg,zcor)*100</f>
        <v>-0.76405344090035854</v>
      </c>
      <c r="AH88" s="1" cm="1">
        <f t="array" ref="AH88">unf_pvt_dZdp($D41,AH$36,gg,zcor)*100</f>
        <v>-0.41164653872161061</v>
      </c>
      <c r="AI88" s="1" cm="1">
        <f t="array" ref="AI88">unf_pvt_dZdp($D41,AI$36,gg,zcor)*100</f>
        <v>7.1896995357256799E-4</v>
      </c>
      <c r="AJ88" s="1" cm="1">
        <f t="array" ref="AJ88">unf_pvt_dZdp($D41,AJ$36,gg,zcor)*100</f>
        <v>0.42470939655925299</v>
      </c>
      <c r="AK88" s="1" cm="1">
        <f t="array" ref="AK88">unf_pvt_dZdp($D41,AK$36,gg,zcor)*100</f>
        <v>0.81160760960097278</v>
      </c>
    </row>
    <row r="89" spans="5:37" x14ac:dyDescent="0.25">
      <c r="E89" t="str">
        <f t="shared" si="4"/>
        <v>t=40 C</v>
      </c>
      <c r="F89" s="1" cm="1">
        <f t="array" ref="F89">unf_pvt_dZdp($D42,F$36,gg,zcor)*100</f>
        <v>-1.7898282614547956</v>
      </c>
      <c r="G89" s="1" cm="1">
        <f t="array" ref="G89">unf_pvt_dZdp($D42,G$36,gg,zcor)*100</f>
        <v>-1.6143305736859848</v>
      </c>
      <c r="H89" s="1" cm="1">
        <f t="array" ref="H89">unf_pvt_dZdp($D42,H$36,gg,zcor)*100</f>
        <v>-1.3601514133421144</v>
      </c>
      <c r="I89" s="1" cm="1">
        <f t="array" ref="I89">unf_pvt_dZdp($D42,I$36,gg,zcor)*100</f>
        <v>-1.1167548265333949</v>
      </c>
      <c r="J89" s="1" cm="1">
        <f t="array" ref="J89">unf_pvt_dZdp($D42,J$36,gg,zcor)*100</f>
        <v>-0.8907518128919989</v>
      </c>
      <c r="K89" s="1" cm="1">
        <f t="array" ref="K89">unf_pvt_dZdp($D42,K$36,gg,zcor)*100</f>
        <v>-0.68289824228129348</v>
      </c>
      <c r="L89" s="1" cm="1">
        <f t="array" ref="L89">unf_pvt_dZdp($D42,L$36,gg,zcor)*100</f>
        <v>-0.49269387580430646</v>
      </c>
      <c r="M89" s="1" cm="1">
        <f t="array" ref="M89">unf_pvt_dZdp($D42,M$36,gg,zcor)*100</f>
        <v>-0.31939630436239597</v>
      </c>
      <c r="N89" s="1" cm="1">
        <f t="array" ref="N89">unf_pvt_dZdp($D42,N$36,gg,zcor)*100</f>
        <v>-0.16234509828128019</v>
      </c>
      <c r="O89" s="1" cm="1">
        <f t="array" ref="O89">unf_pvt_dZdp($D42,O$36,gg,zcor)*100</f>
        <v>-2.1087635874161847E-2</v>
      </c>
      <c r="P89" s="1" cm="1">
        <f t="array" ref="P89">unf_pvt_dZdp($D42,P$36,gg,zcor)*100</f>
        <v>0.1045658629761359</v>
      </c>
      <c r="Q89" s="1" cm="1">
        <f t="array" ref="Q89">unf_pvt_dZdp($D42,Q$36,gg,zcor)*100</f>
        <v>0.21451682960083041</v>
      </c>
      <c r="R89" s="1" cm="1">
        <f t="array" ref="R89">unf_pvt_dZdp($D42,R$36,gg,zcor)*100</f>
        <v>0.30836804643885607</v>
      </c>
      <c r="S89" s="1" cm="1">
        <f t="array" ref="S89">unf_pvt_dZdp($D42,S$36,gg,zcor)*100</f>
        <v>0.38542489301129912</v>
      </c>
      <c r="T89" s="1" cm="1">
        <f t="array" ref="T89">unf_pvt_dZdp($D42,T$36,gg,zcor)*100</f>
        <v>0.4447099557158829</v>
      </c>
      <c r="U89" s="1" cm="1">
        <f t="array" ref="U89">unf_pvt_dZdp($D42,U$36,gg,zcor)*100</f>
        <v>0.48499654599742925</v>
      </c>
      <c r="V89" s="1" cm="1">
        <f t="array" ref="V89">unf_pvt_dZdp($D42,V$36,gg,zcor)*100</f>
        <v>0.50486977164254654</v>
      </c>
      <c r="W89" s="1" cm="1">
        <f t="array" ref="W89">unf_pvt_dZdp($D42,W$36,gg,zcor)*100</f>
        <v>0.50282650827848663</v>
      </c>
      <c r="X89" s="1" cm="1">
        <f t="array" ref="X89">unf_pvt_dZdp($D42,X$36,gg,zcor)*100</f>
        <v>0.47742762349534118</v>
      </c>
      <c r="Y89" s="1" cm="1">
        <f t="array" ref="Y89">unf_pvt_dZdp($D42,Y$36,gg,zcor)*100</f>
        <v>0.42751633898885366</v>
      </c>
      <c r="Z89" s="1" cm="1">
        <f t="array" ref="Z89">unf_pvt_dZdp($D42,Z$36,gg,zcor)*100</f>
        <v>0.35251438816885639</v>
      </c>
      <c r="AA89" s="1" cm="1">
        <f t="array" ref="AA89">unf_pvt_dZdp($D42,AA$36,gg,zcor)*100</f>
        <v>0.25280083072121151</v>
      </c>
      <c r="AB89" s="1" cm="1">
        <f t="array" ref="AB89">unf_pvt_dZdp($D42,AB$36,gg,zcor)*100</f>
        <v>0.13016485408967604</v>
      </c>
      <c r="AC89" s="1" cm="1">
        <f t="array" ref="AC89">unf_pvt_dZdp($D42,AC$36,gg,zcor)*100</f>
        <v>-1.1698420743222471E-2</v>
      </c>
      <c r="AD89" s="1" cm="1">
        <f t="array" ref="AD89">unf_pvt_dZdp($D42,AD$36,gg,zcor)*100</f>
        <v>-0.16671212994312512</v>
      </c>
      <c r="AE89" s="1" cm="1">
        <f t="array" ref="AE89">unf_pvt_dZdp($D42,AE$36,gg,zcor)*100</f>
        <v>-0.326064740323595</v>
      </c>
      <c r="AF89" s="1" cm="1">
        <f t="array" ref="AF89">unf_pvt_dZdp($D42,AF$36,gg,zcor)*100</f>
        <v>-0.47812385715495509</v>
      </c>
      <c r="AG89" s="1" cm="1">
        <f t="array" ref="AG89">unf_pvt_dZdp($D42,AG$36,gg,zcor)*100</f>
        <v>-0.60878880648207456</v>
      </c>
      <c r="AH89" s="1" cm="1">
        <f t="array" ref="AH89">unf_pvt_dZdp($D42,AH$36,gg,zcor)*100</f>
        <v>-0.70244788038409389</v>
      </c>
      <c r="AI89" s="1" cm="1">
        <f t="array" ref="AI89">unf_pvt_dZdp($D42,AI$36,gg,zcor)*100</f>
        <v>-0.74363949846945054</v>
      </c>
      <c r="AJ89" s="1" cm="1">
        <f t="array" ref="AJ89">unf_pvt_dZdp($D42,AJ$36,gg,zcor)*100</f>
        <v>-0.71936814006412497</v>
      </c>
      <c r="AK89" s="1" cm="1">
        <f t="array" ref="AK89">unf_pvt_dZdp($D42,AK$36,gg,zcor)*100</f>
        <v>-0.62179605055279197</v>
      </c>
    </row>
    <row r="90" spans="5:37" x14ac:dyDescent="0.25">
      <c r="E90" t="str">
        <f t="shared" si="4"/>
        <v>t=50 C</v>
      </c>
      <c r="F90" s="1" cm="1">
        <f t="array" ref="F90">unf_pvt_dZdp($D43,F$36,gg,zcor)*100</f>
        <v>-1.6259794219875001</v>
      </c>
      <c r="G90" s="1" cm="1">
        <f t="array" ref="G90">unf_pvt_dZdp($D43,G$36,gg,zcor)*100</f>
        <v>-1.4451419551764211</v>
      </c>
      <c r="H90" s="1" cm="1">
        <f t="array" ref="H90">unf_pvt_dZdp($D43,H$36,gg,zcor)*100</f>
        <v>-1.2049840025818437</v>
      </c>
      <c r="I90" s="1" cm="1">
        <f t="array" ref="I90">unf_pvt_dZdp($D43,I$36,gg,zcor)*100</f>
        <v>-0.97641301233242217</v>
      </c>
      <c r="J90" s="1" cm="1">
        <f t="array" ref="J90">unf_pvt_dZdp($D43,J$36,gg,zcor)*100</f>
        <v>-0.7643254298750346</v>
      </c>
      <c r="K90" s="1" cm="1">
        <f t="array" ref="K90">unf_pvt_dZdp($D43,K$36,gg,zcor)*100</f>
        <v>-0.56891449475404698</v>
      </c>
      <c r="L90" s="1" cm="1">
        <f t="array" ref="L90">unf_pvt_dZdp($D43,L$36,gg,zcor)*100</f>
        <v>-0.3893409848976237</v>
      </c>
      <c r="M90" s="1" cm="1">
        <f t="array" ref="M90">unf_pvt_dZdp($D43,M$36,gg,zcor)*100</f>
        <v>-0.22453726966520371</v>
      </c>
      <c r="N90" s="1" cm="1">
        <f t="array" ref="N90">unf_pvt_dZdp($D43,N$36,gg,zcor)*100</f>
        <v>-7.3459809006859444E-2</v>
      </c>
      <c r="O90" s="1" cm="1">
        <f t="array" ref="O90">unf_pvt_dZdp($D43,O$36,gg,zcor)*100</f>
        <v>6.4816509415255297E-2</v>
      </c>
      <c r="P90" s="1" cm="1">
        <f t="array" ref="P90">unf_pvt_dZdp($D43,P$36,gg,zcor)*100</f>
        <v>0.19105979341405011</v>
      </c>
      <c r="Q90" s="1" cm="1">
        <f t="array" ref="Q90">unf_pvt_dZdp($D43,Q$36,gg,zcor)*100</f>
        <v>0.3058644910280961</v>
      </c>
      <c r="R90" s="1" cm="1">
        <f t="array" ref="R90">unf_pvt_dZdp($D43,R$36,gg,zcor)*100</f>
        <v>0.40964370426110897</v>
      </c>
      <c r="S90" s="1" cm="1">
        <f t="array" ref="S90">unf_pvt_dZdp($D43,S$36,gg,zcor)*100</f>
        <v>0.50262515558507914</v>
      </c>
      <c r="T90" s="1" cm="1">
        <f t="array" ref="T90">unf_pvt_dZdp($D43,T$36,gg,zcor)*100</f>
        <v>0.58484876441555755</v>
      </c>
      <c r="U90" s="1" cm="1">
        <f t="array" ref="U90">unf_pvt_dZdp($D43,U$36,gg,zcor)*100</f>
        <v>0.65616546638280759</v>
      </c>
      <c r="V90" s="1" cm="1">
        <f t="array" ref="V90">unf_pvt_dZdp($D43,V$36,gg,zcor)*100</f>
        <v>0.716237978454215</v>
      </c>
      <c r="W90" s="1" cm="1">
        <f t="array" ref="W90">unf_pvt_dZdp($D43,W$36,gg,zcor)*100</f>
        <v>0.7645450754223404</v>
      </c>
      <c r="X90" s="1" cm="1">
        <f t="array" ref="X90">unf_pvt_dZdp($D43,X$36,gg,zcor)*100</f>
        <v>0.80039176765467346</v>
      </c>
      <c r="Y90" s="1" cm="1">
        <f t="array" ref="Y90">unf_pvt_dZdp($D43,Y$36,gg,zcor)*100</f>
        <v>0.82292861817823137</v>
      </c>
      <c r="Z90" s="1" cm="1">
        <f t="array" ref="Z90">unf_pvt_dZdp($D43,Z$36,gg,zcor)*100</f>
        <v>0.8311843013986131</v>
      </c>
      <c r="AA90" s="1" cm="1">
        <f t="array" ref="AA90">unf_pvt_dZdp($D43,AA$36,gg,zcor)*100</f>
        <v>0.82411631199930113</v>
      </c>
      <c r="AB90" s="1" cm="1">
        <f t="array" ref="AB90">unf_pvt_dZdp($D43,AB$36,gg,zcor)*100</f>
        <v>0.80068532787525015</v>
      </c>
      <c r="AC90" s="1" cm="1">
        <f t="array" ref="AC90">unf_pvt_dZdp($D43,AC$36,gg,zcor)*100</f>
        <v>0.75995886575697114</v>
      </c>
      <c r="AD90" s="1" cm="1">
        <f t="array" ref="AD90">unf_pvt_dZdp($D43,AD$36,gg,zcor)*100</f>
        <v>0.70124917887826044</v>
      </c>
      <c r="AE90" s="1" cm="1">
        <f t="array" ref="AE90">unf_pvt_dZdp($D43,AE$36,gg,zcor)*100</f>
        <v>0.62428835338801392</v>
      </c>
      <c r="AF90" s="1" cm="1">
        <f t="array" ref="AF90">unf_pvt_dZdp($D43,AF$36,gg,zcor)*100</f>
        <v>0.52943969828911364</v>
      </c>
      <c r="AG90" s="1" cm="1">
        <f t="array" ref="AG90">unf_pvt_dZdp($D43,AG$36,gg,zcor)*100</f>
        <v>0.41793822541213999</v>
      </c>
      <c r="AH90" s="1" cm="1">
        <f t="array" ref="AH90">unf_pvt_dZdp($D43,AH$36,gg,zcor)*100</f>
        <v>0.29214388446385797</v>
      </c>
      <c r="AI90" s="1" cm="1">
        <f t="array" ref="AI90">unf_pvt_dZdp($D43,AI$36,gg,zcor)*100</f>
        <v>0.15577930310595178</v>
      </c>
      <c r="AJ90" s="1" cm="1">
        <f t="array" ref="AJ90">unf_pvt_dZdp($D43,AJ$36,gg,zcor)*100</f>
        <v>1.4109969013187396E-2</v>
      </c>
      <c r="AK90" s="1" cm="1">
        <f t="array" ref="AK90">unf_pvt_dZdp($D43,AK$36,gg,zcor)*100</f>
        <v>-0.12598875338998283</v>
      </c>
    </row>
    <row r="91" spans="5:37" x14ac:dyDescent="0.25">
      <c r="E91" t="str">
        <f t="shared" si="4"/>
        <v>t=60 C</v>
      </c>
      <c r="F91" s="1" cm="1">
        <f t="array" ref="F91">unf_pvt_dZdp($D44,F$36,gg,zcor)*100</f>
        <v>-1.4855685915304839</v>
      </c>
      <c r="G91" s="1" cm="1">
        <f t="array" ref="G91">unf_pvt_dZdp($D44,G$36,gg,zcor)*100</f>
        <v>-1.2937418140257506</v>
      </c>
      <c r="H91" s="1" cm="1">
        <f t="array" ref="H91">unf_pvt_dZdp($D44,H$36,gg,zcor)*100</f>
        <v>-1.0648219674380677</v>
      </c>
      <c r="I91" s="1" cm="1">
        <f t="array" ref="I91">unf_pvt_dZdp($D44,I$36,gg,zcor)*100</f>
        <v>-0.84891220647809185</v>
      </c>
      <c r="J91" s="1" cm="1">
        <f t="array" ref="J91">unf_pvt_dZdp($D44,J$36,gg,zcor)*100</f>
        <v>-0.64900049238980628</v>
      </c>
      <c r="K91" s="1" cm="1">
        <f t="array" ref="K91">unf_pvt_dZdp($D44,K$36,gg,zcor)*100</f>
        <v>-0.46473090474563605</v>
      </c>
      <c r="L91" s="1" cm="1">
        <f t="array" ref="L91">unf_pvt_dZdp($D44,L$36,gg,zcor)*100</f>
        <v>-0.29503439118228059</v>
      </c>
      <c r="M91" s="1" cm="1">
        <f t="array" ref="M91">unf_pvt_dZdp($D44,M$36,gg,zcor)*100</f>
        <v>-0.13870040158070474</v>
      </c>
      <c r="N91" s="1" cm="1">
        <f t="array" ref="N91">unf_pvt_dZdp($D44,N$36,gg,zcor)*100</f>
        <v>5.4478999556017982E-3</v>
      </c>
      <c r="O91" s="1" cm="1">
        <f t="array" ref="O91">unf_pvt_dZdp($D44,O$36,gg,zcor)*100</f>
        <v>0.13849189345771507</v>
      </c>
      <c r="P91" s="1" cm="1">
        <f t="array" ref="P91">unf_pvt_dZdp($D44,P$36,gg,zcor)*100</f>
        <v>0.26139557115278933</v>
      </c>
      <c r="Q91" s="1" cm="1">
        <f t="array" ref="Q91">unf_pvt_dZdp($D44,Q$36,gg,zcor)*100</f>
        <v>0.37499905892079965</v>
      </c>
      <c r="R91" s="1" cm="1">
        <f t="array" ref="R91">unf_pvt_dZdp($D44,R$36,gg,zcor)*100</f>
        <v>0.48001818515053252</v>
      </c>
      <c r="S91" s="1" cm="1">
        <f t="array" ref="S91">unf_pvt_dZdp($D44,S$36,gg,zcor)*100</f>
        <v>0.5770460642540165</v>
      </c>
      <c r="T91" s="1" cm="1">
        <f t="array" ref="T91">unf_pvt_dZdp($D44,T$36,gg,zcor)*100</f>
        <v>0.66655485331246211</v>
      </c>
      <c r="U91" s="1" cm="1">
        <f t="array" ref="U91">unf_pvt_dZdp($D44,U$36,gg,zcor)*100</f>
        <v>0.74889683364776083</v>
      </c>
      <c r="V91" s="1" cm="1">
        <f t="array" ref="V91">unf_pvt_dZdp($D44,V$36,gg,zcor)*100</f>
        <v>0.82430447184478339</v>
      </c>
      <c r="W91" s="1" cm="1">
        <f t="array" ref="W91">unf_pvt_dZdp($D44,W$36,gg,zcor)*100</f>
        <v>0.89288940881449008</v>
      </c>
      <c r="X91" s="1" cm="1">
        <f t="array" ref="X91">unf_pvt_dZdp($D44,X$36,gg,zcor)*100</f>
        <v>0.954640535438811</v>
      </c>
      <c r="Y91" s="1" cm="1">
        <f t="array" ref="Y91">unf_pvt_dZdp($D44,Y$36,gg,zcor)*100</f>
        <v>1.0094215002220963</v>
      </c>
      <c r="Z91" s="1" cm="1">
        <f t="array" ref="Z91">unf_pvt_dZdp($D44,Z$36,gg,zcor)*100</f>
        <v>1.0569681912842022</v>
      </c>
      <c r="AA91" s="1" cm="1">
        <f t="array" ref="AA91">unf_pvt_dZdp($D44,AA$36,gg,zcor)*100</f>
        <v>1.0968869616556631</v>
      </c>
      <c r="AB91" s="1" cm="1">
        <f t="array" ref="AB91">unf_pvt_dZdp($D44,AB$36,gg,zcor)*100</f>
        <v>1.1286546345568027</v>
      </c>
      <c r="AC91" s="1" cm="1">
        <f t="array" ref="AC91">unf_pvt_dZdp($D44,AC$36,gg,zcor)*100</f>
        <v>1.1516216385110134</v>
      </c>
      <c r="AD91" s="1" cm="1">
        <f t="array" ref="AD91">unf_pvt_dZdp($D44,AD$36,gg,zcor)*100</f>
        <v>1.1650199766410907</v>
      </c>
      <c r="AE91" s="1" cm="1">
        <f t="array" ref="AE91">unf_pvt_dZdp($D44,AE$36,gg,zcor)*100</f>
        <v>1.1679781144735557</v>
      </c>
      <c r="AF91" s="1" cm="1">
        <f t="array" ref="AF91">unf_pvt_dZdp($D44,AF$36,gg,zcor)*100</f>
        <v>1.1595452438828424</v>
      </c>
      <c r="AG91" s="1" cm="1">
        <f t="array" ref="AG91">unf_pvt_dZdp($D44,AG$36,gg,zcor)*100</f>
        <v>1.1387276932262047</v>
      </c>
      <c r="AH91" s="1" cm="1">
        <f t="array" ref="AH91">unf_pvt_dZdp($D44,AH$36,gg,zcor)*100</f>
        <v>1.1045404226206479</v>
      </c>
      <c r="AI91" s="1" cm="1">
        <f t="array" ref="AI91">unf_pvt_dZdp($D44,AI$36,gg,zcor)*100</f>
        <v>1.0560764523015465</v>
      </c>
      <c r="AJ91" s="1" cm="1">
        <f t="array" ref="AJ91">unf_pvt_dZdp($D44,AJ$36,gg,zcor)*100</f>
        <v>0.99259656872741076</v>
      </c>
      <c r="AK91" s="1" cm="1">
        <f t="array" ref="AK91">unf_pvt_dZdp($D44,AK$36,gg,zcor)*100</f>
        <v>0.91364055313736259</v>
      </c>
    </row>
    <row r="92" spans="5:37" x14ac:dyDescent="0.25">
      <c r="E92" t="str">
        <f t="shared" si="4"/>
        <v>t=70 C</v>
      </c>
      <c r="F92" s="1" cm="1">
        <f t="array" ref="F92">unf_pvt_dZdp($D45,F$36,gg,zcor)*100</f>
        <v>-1.3651565462036164</v>
      </c>
      <c r="G92" s="1" cm="1">
        <f t="array" ref="G92">unf_pvt_dZdp($D45,G$36,gg,zcor)*100</f>
        <v>-1.1581009647076979</v>
      </c>
      <c r="H92" s="1" cm="1">
        <f t="array" ref="H92">unf_pvt_dZdp($D45,H$36,gg,zcor)*100</f>
        <v>-0.93800026502499634</v>
      </c>
      <c r="I92" s="1" cm="1">
        <f t="array" ref="I92">unf_pvt_dZdp($D45,I$36,gg,zcor)*100</f>
        <v>-0.73280180927115524</v>
      </c>
      <c r="J92" s="1" cm="1">
        <f t="array" ref="J92">unf_pvt_dZdp($D45,J$36,gg,zcor)*100</f>
        <v>-0.54342604504653558</v>
      </c>
      <c r="K92" s="1" cm="1">
        <f t="array" ref="K92">unf_pvt_dZdp($D45,K$36,gg,zcor)*100</f>
        <v>-0.36893561909501216</v>
      </c>
      <c r="L92" s="1" cm="1">
        <f t="array" ref="L92">unf_pvt_dZdp($D45,L$36,gg,zcor)*100</f>
        <v>-0.20805075105045923</v>
      </c>
      <c r="M92" s="1" cm="1">
        <f t="array" ref="M92">unf_pvt_dZdp($D45,M$36,gg,zcor)*100</f>
        <v>-5.9471827915658082E-2</v>
      </c>
      <c r="N92" s="1" cm="1">
        <f t="array" ref="N92">unf_pvt_dZdp($D45,N$36,gg,zcor)*100</f>
        <v>7.8027357590659818E-2</v>
      </c>
      <c r="O92" s="1" cm="1">
        <f t="array" ref="O92">unf_pvt_dZdp($D45,O$36,gg,zcor)*100</f>
        <v>0.20557147470845472</v>
      </c>
      <c r="P92" s="1" cm="1">
        <f t="array" ref="P92">unf_pvt_dZdp($D45,P$36,gg,zcor)*100</f>
        <v>0.32417790839400773</v>
      </c>
      <c r="Q92" s="1" cm="1">
        <f t="array" ref="Q92">unf_pvt_dZdp($D45,Q$36,gg,zcor)*100</f>
        <v>0.4347593380371606</v>
      </c>
      <c r="R92" s="1" cm="1">
        <f t="array" ref="R92">unf_pvt_dZdp($D45,R$36,gg,zcor)*100</f>
        <v>0.53812926184559906</v>
      </c>
      <c r="S92" s="1" cm="1">
        <f t="array" ref="S92">unf_pvt_dZdp($D45,S$36,gg,zcor)*100</f>
        <v>0.63500819234674211</v>
      </c>
      <c r="T92" s="1" cm="1">
        <f t="array" ref="T92">unf_pvt_dZdp($D45,T$36,gg,zcor)*100</f>
        <v>0.72602949623745694</v>
      </c>
      <c r="U92" s="1" cm="1">
        <f t="array" ref="U92">unf_pvt_dZdp($D45,U$36,gg,zcor)*100</f>
        <v>0.81174439703790569</v>
      </c>
      <c r="V92" s="1" cm="1">
        <f t="array" ref="V92">unf_pvt_dZdp($D45,V$36,gg,zcor)*100</f>
        <v>0.89262591138172809</v>
      </c>
      <c r="W92" s="1" cm="1">
        <f t="array" ref="W92">unf_pvt_dZdp($D45,W$36,gg,zcor)*100</f>
        <v>0.96907161162063105</v>
      </c>
      <c r="X92" s="1" cm="1">
        <f t="array" ref="X92">unf_pvt_dZdp($D45,X$36,gg,zcor)*100</f>
        <v>1.0414051684692893</v>
      </c>
      <c r="Y92" s="1" cm="1">
        <f t="array" ref="Y92">unf_pvt_dZdp($D45,Y$36,gg,zcor)*100</f>
        <v>1.1098766605543986</v>
      </c>
      <c r="Z92" s="1" cm="1">
        <f t="array" ref="Z92">unf_pvt_dZdp($D45,Z$36,gg,zcor)*100</f>
        <v>1.1746616597019255</v>
      </c>
      <c r="AA92" s="1" cm="1">
        <f t="array" ref="AA92">unf_pvt_dZdp($D45,AA$36,gg,zcor)*100</f>
        <v>1.235859121091476</v>
      </c>
      <c r="AB92" s="1" cm="1">
        <f t="array" ref="AB92">unf_pvt_dZdp($D45,AB$36,gg,zcor)*100</f>
        <v>1.2934881326098768</v>
      </c>
      <c r="AC92" s="1" cm="1">
        <f t="array" ref="AC92">unf_pvt_dZdp($D45,AC$36,gg,zcor)*100</f>
        <v>1.3474836124260925</v>
      </c>
      <c r="AD92" s="1" cm="1">
        <f t="array" ref="AD92">unf_pvt_dZdp($D45,AD$36,gg,zcor)*100</f>
        <v>1.3976910928059638</v>
      </c>
      <c r="AE92" s="1" cm="1">
        <f t="array" ref="AE92">unf_pvt_dZdp($D45,AE$36,gg,zcor)*100</f>
        <v>1.4438607954359028</v>
      </c>
      <c r="AF92" s="1" cm="1">
        <f t="array" ref="AF92">unf_pvt_dZdp($D45,AF$36,gg,zcor)*100</f>
        <v>1.4856412936503638</v>
      </c>
      <c r="AG92" s="1" cm="1">
        <f t="array" ref="AG92">unf_pvt_dZdp($D45,AG$36,gg,zcor)*100</f>
        <v>1.5225731737733561</v>
      </c>
      <c r="AH92" s="1" cm="1">
        <f t="array" ref="AH92">unf_pvt_dZdp($D45,AH$36,gg,zcor)*100</f>
        <v>1.5540832551108608</v>
      </c>
      <c r="AI92" s="1" cm="1">
        <f t="array" ref="AI92">unf_pvt_dZdp($D45,AI$36,gg,zcor)*100</f>
        <v>1.5794801082269494</v>
      </c>
      <c r="AJ92" s="1" cm="1">
        <f t="array" ref="AJ92">unf_pvt_dZdp($D45,AJ$36,gg,zcor)*100</f>
        <v>1.5979518240771817</v>
      </c>
      <c r="AK92" s="1" cm="1">
        <f t="array" ref="AK92">unf_pvt_dZdp($D45,AK$36,gg,zcor)*100</f>
        <v>1.6085672289456454</v>
      </c>
    </row>
    <row r="93" spans="5:37" x14ac:dyDescent="0.25">
      <c r="E93" t="str">
        <f t="shared" si="4"/>
        <v>t=80 C</v>
      </c>
      <c r="F93" s="1" cm="1">
        <f t="array" ref="F93">unf_pvt_dZdp($D46,F$36,gg,zcor)*100</f>
        <v>-1.2616841316248628</v>
      </c>
      <c r="G93" s="1" cm="1">
        <f t="array" ref="G93">unf_pvt_dZdp($D46,G$36,gg,zcor)*100</f>
        <v>-1.0365196175476932</v>
      </c>
      <c r="H93" s="1" cm="1">
        <f t="array" ref="H93">unf_pvt_dZdp($D46,H$36,gg,zcor)*100</f>
        <v>-0.82316861931941432</v>
      </c>
      <c r="I93" s="1" cm="1">
        <f t="array" ref="I93">unf_pvt_dZdp($D46,I$36,gg,zcor)*100</f>
        <v>-0.62694748744429596</v>
      </c>
      <c r="J93" s="1" cm="1">
        <f t="array" ref="J93">unf_pvt_dZdp($D46,J$36,gg,zcor)*100</f>
        <v>-0.4466087657617468</v>
      </c>
      <c r="K93" s="1" cm="1">
        <f t="array" ref="K93">unf_pvt_dZdp($D46,K$36,gg,zcor)*100</f>
        <v>-0.28059824268233946</v>
      </c>
      <c r="L93" s="1" cm="1">
        <f t="array" ref="L93">unf_pvt_dZdp($D46,L$36,gg,zcor)*100</f>
        <v>-0.12741678410033153</v>
      </c>
      <c r="M93" s="1" cm="1">
        <f t="array" ref="M93">unf_pvt_dZdp($D46,M$36,gg,zcor)*100</f>
        <v>1.4315786430740829E-2</v>
      </c>
      <c r="N93" s="1" cm="1">
        <f t="array" ref="N93">unf_pvt_dZdp($D46,N$36,gg,zcor)*100</f>
        <v>0.14585255441401657</v>
      </c>
      <c r="O93" s="1" cm="1">
        <f t="array" ref="O93">unf_pvt_dZdp($D46,O$36,gg,zcor)*100</f>
        <v>0.26832593544523498</v>
      </c>
      <c r="P93" s="1" cm="1">
        <f t="array" ref="P93">unf_pvt_dZdp($D46,P$36,gg,zcor)*100</f>
        <v>0.38275809304377795</v>
      </c>
      <c r="Q93" s="1" cm="1">
        <f t="array" ref="Q93">unf_pvt_dZdp($D46,Q$36,gg,zcor)*100</f>
        <v>0.49007200940032192</v>
      </c>
      <c r="R93" s="1" cm="1">
        <f t="array" ref="R93">unf_pvt_dZdp($D46,R$36,gg,zcor)*100</f>
        <v>0.59110203301848685</v>
      </c>
      <c r="S93" s="1" cm="1">
        <f t="array" ref="S93">unf_pvt_dZdp($D46,S$36,gg,zcor)*100</f>
        <v>0.6866034868913129</v>
      </c>
      <c r="T93" s="1" cm="1">
        <f t="array" ref="T93">unf_pvt_dZdp($D46,T$36,gg,zcor)*100</f>
        <v>0.77726121288201888</v>
      </c>
      <c r="U93" s="1" cm="1">
        <f t="array" ref="U93">unf_pvt_dZdp($D46,U$36,gg,zcor)*100</f>
        <v>0.86369704427546878</v>
      </c>
      <c r="V93" s="1" cm="1">
        <f t="array" ref="V93">unf_pvt_dZdp($D46,V$36,gg,zcor)*100</f>
        <v>0.94647624235166816</v>
      </c>
      <c r="W93" s="1" cm="1">
        <f t="array" ref="W93">unf_pvt_dZdp($D46,W$36,gg,zcor)*100</f>
        <v>1.0261129450039874</v>
      </c>
      <c r="X93" s="1" cm="1">
        <f t="array" ref="X93">unf_pvt_dZdp($D46,X$36,gg,zcor)*100</f>
        <v>1.1030746728657448</v>
      </c>
      <c r="Y93" s="1" cm="1">
        <f t="array" ref="Y93">unf_pvt_dZdp($D46,Y$36,gg,zcor)*100</f>
        <v>1.177785929080688</v>
      </c>
      <c r="Z93" s="1" cm="1">
        <f t="array" ref="Z93">unf_pvt_dZdp($D46,Z$36,gg,zcor)*100</f>
        <v>1.2506309163096141</v>
      </c>
      <c r="AA93" s="1" cm="1">
        <f t="array" ref="AA93">unf_pvt_dZdp($D46,AA$36,gg,zcor)*100</f>
        <v>1.3219553806398388</v>
      </c>
      <c r="AB93" s="1" cm="1">
        <f t="array" ref="AB93">unf_pvt_dZdp($D46,AB$36,gg,zcor)*100</f>
        <v>1.3920675777989722</v>
      </c>
      <c r="AC93" s="1" cm="1">
        <f t="array" ref="AC93">unf_pvt_dZdp($D46,AC$36,gg,zcor)*100</f>
        <v>1.4612383430456788</v>
      </c>
      <c r="AD93" s="1" cm="1">
        <f t="array" ref="AD93">unf_pvt_dZdp($D46,AD$36,gg,zcor)*100</f>
        <v>1.5297002327718801</v>
      </c>
      <c r="AE93" s="1" cm="1">
        <f t="array" ref="AE93">unf_pvt_dZdp($D46,AE$36,gg,zcor)*100</f>
        <v>1.5976456938116002</v>
      </c>
      <c r="AF93" s="1" cm="1">
        <f t="array" ref="AF93">unf_pvt_dZdp($D46,AF$36,gg,zcor)*100</f>
        <v>1.6652242062642486</v>
      </c>
      <c r="AG93" s="1" cm="1">
        <f t="array" ref="AG93">unf_pvt_dZdp($D46,AG$36,gg,zcor)*100</f>
        <v>1.732538338161671</v>
      </c>
      <c r="AH93" s="1" cm="1">
        <f t="array" ref="AH93">unf_pvt_dZdp($D46,AH$36,gg,zcor)*100</f>
        <v>1.7996386467244996</v>
      </c>
      <c r="AI93" s="1" cm="1">
        <f t="array" ref="AI93">unf_pvt_dZdp($D46,AI$36,gg,zcor)*100</f>
        <v>1.8665173624810016</v>
      </c>
      <c r="AJ93" s="1" cm="1">
        <f t="array" ref="AJ93">unf_pvt_dZdp($D46,AJ$36,gg,zcor)*100</f>
        <v>1.9331008013145912</v>
      </c>
      <c r="AK93" s="1" cm="1">
        <f t="array" ref="AK93">unf_pvt_dZdp($D46,AK$36,gg,zcor)*100</f>
        <v>1.999240467482899</v>
      </c>
    </row>
    <row r="94" spans="5:37" x14ac:dyDescent="0.25">
      <c r="E94" t="str">
        <f t="shared" si="4"/>
        <v>t=90 C</v>
      </c>
      <c r="F94" s="1" cm="1">
        <f t="array" ref="F94">unf_pvt_dZdp($D47,F$36,gg,zcor)*100</f>
        <v>-1.1724078469632637</v>
      </c>
      <c r="G94" s="1" cm="1">
        <f t="array" ref="G94">unf_pvt_dZdp($D47,G$36,gg,zcor)*100</f>
        <v>-0.92754924186366772</v>
      </c>
      <c r="H94" s="1" cm="1">
        <f t="array" ref="H94">unf_pvt_dZdp($D47,H$36,gg,zcor)*100</f>
        <v>-0.7192130848110434</v>
      </c>
      <c r="I94" s="1" cm="1">
        <f t="array" ref="I94">unf_pvt_dZdp($D47,I$36,gg,zcor)*100</f>
        <v>-0.53044405513791304</v>
      </c>
      <c r="J94" s="1" cm="1">
        <f t="array" ref="J94">unf_pvt_dZdp($D47,J$36,gg,zcor)*100</f>
        <v>-0.35779239440869581</v>
      </c>
      <c r="K94" s="1" cm="1">
        <f t="array" ref="K94">unf_pvt_dZdp($D47,K$36,gg,zcor)*100</f>
        <v>-0.19906403665115313</v>
      </c>
      <c r="L94" s="1" cm="1">
        <f t="array" ref="L94">unf_pvt_dZdp($D47,L$36,gg,zcor)*100</f>
        <v>-5.2527438101357404E-2</v>
      </c>
      <c r="M94" s="1" cm="1">
        <f t="array" ref="M94">unf_pvt_dZdp($D47,M$36,gg,zcor)*100</f>
        <v>8.3283589332738828E-2</v>
      </c>
      <c r="N94" s="1" cm="1">
        <f t="array" ref="N94">unf_pvt_dZdp($D47,N$36,gg,zcor)*100</f>
        <v>0.20964797913580746</v>
      </c>
      <c r="O94" s="1" cm="1">
        <f t="array" ref="O94">unf_pvt_dZdp($D47,O$36,gg,zcor)*100</f>
        <v>0.32769884361627533</v>
      </c>
      <c r="P94" s="1" cm="1">
        <f t="array" ref="P94">unf_pvt_dZdp($D47,P$36,gg,zcor)*100</f>
        <v>0.43845013121490695</v>
      </c>
      <c r="Q94" s="1" cm="1">
        <f t="array" ref="Q94">unf_pvt_dZdp($D47,Q$36,gg,zcor)*100</f>
        <v>0.54281600735839319</v>
      </c>
      <c r="R94" s="1" cm="1">
        <f t="array" ref="R94">unf_pvt_dZdp($D47,R$36,gg,zcor)*100</f>
        <v>0.64162604115680644</v>
      </c>
      <c r="S94" s="1" cm="1">
        <f t="array" ref="S94">unf_pvt_dZdp($D47,S$36,gg,zcor)*100</f>
        <v>0.73563766335382752</v>
      </c>
      <c r="T94" s="1" cm="1">
        <f t="array" ref="T94">unf_pvt_dZdp($D47,T$36,gg,zcor)*100</f>
        <v>0.82554668360934613</v>
      </c>
      <c r="U94" s="1" cm="1">
        <f t="array" ref="U94">unf_pvt_dZdp($D47,U$36,gg,zcor)*100</f>
        <v>0.91199633805105762</v>
      </c>
      <c r="V94" s="1" cm="1">
        <f t="array" ref="V94">unf_pvt_dZdp($D47,V$36,gg,zcor)*100</f>
        <v>0.99558517389741752</v>
      </c>
      <c r="W94" s="1" cm="1">
        <f t="array" ref="W94">unf_pvt_dZdp($D47,W$36,gg,zcor)*100</f>
        <v>1.0768739852462517</v>
      </c>
      <c r="X94" s="1" cm="1">
        <f t="array" ref="X94">unf_pvt_dZdp($D47,X$36,gg,zcor)*100</f>
        <v>1.1563919567691983</v>
      </c>
      <c r="Y94" s="1" cm="1">
        <f t="array" ref="Y94">unf_pvt_dZdp($D47,Y$36,gg,zcor)*100</f>
        <v>1.2346421338804703</v>
      </c>
      <c r="Z94" s="1" cm="1">
        <f t="array" ref="Z94">unf_pvt_dZdp($D47,Z$36,gg,zcor)*100</f>
        <v>1.3121063103649355</v>
      </c>
      <c r="AA94" s="1" cm="1">
        <f t="array" ref="AA94">unf_pvt_dZdp($D47,AA$36,gg,zcor)*100</f>
        <v>1.3892494031519931</v>
      </c>
      <c r="AB94" s="1" cm="1">
        <f t="array" ref="AB94">unf_pvt_dZdp($D47,AB$36,gg,zcor)*100</f>
        <v>1.4665233664468147</v>
      </c>
      <c r="AC94" s="1" cm="1">
        <f t="array" ref="AC94">unf_pvt_dZdp($D47,AC$36,gg,zcor)*100</f>
        <v>1.5443706821094416</v>
      </c>
      <c r="AD94" s="1" cm="1">
        <f t="array" ref="AD94">unf_pvt_dZdp($D47,AD$36,gg,zcor)*100</f>
        <v>1.6232274491434495</v>
      </c>
      <c r="AE94" s="1" cm="1">
        <f t="array" ref="AE94">unf_pvt_dZdp($D47,AE$36,gg,zcor)*100</f>
        <v>1.7035260816444797</v>
      </c>
      <c r="AF94" s="1" cm="1">
        <f t="array" ref="AF94">unf_pvt_dZdp($D47,AF$36,gg,zcor)*100</f>
        <v>1.7856976110564027</v>
      </c>
      <c r="AG94" s="1" cm="1">
        <f t="array" ref="AG94">unf_pvt_dZdp($D47,AG$36,gg,zcor)*100</f>
        <v>1.87017357459629</v>
      </c>
      <c r="AH94" s="1" cm="1">
        <f t="array" ref="AH94">unf_pvt_dZdp($D47,AH$36,gg,zcor)*100</f>
        <v>1.9573874570344429</v>
      </c>
      <c r="AI94" s="1" cm="1">
        <f t="array" ref="AI94">unf_pvt_dZdp($D47,AI$36,gg,zcor)*100</f>
        <v>2.0477756369774447</v>
      </c>
      <c r="AJ94" s="1" cm="1">
        <f t="array" ref="AJ94">unf_pvt_dZdp($D47,AJ$36,gg,zcor)*100</f>
        <v>2.1417777716559172</v>
      </c>
      <c r="AK94" s="1" cm="1">
        <f t="array" ref="AK94">unf_pvt_dZdp($D47,AK$36,gg,zcor)*100</f>
        <v>2.2398365350517757</v>
      </c>
    </row>
    <row r="95" spans="5:37" x14ac:dyDescent="0.25">
      <c r="E95" t="str">
        <f t="shared" si="4"/>
        <v>t=100 C</v>
      </c>
      <c r="F95" s="1" cm="1">
        <f t="array" ref="F95">unf_pvt_dZdp($D48,F$36,gg,zcor)*100</f>
        <v>-1.094854702113901</v>
      </c>
      <c r="G95" s="1" cm="1">
        <f t="array" ref="G95">unf_pvt_dZdp($D48,G$36,gg,zcor)*100</f>
        <v>-0.82993494181282657</v>
      </c>
      <c r="H95" s="1" cm="1">
        <f t="array" ref="H95">unf_pvt_dZdp($D48,H$36,gg,zcor)*100</f>
        <v>-0.62520001160359939</v>
      </c>
      <c r="I95" s="1" cm="1">
        <f t="array" ref="I95">unf_pvt_dZdp($D48,I$36,gg,zcor)*100</f>
        <v>-0.44255811262661204</v>
      </c>
      <c r="J95" s="1" cm="1">
        <f t="array" ref="J95">unf_pvt_dZdp($D48,J$36,gg,zcor)*100</f>
        <v>-0.27638989874012587</v>
      </c>
      <c r="K95" s="1" cm="1">
        <f t="array" ref="K95">unf_pvt_dZdp($D48,K$36,gg,zcor)*100</f>
        <v>-0.12385642676693287</v>
      </c>
      <c r="L95" s="1" cm="1">
        <f t="array" ref="L95">unf_pvt_dZdp($D48,L$36,gg,zcor)*100</f>
        <v>1.7015053475066821E-2</v>
      </c>
      <c r="M95" s="1" cm="1">
        <f t="array" ref="M95">unf_pvt_dZdp($D48,M$36,gg,zcor)*100</f>
        <v>0.14778427270600858</v>
      </c>
      <c r="N95" s="1" cm="1">
        <f t="array" ref="N95">unf_pvt_dZdp($D48,N$36,gg,zcor)*100</f>
        <v>0.26976120593436015</v>
      </c>
      <c r="O95" s="1" cm="1">
        <f t="array" ref="O95">unf_pvt_dZdp($D48,O$36,gg,zcor)*100</f>
        <v>0.38408224675601232</v>
      </c>
      <c r="P95" s="1" cm="1">
        <f t="array" ref="P95">unf_pvt_dZdp($D48,P$36,gg,zcor)*100</f>
        <v>0.49175299906001335</v>
      </c>
      <c r="Q95" s="1" cm="1">
        <f t="array" ref="Q95">unf_pvt_dZdp($D48,Q$36,gg,zcor)*100</f>
        <v>0.59367586632275149</v>
      </c>
      <c r="R95" s="1" cm="1">
        <f t="array" ref="R95">unf_pvt_dZdp($D48,R$36,gg,zcor)*100</f>
        <v>0.69066972823939032</v>
      </c>
      <c r="S95" s="1" cm="1">
        <f t="array" ref="S95">unf_pvt_dZdp($D48,S$36,gg,zcor)*100</f>
        <v>0.78348503198100161</v>
      </c>
      <c r="T95" s="1" cm="1">
        <f t="array" ref="T95">unf_pvt_dZdp($D48,T$36,gg,zcor)*100</f>
        <v>0.87281598766475454</v>
      </c>
      <c r="U95" s="1" cm="1">
        <f t="array" ref="U95">unf_pvt_dZdp($D48,U$36,gg,zcor)*100</f>
        <v>0.95931080923428169</v>
      </c>
      <c r="V95" s="1" cm="1">
        <f t="array" ref="V95">unf_pvt_dZdp($D48,V$36,gg,zcor)*100</f>
        <v>1.0435805700459433</v>
      </c>
      <c r="W95" s="1" cm="1">
        <f t="array" ref="W95">unf_pvt_dZdp($D48,W$36,gg,zcor)*100</f>
        <v>1.1262070442064065</v>
      </c>
      <c r="X95" s="1" cm="1">
        <f t="array" ref="X95">unf_pvt_dZdp($D48,X$36,gg,zcor)*100</f>
        <v>1.2077497920026659</v>
      </c>
      <c r="Y95" s="1" cm="1">
        <f t="array" ref="Y95">unf_pvt_dZdp($D48,Y$36,gg,zcor)*100</f>
        <v>1.2887526803440075</v>
      </c>
      <c r="Z95" s="1" cm="1">
        <f t="array" ref="Z95">unf_pvt_dZdp($D48,Z$36,gg,zcor)*100</f>
        <v>1.3697499865239493</v>
      </c>
      <c r="AA95" s="1" cm="1">
        <f t="array" ref="AA95">unf_pvt_dZdp($D48,AA$36,gg,zcor)*100</f>
        <v>1.451272205901244</v>
      </c>
      <c r="AB95" s="1" cm="1">
        <f t="array" ref="AB95">unf_pvt_dZdp($D48,AB$36,gg,zcor)*100</f>
        <v>1.5338516651586254</v>
      </c>
      <c r="AC95" s="1" cm="1">
        <f t="array" ref="AC95">unf_pvt_dZdp($D48,AC$36,gg,zcor)*100</f>
        <v>1.6180280297950489</v>
      </c>
      <c r="AD95" s="1" cm="1">
        <f t="array" ref="AD95">unf_pvt_dZdp($D48,AD$36,gg,zcor)*100</f>
        <v>1.704353785147994</v>
      </c>
      <c r="AE95" s="1" cm="1">
        <f t="array" ref="AE95">unf_pvt_dZdp($D48,AE$36,gg,zcor)*100</f>
        <v>1.7933997637986643</v>
      </c>
      <c r="AF95" s="1" cm="1">
        <f t="array" ref="AF95">unf_pvt_dZdp($D48,AF$36,gg,zcor)*100</f>
        <v>1.8857607872702076</v>
      </c>
      <c r="AG95" s="1" cm="1">
        <f t="array" ref="AG95">unf_pvt_dZdp($D48,AG$36,gg,zcor)*100</f>
        <v>1.9820614866405961</v>
      </c>
      <c r="AH95" s="1" cm="1">
        <f t="array" ref="AH95">unf_pvt_dZdp($D48,AH$36,gg,zcor)*100</f>
        <v>2.082962364080565</v>
      </c>
      <c r="AI95" s="1" cm="1">
        <f t="array" ref="AI95">unf_pvt_dZdp($D48,AI$36,gg,zcor)*100</f>
        <v>2.1891661553929964</v>
      </c>
      <c r="AJ95" s="1" cm="1">
        <f t="array" ref="AJ95">unf_pvt_dZdp($D48,AJ$36,gg,zcor)*100</f>
        <v>2.3014245519559218</v>
      </c>
      <c r="AK95" s="1" cm="1">
        <f t="array" ref="AK95">unf_pvt_dZdp($D48,AK$36,gg,zcor)*100</f>
        <v>2.4205453388703724</v>
      </c>
    </row>
    <row r="96" spans="5:37" x14ac:dyDescent="0.25">
      <c r="E96" t="str">
        <f t="shared" si="4"/>
        <v>t=110 C</v>
      </c>
      <c r="F96" s="1" cm="1">
        <f t="array" ref="F96">unf_pvt_dZdp($D49,F$36,gg,zcor)*100</f>
        <v>-1.0267909148686805</v>
      </c>
      <c r="G96" s="1" cm="1">
        <f t="array" ref="G96">unf_pvt_dZdp($D49,G$36,gg,zcor)*100</f>
        <v>-0.74257190486481939</v>
      </c>
      <c r="H96" s="1" cm="1">
        <f t="array" ref="H96">unf_pvt_dZdp($D49,H$36,gg,zcor)*100</f>
        <v>-0.54033469261360878</v>
      </c>
      <c r="I96" s="1" cm="1">
        <f t="array" ref="I96">unf_pvt_dZdp($D49,I$36,gg,zcor)*100</f>
        <v>-0.36268803108807646</v>
      </c>
      <c r="J96" s="1" cm="1">
        <f t="array" ref="J96">unf_pvt_dZdp($D49,J$36,gg,zcor)*100</f>
        <v>-0.20194136752915703</v>
      </c>
      <c r="K96" s="1" cm="1">
        <f t="array" ref="K96">unf_pvt_dZdp($D49,K$36,gg,zcor)*100</f>
        <v>-5.4625623334692008E-2</v>
      </c>
      <c r="L96" s="1" cm="1">
        <f t="array" ref="L96">unf_pvt_dZdp($D49,L$36,gg,zcor)*100</f>
        <v>8.147447086215287E-2</v>
      </c>
      <c r="M96" s="1" cm="1">
        <f t="array" ref="M96">unf_pvt_dZdp($D49,M$36,gg,zcor)*100</f>
        <v>0.20801730901132132</v>
      </c>
      <c r="N96" s="1" cm="1">
        <f t="array" ref="N96">unf_pvt_dZdp($D49,N$36,gg,zcor)*100</f>
        <v>0.32634950838050791</v>
      </c>
      <c r="O96" s="1" cm="1">
        <f t="array" ref="O96">unf_pvt_dZdp($D49,O$36,gg,zcor)*100</f>
        <v>0.43761571203670968</v>
      </c>
      <c r="P96" s="1" cm="1">
        <f t="array" ref="P96">unf_pvt_dZdp($D49,P$36,gg,zcor)*100</f>
        <v>0.54281708913750393</v>
      </c>
      <c r="Q96" s="1" cm="1">
        <f t="array" ref="Q96">unf_pvt_dZdp($D49,Q$36,gg,zcor)*100</f>
        <v>0.64284694364591388</v>
      </c>
      <c r="R96" s="1" cm="1">
        <f t="array" ref="R96">unf_pvt_dZdp($D49,R$36,gg,zcor)*100</f>
        <v>0.73851477095487894</v>
      </c>
      <c r="S96" s="1" cm="1">
        <f t="array" ref="S96">unf_pvt_dZdp($D49,S$36,gg,zcor)*100</f>
        <v>0.83056388828772754</v>
      </c>
      <c r="T96" s="1" cm="1">
        <f t="array" ref="T96">unf_pvt_dZdp($D49,T$36,gg,zcor)*100</f>
        <v>0.91968520096186168</v>
      </c>
      <c r="U96" s="1" cm="1">
        <f t="array" ref="U96">unf_pvt_dZdp($D49,U$36,gg,zcor)*100</f>
        <v>1.0065285004556834</v>
      </c>
      <c r="V96" s="1" cm="1">
        <f t="array" ref="V96">unf_pvt_dZdp($D49,V$36,gg,zcor)*100</f>
        <v>1.0917121158149357</v>
      </c>
      <c r="W96" s="1" cm="1">
        <f t="array" ref="W96">unf_pvt_dZdp($D49,W$36,gg,zcor)*100</f>
        <v>1.1758314381227208</v>
      </c>
      <c r="X96" s="1" cm="1">
        <f t="array" ref="X96">unf_pvt_dZdp($D49,X$36,gg,zcor)*100</f>
        <v>1.2594666699627943</v>
      </c>
      <c r="Y96" s="1" cm="1">
        <f t="array" ref="Y96">unf_pvt_dZdp($D49,Y$36,gg,zcor)*100</f>
        <v>1.3431900545679554</v>
      </c>
      <c r="Z96" s="1" cm="1">
        <f t="array" ref="Z96">unf_pvt_dZdp($D49,Z$36,gg,zcor)*100</f>
        <v>1.4275727807611105</v>
      </c>
      <c r="AA96" s="1" cm="1">
        <f t="array" ref="AA96">unf_pvt_dZdp($D49,AA$36,gg,zcor)*100</f>
        <v>1.5131917242738879</v>
      </c>
      <c r="AB96" s="1" cm="1">
        <f t="array" ref="AB96">unf_pvt_dZdp($D49,AB$36,gg,zcor)*100</f>
        <v>1.6006361640918954</v>
      </c>
      <c r="AC96" s="1" cm="1">
        <f t="array" ref="AC96">unf_pvt_dZdp($D49,AC$36,gg,zcor)*100</f>
        <v>1.6905146000012472</v>
      </c>
      <c r="AD96" s="1" cm="1">
        <f t="array" ref="AD96">unf_pvt_dZdp($D49,AD$36,gg,zcor)*100</f>
        <v>1.783461791105001</v>
      </c>
      <c r="AE96" s="1" cm="1">
        <f t="array" ref="AE96">unf_pvt_dZdp($D49,AE$36,gg,zcor)*100</f>
        <v>1.8801461335526959</v>
      </c>
      <c r="AF96" s="1" cm="1">
        <f t="array" ref="AF96">unf_pvt_dZdp($D49,AF$36,gg,zcor)*100</f>
        <v>1.9812774976490921</v>
      </c>
      <c r="AG96" s="1" cm="1">
        <f t="array" ref="AG96">unf_pvt_dZdp($D49,AG$36,gg,zcor)*100</f>
        <v>2.0876156500482246</v>
      </c>
      <c r="AH96" s="1" cm="1">
        <f t="array" ref="AH96">unf_pvt_dZdp($D49,AH$36,gg,zcor)*100</f>
        <v>2.1999793947968804</v>
      </c>
      <c r="AI96" s="1" cm="1">
        <f t="array" ref="AI96">unf_pvt_dZdp($D49,AI$36,gg,zcor)*100</f>
        <v>2.3192565781759988</v>
      </c>
      <c r="AJ96" s="1" cm="1">
        <f t="array" ref="AJ96">unf_pvt_dZdp($D49,AJ$36,gg,zcor)*100</f>
        <v>2.4464151162861825</v>
      </c>
      <c r="AK96" s="1" cm="1">
        <f t="array" ref="AK96">unf_pvt_dZdp($D49,AK$36,gg,zcor)*100</f>
        <v>2.5825152213077018</v>
      </c>
    </row>
    <row r="97" spans="5:37" x14ac:dyDescent="0.25">
      <c r="E97" t="str">
        <f t="shared" si="4"/>
        <v>t=120 C</v>
      </c>
      <c r="F97" s="1" cm="1">
        <f t="array" ref="F97">unf_pvt_dZdp($D50,F$36,gg,zcor)*100</f>
        <v>-0.9662008726118998</v>
      </c>
      <c r="G97" s="1" cm="1">
        <f t="array" ref="G97">unf_pvt_dZdp($D50,G$36,gg,zcor)*100</f>
        <v>-0.66447178654671646</v>
      </c>
      <c r="H97" s="1" cm="1">
        <f t="array" ref="H97">unf_pvt_dZdp($D50,H$36,gg,zcor)*100</f>
        <v>-0.46392996962518751</v>
      </c>
      <c r="I97" s="1" cm="1">
        <f t="array" ref="I97">unf_pvt_dZdp($D50,I$36,gg,zcor)*100</f>
        <v>-0.29033480992701755</v>
      </c>
      <c r="J97" s="1" cm="1">
        <f t="array" ref="J97">unf_pvt_dZdp($D50,J$36,gg,zcor)*100</f>
        <v>-0.13408581595375502</v>
      </c>
      <c r="K97" s="1" cm="1">
        <f t="array" ref="K97">unf_pvt_dZdp($D50,K$36,gg,zcor)*100</f>
        <v>8.88137621113394E-3</v>
      </c>
      <c r="L97" s="1" cm="1">
        <f t="array" ref="L97">unf_pvt_dZdp($D50,L$36,gg,zcor)*100</f>
        <v>0.14101720888670677</v>
      </c>
      <c r="M97" s="1" cm="1">
        <f t="array" ref="M97">unf_pvt_dZdp($D50,M$36,gg,zcor)*100</f>
        <v>0.26407973185094136</v>
      </c>
      <c r="N97" s="1" cm="1">
        <f t="array" ref="N97">unf_pvt_dZdp($D50,N$36,gg,zcor)*100</f>
        <v>0.37945597325172997</v>
      </c>
      <c r="O97" s="1" cm="1">
        <f t="array" ref="O97">unf_pvt_dZdp($D50,O$36,gg,zcor)*100</f>
        <v>0.48830337709970806</v>
      </c>
      <c r="P97" s="1" cm="1">
        <f t="array" ref="P97">unf_pvt_dZdp($D50,P$36,gg,zcor)*100</f>
        <v>0.59162320345418351</v>
      </c>
      <c r="Q97" s="1" cm="1">
        <f t="array" ref="Q97">unf_pvt_dZdp($D50,Q$36,gg,zcor)*100</f>
        <v>0.69030380202894648</v>
      </c>
      <c r="R97" s="1" cm="1">
        <f t="array" ref="R97">unf_pvt_dZdp($D50,R$36,gg,zcor)*100</f>
        <v>0.78514888388170334</v>
      </c>
      <c r="S97" s="1" cm="1">
        <f t="array" ref="S97">unf_pvt_dZdp($D50,S$36,gg,zcor)*100</f>
        <v>0.87689760724041221</v>
      </c>
      <c r="T97" s="1" cm="1">
        <f t="array" ref="T97">unf_pvt_dZdp($D50,T$36,gg,zcor)*100</f>
        <v>0.96623986312271981</v>
      </c>
      <c r="U97" s="1" cm="1">
        <f t="array" ref="U97">unf_pvt_dZdp($D50,U$36,gg,zcor)*100</f>
        <v>1.0538285871919406</v>
      </c>
      <c r="V97" s="1" cm="1">
        <f t="array" ref="V97">unf_pvt_dZdp($D50,V$36,gg,zcor)*100</f>
        <v>1.1402901584300906</v>
      </c>
      <c r="W97" s="1" cm="1">
        <f t="array" ref="W97">unf_pvt_dZdp($D50,W$36,gg,zcor)*100</f>
        <v>1.2262335448487427</v>
      </c>
      <c r="X97" s="1" cm="1">
        <f t="array" ref="X97">unf_pvt_dZdp($D50,X$36,gg,zcor)*100</f>
        <v>1.3122586358793598</v>
      </c>
      <c r="Y97" s="1" cm="1">
        <f t="array" ref="Y97">unf_pvt_dZdp($D50,Y$36,gg,zcor)*100</f>
        <v>1.3989640747080756</v>
      </c>
      <c r="Z97" s="1" cm="1">
        <f t="array" ref="Z97">unf_pvt_dZdp($D50,Z$36,gg,zcor)*100</f>
        <v>1.4869548295570745</v>
      </c>
      <c r="AA97" s="1" cm="1">
        <f t="array" ref="AA97">unf_pvt_dZdp($D50,AA$36,gg,zcor)*100</f>
        <v>1.5768496987966785</v>
      </c>
      <c r="AB97" s="1" cm="1">
        <f t="array" ref="AB97">unf_pvt_dZdp($D50,AB$36,gg,zcor)*100</f>
        <v>1.669288919456946</v>
      </c>
      <c r="AC97" s="1" cm="1">
        <f t="array" ref="AC97">unf_pvt_dZdp($D50,AC$36,gg,zcor)*100</f>
        <v>1.7649420353604839</v>
      </c>
      <c r="AD97" s="1" cm="1">
        <f t="array" ref="AD97">unf_pvt_dZdp($D50,AD$36,gg,zcor)*100</f>
        <v>1.8645161765107332</v>
      </c>
      <c r="AE97" s="1" cm="1">
        <f t="array" ref="AE97">unf_pvt_dZdp($D50,AE$36,gg,zcor)*100</f>
        <v>1.9687649029997978</v>
      </c>
      <c r="AF97" s="1" cm="1">
        <f t="array" ref="AF97">unf_pvt_dZdp($D50,AF$36,gg,zcor)*100</f>
        <v>2.0784977737520194</v>
      </c>
      <c r="AG97" s="1" cm="1">
        <f t="array" ref="AG97">unf_pvt_dZdp($D50,AG$36,gg,zcor)*100</f>
        <v>2.1945908123366387</v>
      </c>
      <c r="AH97" s="1" cm="1">
        <f t="array" ref="AH97">unf_pvt_dZdp($D50,AH$36,gg,zcor)*100</f>
        <v>2.3179980583210025</v>
      </c>
      <c r="AI97" s="1" cm="1">
        <f t="array" ref="AI97">unf_pvt_dZdp($D50,AI$36,gg,zcor)*100</f>
        <v>2.4497644138787855</v>
      </c>
      <c r="AJ97" s="1" cm="1">
        <f t="array" ref="AJ97">unf_pvt_dZdp($D50,AJ$36,gg,zcor)*100</f>
        <v>2.5910400214201879</v>
      </c>
      <c r="AK97" s="1" cm="1">
        <f t="array" ref="AK97">unf_pvt_dZdp($D50,AK$36,gg,zcor)*100</f>
        <v>2.7430964397701096</v>
      </c>
    </row>
    <row r="98" spans="5:37" x14ac:dyDescent="0.25">
      <c r="E98" t="str">
        <f t="shared" si="4"/>
        <v>t=130 C</v>
      </c>
      <c r="F98" s="1" cm="1">
        <f t="array" ref="F98">unf_pvt_dZdp($D51,F$36,gg,zcor)*100</f>
        <v>-0.91127388087808292</v>
      </c>
      <c r="G98" s="1" cm="1">
        <f t="array" ref="G98">unf_pvt_dZdp($D51,G$36,gg,zcor)*100</f>
        <v>-0.59473631008666317</v>
      </c>
      <c r="H98" s="1" cm="1">
        <f t="array" ref="H98">unf_pvt_dZdp($D51,H$36,gg,zcor)*100</f>
        <v>-0.39538176965669969</v>
      </c>
      <c r="I98" s="1" cm="1">
        <f t="array" ref="I98">unf_pvt_dZdp($D51,I$36,gg,zcor)*100</f>
        <v>-0.22508011846000819</v>
      </c>
      <c r="J98" s="1" cm="1">
        <f t="array" ref="J98">unf_pvt_dZdp($D51,J$36,gg,zcor)*100</f>
        <v>-7.2541275383253279E-2</v>
      </c>
      <c r="K98" s="1" cm="1">
        <f t="array" ref="K98">unf_pvt_dZdp($D51,K$36,gg,zcor)*100</f>
        <v>6.6839743356750247E-2</v>
      </c>
      <c r="L98" s="1" cm="1">
        <f t="array" ref="L98">unf_pvt_dZdp($D51,L$36,gg,zcor)*100</f>
        <v>0.19573216047286124</v>
      </c>
      <c r="M98" s="1" cm="1">
        <f t="array" ref="M98">unf_pvt_dZdp($D51,M$36,gg,zcor)*100</f>
        <v>0.31598987611070051</v>
      </c>
      <c r="N98" s="1" cm="1">
        <f t="array" ref="N98">unf_pvt_dZdp($D51,N$36,gg,zcor)*100</f>
        <v>0.42904138112365153</v>
      </c>
      <c r="O98" s="1" cm="1">
        <f t="array" ref="O98">unf_pvt_dZdp($D51,O$36,gg,zcor)*100</f>
        <v>0.53605995332883793</v>
      </c>
      <c r="P98" s="1" cm="1">
        <f t="array" ref="P98">unf_pvt_dZdp($D51,P$36,gg,zcor)*100</f>
        <v>0.63805074201228607</v>
      </c>
      <c r="Q98" s="1" cm="1">
        <f t="array" ref="Q98">unf_pvt_dZdp($D51,Q$36,gg,zcor)*100</f>
        <v>0.7359011521401726</v>
      </c>
      <c r="R98" s="1" cm="1">
        <f t="array" ref="R98">unf_pvt_dZdp($D51,R$36,gg,zcor)*100</f>
        <v>0.83041306892628342</v>
      </c>
      <c r="S98" s="1" cm="1">
        <f t="array" ref="S98">unf_pvt_dZdp($D51,S$36,gg,zcor)*100</f>
        <v>0.92232527517444041</v>
      </c>
      <c r="T98" s="1" cm="1">
        <f t="array" ref="T98">unf_pvt_dZdp($D51,T$36,gg,zcor)*100</f>
        <v>1.0123302005671242</v>
      </c>
      <c r="U98" s="1" cm="1">
        <f t="array" ref="U98">unf_pvt_dZdp($D51,U$36,gg,zcor)*100</f>
        <v>1.1010872254901827</v>
      </c>
      <c r="V98" s="1" cm="1">
        <f t="array" ref="V98">unf_pvt_dZdp($D51,V$36,gg,zcor)*100</f>
        <v>1.1892338212060594</v>
      </c>
      <c r="W98" s="1" cm="1">
        <f t="array" ref="W98">unf_pvt_dZdp($D51,W$36,gg,zcor)*100</f>
        <v>1.2773953172184882</v>
      </c>
      <c r="X98" s="1" cm="1">
        <f t="array" ref="X98">unf_pvt_dZdp($D51,X$36,gg,zcor)*100</f>
        <v>1.3661938172759847</v>
      </c>
      <c r="Y98" s="1" cm="1">
        <f t="array" ref="Y98">unf_pvt_dZdp($D51,Y$36,gg,zcor)*100</f>
        <v>1.4562566322884329</v>
      </c>
      <c r="Z98" s="1" cm="1">
        <f t="array" ref="Z98">unf_pvt_dZdp($D51,Z$36,gg,zcor)*100</f>
        <v>1.5482245090958635</v>
      </c>
      <c r="AA98" s="1" cm="1">
        <f t="array" ref="AA98">unf_pvt_dZdp($D51,AA$36,gg,zcor)*100</f>
        <v>1.6427598822188472</v>
      </c>
      <c r="AB98" s="1" cm="1">
        <f t="array" ref="AB98">unf_pvt_dZdp($D51,AB$36,gg,zcor)*100</f>
        <v>1.7405553466431911</v>
      </c>
      <c r="AC98" s="1" cm="1">
        <f t="array" ref="AC98">unf_pvt_dZdp($D51,AC$36,gg,zcor)*100</f>
        <v>1.8423425356806078</v>
      </c>
      <c r="AD98" s="1" cm="1">
        <f t="array" ref="AD98">unf_pvt_dZdp($D51,AD$36,gg,zcor)*100</f>
        <v>1.9489015845275404</v>
      </c>
      <c r="AE98" s="1" cm="1">
        <f t="array" ref="AE98">unf_pvt_dZdp($D51,AE$36,gg,zcor)*100</f>
        <v>2.0610713646074252</v>
      </c>
      <c r="AF98" s="1" cm="1">
        <f t="array" ref="AF98">unf_pvt_dZdp($D51,AF$36,gg,zcor)*100</f>
        <v>2.179760685250276</v>
      </c>
      <c r="AG98" s="1" cm="1">
        <f t="array" ref="AG98">unf_pvt_dZdp($D51,AG$36,gg,zcor)*100</f>
        <v>2.3059606764785912</v>
      </c>
      <c r="AH98" s="1" cm="1">
        <f t="array" ref="AH98">unf_pvt_dZdp($D51,AH$36,gg,zcor)*100</f>
        <v>2.440758590407377</v>
      </c>
      <c r="AI98" s="1" cm="1">
        <f t="array" ref="AI98">unf_pvt_dZdp($D51,AI$36,gg,zcor)*100</f>
        <v>2.585353288382386</v>
      </c>
      <c r="AJ98" s="1" cm="1">
        <f t="array" ref="AJ98">unf_pvt_dZdp($D51,AJ$36,gg,zcor)*100</f>
        <v>2.7410727178400762</v>
      </c>
      <c r="AK98" s="1" cm="1">
        <f t="array" ref="AK98">unf_pvt_dZdp($D51,AK$36,gg,zcor)*100</f>
        <v>2.9093937272017811</v>
      </c>
    </row>
    <row r="99" spans="5:37" x14ac:dyDescent="0.25">
      <c r="E99" t="str">
        <f t="shared" si="4"/>
        <v>t=140 C</v>
      </c>
      <c r="F99" s="1" cm="1">
        <f t="array" ref="F99">unf_pvt_dZdp($D52,F$36,gg,zcor)*100</f>
        <v>-0.86039686035932483</v>
      </c>
      <c r="G99" s="1" cm="1">
        <f t="array" ref="G99">unf_pvt_dZdp($D52,G$36,gg,zcor)*100</f>
        <v>-0.5325362609553963</v>
      </c>
      <c r="H99" s="1" cm="1">
        <f t="array" ref="H99">unf_pvt_dZdp($D52,H$36,gg,zcor)*100</f>
        <v>-0.334149557263963</v>
      </c>
      <c r="I99" s="1" cm="1">
        <f t="array" ref="I99">unf_pvt_dZdp($D52,I$36,gg,zcor)*100</f>
        <v>-0.16656925178826221</v>
      </c>
      <c r="J99" s="1" cm="1">
        <f t="array" ref="J99">unf_pvt_dZdp($D52,J$36,gg,zcor)*100</f>
        <v>-1.7090209609715856E-2</v>
      </c>
      <c r="K99" s="1" cm="1">
        <f t="array" ref="K99">unf_pvt_dZdp($D52,K$36,gg,zcor)*100</f>
        <v>0.11935938090457121</v>
      </c>
      <c r="L99" s="1" cm="1">
        <f t="array" ref="L99">unf_pvt_dZdp($D52,L$36,gg,zcor)*100</f>
        <v>0.24564203662147399</v>
      </c>
      <c r="M99" s="1" cm="1">
        <f t="array" ref="M99">unf_pvt_dZdp($D52,M$36,gg,zcor)*100</f>
        <v>0.36369864136687191</v>
      </c>
      <c r="N99" s="1" cm="1">
        <f t="array" ref="N99">unf_pvt_dZdp($D52,N$36,gg,zcor)*100</f>
        <v>0.47499711411047585</v>
      </c>
      <c r="O99" s="1" cm="1">
        <f t="array" ref="O99">unf_pvt_dZdp($D52,O$36,gg,zcor)*100</f>
        <v>0.58072762502581199</v>
      </c>
      <c r="P99" s="1" cm="1">
        <f t="array" ref="P99">unf_pvt_dZdp($D52,P$36,gg,zcor)*100</f>
        <v>0.68190173732496362</v>
      </c>
      <c r="Q99" s="1" cm="1">
        <f t="array" ref="Q99">unf_pvt_dZdp($D52,Q$36,gg,zcor)*100</f>
        <v>0.77940913450591509</v>
      </c>
      <c r="R99" s="1" cm="1">
        <f t="array" ref="R99">unf_pvt_dZdp($D52,R$36,gg,zcor)*100</f>
        <v>0.87405341988811003</v>
      </c>
      <c r="S99" s="1" cm="1">
        <f t="array" ref="S99">unf_pvt_dZdp($D52,S$36,gg,zcor)*100</f>
        <v>0.96657667898014665</v>
      </c>
      <c r="T99" s="1" cm="1">
        <f t="array" ref="T99">unf_pvt_dZdp($D52,T$36,gg,zcor)*100</f>
        <v>1.0576776059356696</v>
      </c>
      <c r="U99" s="1" cm="1">
        <f t="array" ref="U99">unf_pvt_dZdp($D52,U$36,gg,zcor)*100</f>
        <v>1.1480257676987904</v>
      </c>
      <c r="V99" s="1" cm="1">
        <f t="array" ref="V99">unf_pvt_dZdp($D52,V$36,gg,zcor)*100</f>
        <v>1.2382734855465038</v>
      </c>
      <c r="W99" s="1" cm="1">
        <f t="array" ref="W99">unf_pvt_dZdp($D52,W$36,gg,zcor)*100</f>
        <v>1.3290662428233624</v>
      </c>
      <c r="X99" s="1" cm="1">
        <f t="array" ref="X99">unf_pvt_dZdp($D52,X$36,gg,zcor)*100</f>
        <v>1.4210522153468297</v>
      </c>
      <c r="Y99" s="1" cm="1">
        <f t="array" ref="Y99">unf_pvt_dZdp($D52,Y$36,gg,zcor)*100</f>
        <v>1.5148913437501577</v>
      </c>
      <c r="Z99" s="1" cm="1">
        <f t="array" ref="Z99">unf_pvt_dZdp($D52,Z$36,gg,zcor)*100</f>
        <v>1.6112642649046549</v>
      </c>
      <c r="AA99" s="1" cm="1">
        <f t="array" ref="AA99">unf_pvt_dZdp($D52,AA$36,gg,zcor)*100</f>
        <v>1.7108813605792861</v>
      </c>
      <c r="AB99" s="1" cm="1">
        <f t="array" ref="AB99">unf_pvt_dZdp($D52,AB$36,gg,zcor)*100</f>
        <v>1.8144921497276201</v>
      </c>
      <c r="AC99" s="1" cm="1">
        <f t="array" ref="AC99">unf_pvt_dZdp($D52,AC$36,gg,zcor)*100</f>
        <v>1.9228952362904117</v>
      </c>
      <c r="AD99" s="1" cm="1">
        <f t="array" ref="AD99">unf_pvt_dZdp($D52,AD$36,gg,zcor)*100</f>
        <v>2.036949022532486</v>
      </c>
      <c r="AE99" s="1" cm="1">
        <f t="array" ref="AE99">unf_pvt_dZdp($D52,AE$36,gg,zcor)*100</f>
        <v>2.1575834054421428</v>
      </c>
      <c r="AF99" s="1" cm="1">
        <f t="array" ref="AF99">unf_pvt_dZdp($D52,AF$36,gg,zcor)*100</f>
        <v>2.285812689490907</v>
      </c>
      <c r="AG99" s="1" cm="1">
        <f t="array" ref="AG99">unf_pvt_dZdp($D52,AG$36,gg,zcor)*100</f>
        <v>2.4227499722329071</v>
      </c>
      <c r="AH99" s="1" cm="1">
        <f t="array" ref="AH99">unf_pvt_dZdp($D52,AH$36,gg,zcor)*100</f>
        <v>2.5696232898897442</v>
      </c>
      <c r="AI99" s="1" cm="1">
        <f t="array" ref="AI99">unf_pvt_dZdp($D52,AI$36,gg,zcor)*100</f>
        <v>2.7277938486314213</v>
      </c>
      <c r="AJ99" s="1" cm="1">
        <f t="array" ref="AJ99">unf_pvt_dZdp($D52,AJ$36,gg,zcor)*100</f>
        <v>2.8987767146926302</v>
      </c>
      <c r="AK99" s="1" cm="1">
        <f t="array" ref="AK99">unf_pvt_dZdp($D52,AK$36,gg,zcor)*100</f>
        <v>3.0842643936379588</v>
      </c>
    </row>
    <row r="100" spans="5:37" x14ac:dyDescent="0.25">
      <c r="E100" t="str">
        <f t="shared" si="4"/>
        <v>t=150 C</v>
      </c>
      <c r="F100" s="1" cm="1">
        <f t="array" ref="F100">unf_pvt_dZdp($D53,F$36,gg,zcor)*100</f>
        <v>-0.81215150601332553</v>
      </c>
      <c r="G100" s="1" cm="1">
        <f t="array" ref="G100">unf_pvt_dZdp($D53,G$36,gg,zcor)*100</f>
        <v>-0.47709465114120775</v>
      </c>
      <c r="H100" s="1" cm="1">
        <f t="array" ref="H100">unf_pvt_dZdp($D53,H$36,gg,zcor)*100</f>
        <v>-0.27974032539512805</v>
      </c>
      <c r="I100" s="1" cm="1">
        <f t="array" ref="I100">unf_pvt_dZdp($D53,I$36,gg,zcor)*100</f>
        <v>-0.11449751350145476</v>
      </c>
      <c r="J100" s="1" cm="1">
        <f t="array" ref="J100">unf_pvt_dZdp($D53,J$36,gg,zcor)*100</f>
        <v>3.2431457130943642E-2</v>
      </c>
      <c r="K100" s="1" cm="1">
        <f t="array" ref="K100">unf_pvt_dZdp($D53,K$36,gg,zcor)*100</f>
        <v>0.16649337855279001</v>
      </c>
      <c r="L100" s="1" cm="1">
        <f t="array" ref="L100">unf_pvt_dZdp($D53,L$36,gg,zcor)*100</f>
        <v>0.29070964063127036</v>
      </c>
      <c r="M100" s="1" cm="1">
        <f t="array" ref="M100">unf_pvt_dZdp($D53,M$36,gg,zcor)*100</f>
        <v>0.40709410189965212</v>
      </c>
      <c r="N100" s="1" cm="1">
        <f t="array" ref="N100">unf_pvt_dZdp($D53,N$36,gg,zcor)*100</f>
        <v>0.51714882382647431</v>
      </c>
      <c r="O100" s="1" cm="1">
        <f t="array" ref="O100">unf_pvt_dZdp($D53,O$36,gg,zcor)*100</f>
        <v>0.62207974595329674</v>
      </c>
      <c r="P100" s="1" cm="1">
        <f t="array" ref="P100">unf_pvt_dZdp($D53,P$36,gg,zcor)*100</f>
        <v>0.72290585478640423</v>
      </c>
      <c r="Q100" s="1" cm="1">
        <f t="array" ref="Q100">unf_pvt_dZdp($D53,Q$36,gg,zcor)*100</f>
        <v>0.8205212705036935</v>
      </c>
      <c r="R100" s="1" cm="1">
        <f t="array" ref="R100">unf_pvt_dZdp($D53,R$36,gg,zcor)*100</f>
        <v>0.91573412065448778</v>
      </c>
      <c r="S100" s="1" cm="1">
        <f t="array" ref="S100">unf_pvt_dZdp($D53,S$36,gg,zcor)*100</f>
        <v>1.0092929888472213</v>
      </c>
      <c r="T100" s="1" cm="1">
        <f t="array" ref="T100">unf_pvt_dZdp($D53,T$36,gg,zcor)*100</f>
        <v>1.1019062893402598</v>
      </c>
      <c r="U100" s="1" cm="1">
        <f t="array" ref="U100">unf_pvt_dZdp($D53,U$36,gg,zcor)*100</f>
        <v>1.1942574363610348</v>
      </c>
      <c r="V100" s="1" cm="1">
        <f t="array" ref="V100">unf_pvt_dZdp($D53,V$36,gg,zcor)*100</f>
        <v>1.2870174563461845</v>
      </c>
      <c r="W100" s="1" cm="1">
        <f t="array" ref="W100">unf_pvt_dZdp($D53,W$36,gg,zcor)*100</f>
        <v>1.3808560541517245</v>
      </c>
      <c r="X100" s="1" cm="1">
        <f t="array" ref="X100">unf_pvt_dZdp($D53,X$36,gg,zcor)*100</f>
        <v>1.4764517960785817</v>
      </c>
      <c r="Y100" s="1" cm="1">
        <f t="array" ref="Y100">unf_pvt_dZdp($D53,Y$36,gg,zcor)*100</f>
        <v>1.5745018756252449</v>
      </c>
      <c r="Z100" s="1" cm="1">
        <f t="array" ref="Z100">unf_pvt_dZdp($D53,Z$36,gg,zcor)*100</f>
        <v>1.6757318148963307</v>
      </c>
      <c r="AA100" s="1" cm="1">
        <f t="array" ref="AA100">unf_pvt_dZdp($D53,AA$36,gg,zcor)*100</f>
        <v>1.7809053906137073</v>
      </c>
      <c r="AB100" s="1" cm="1">
        <f t="array" ref="AB100">unf_pvt_dZdp($D53,AB$36,gg,zcor)*100</f>
        <v>1.8908350396773521</v>
      </c>
      <c r="AC100" s="1" cm="1">
        <f t="array" ref="AC100">unf_pvt_dZdp($D53,AC$36,gg,zcor)*100</f>
        <v>2.0063929853963991</v>
      </c>
      <c r="AD100" s="1" cm="1">
        <f t="array" ref="AD100">unf_pvt_dZdp($D53,AD$36,gg,zcor)*100</f>
        <v>2.1285233256729263</v>
      </c>
      <c r="AE100" s="1" cm="1">
        <f t="array" ref="AE100">unf_pvt_dZdp($D53,AE$36,gg,zcor)*100</f>
        <v>2.2582553356964574</v>
      </c>
      <c r="AF100" s="1" cm="1">
        <f t="array" ref="AF100">unf_pvt_dZdp($D53,AF$36,gg,zcor)*100</f>
        <v>2.3967182584039293</v>
      </c>
      <c r="AG100" s="1" cm="1">
        <f t="array" ref="AG100">unf_pvt_dZdp($D53,AG$36,gg,zcor)*100</f>
        <v>2.5451578856361401</v>
      </c>
      <c r="AH100" s="1" cm="1">
        <f t="array" ref="AH100">unf_pvt_dZdp($D53,AH$36,gg,zcor)*100</f>
        <v>2.7049552715330272</v>
      </c>
      <c r="AI100" s="1" cm="1">
        <f t="array" ref="AI100">unf_pvt_dZdp($D53,AI$36,gg,zcor)*100</f>
        <v>2.8776479679271105</v>
      </c>
      <c r="AJ100" s="1" cm="1">
        <f t="array" ref="AJ100">unf_pvt_dZdp($D53,AJ$36,gg,zcor)*100</f>
        <v>3.0649542305871691</v>
      </c>
      <c r="AK100" s="1" cm="1">
        <f t="array" ref="AK100">unf_pvt_dZdp($D53,AK$36,gg,zcor)*100</f>
        <v>3.2688007163517163</v>
      </c>
    </row>
    <row r="101" spans="5:37" x14ac:dyDescent="0.25">
      <c r="E101" t="str">
        <f t="shared" si="4"/>
        <v>t=160 C</v>
      </c>
      <c r="F101" s="1" cm="1">
        <f t="array" ref="F101">unf_pvt_dZdp($D54,F$36,gg,zcor)*100</f>
        <v>-0.76531458925277462</v>
      </c>
      <c r="G101" s="1" cm="1">
        <f t="array" ref="G101">unf_pvt_dZdp($D54,G$36,gg,zcor)*100</f>
        <v>-0.42767323424675041</v>
      </c>
      <c r="H101" s="1" cm="1">
        <f t="array" ref="H101">unf_pvt_dZdp($D54,H$36,gg,zcor)*100</f>
        <v>-0.23169516460419537</v>
      </c>
      <c r="I101" s="1" cm="1">
        <f t="array" ref="I101">unf_pvt_dZdp($D54,I$36,gg,zcor)*100</f>
        <v>-6.8599001631364231E-2</v>
      </c>
      <c r="J101" s="1" cm="1">
        <f t="array" ref="J101">unf_pvt_dZdp($D54,J$36,gg,zcor)*100</f>
        <v>7.6142783488331034E-2</v>
      </c>
      <c r="K101" s="1" cm="1">
        <f t="array" ref="K101">unf_pvt_dZdp($D54,K$36,gg,zcor)*100</f>
        <v>0.20824360071558523</v>
      </c>
      <c r="L101" s="1" cm="1">
        <f t="array" ref="L101">unf_pvt_dZdp($D54,L$36,gg,zcor)*100</f>
        <v>0.33084071582534236</v>
      </c>
      <c r="M101" s="1" cm="1">
        <f t="array" ref="M101">unf_pvt_dZdp($D54,M$36,gg,zcor)*100</f>
        <v>0.44600185034826545</v>
      </c>
      <c r="N101" s="1" cm="1">
        <f t="array" ref="N101">unf_pvt_dZdp($D54,N$36,gg,zcor)*100</f>
        <v>0.55525460767702484</v>
      </c>
      <c r="O101" s="1" cm="1">
        <f t="array" ref="O101">unf_pvt_dZdp($D54,O$36,gg,zcor)*100</f>
        <v>0.65981728926578498</v>
      </c>
      <c r="P101" s="1" cm="1">
        <f t="array" ref="P101">unf_pvt_dZdp($D54,P$36,gg,zcor)*100</f>
        <v>0.76071567727709066</v>
      </c>
      <c r="Q101" s="1" cm="1">
        <f t="array" ref="Q101">unf_pvt_dZdp($D54,Q$36,gg,zcor)*100</f>
        <v>0.85884928604285093</v>
      </c>
      <c r="R101" s="1" cm="1">
        <f t="array" ref="R101">unf_pvt_dZdp($D54,R$36,gg,zcor)*100</f>
        <v>0.95503268545460429</v>
      </c>
      <c r="S101" s="1" cm="1">
        <f t="array" ref="S101">unf_pvt_dZdp($D54,S$36,gg,zcor)*100</f>
        <v>1.0500235015498127</v>
      </c>
      <c r="T101" s="1" cm="1">
        <f t="array" ref="T101">unf_pvt_dZdp($D54,T$36,gg,zcor)*100</f>
        <v>1.1445428629630605</v>
      </c>
      <c r="U101" s="1" cm="1">
        <f t="array" ref="U101">unf_pvt_dZdp($D54,U$36,gg,zcor)*100</f>
        <v>1.2392913907710579</v>
      </c>
      <c r="V101" s="1" cm="1">
        <f t="array" ref="V101">unf_pvt_dZdp($D54,V$36,gg,zcor)*100</f>
        <v>1.3349625133018961</v>
      </c>
      <c r="W101" s="1" cm="1">
        <f t="array" ref="W101">unf_pvt_dZdp($D54,W$36,gg,zcor)*100</f>
        <v>1.4322542001576899</v>
      </c>
      <c r="X101" s="1" cm="1">
        <f t="array" ref="X101">unf_pvt_dZdp($D54,X$36,gg,zcor)*100</f>
        <v>1.5318798340913098</v>
      </c>
      <c r="Y101" s="1" cm="1">
        <f t="array" ref="Y101">unf_pvt_dZdp($D54,Y$36,gg,zcor)*100</f>
        <v>1.6345787277627366</v>
      </c>
      <c r="Z101" s="1" cm="1">
        <f t="array" ref="Z101">unf_pvt_dZdp($D54,Z$36,gg,zcor)*100</f>
        <v>1.7411266716216289</v>
      </c>
      <c r="AA101" s="1" cm="1">
        <f t="array" ref="AA101">unf_pvt_dZdp($D54,AA$36,gg,zcor)*100</f>
        <v>1.8523468318254466</v>
      </c>
      <c r="AB101" s="1" cm="1">
        <f t="array" ref="AB101">unf_pvt_dZdp($D54,AB$36,gg,zcor)*100</f>
        <v>1.9691212826433713</v>
      </c>
      <c r="AC101" s="1" cm="1">
        <f t="array" ref="AC101">unf_pvt_dZdp($D54,AC$36,gg,zcor)*100</f>
        <v>2.0924034453551066</v>
      </c>
      <c r="AD101" s="1" cm="1">
        <f t="array" ref="AD101">unf_pvt_dZdp($D54,AD$36,gg,zcor)*100</f>
        <v>2.2232317090264964</v>
      </c>
      <c r="AE101" s="1" cm="1">
        <f t="array" ref="AE101">unf_pvt_dZdp($D54,AE$36,gg,zcor)*100</f>
        <v>2.3627445243157297</v>
      </c>
      <c r="AF101" s="1" cm="1">
        <f t="array" ref="AF101">unf_pvt_dZdp($D54,AF$36,gg,zcor)*100</f>
        <v>2.5121972881891885</v>
      </c>
      <c r="AG101" s="1" cm="1">
        <f t="array" ref="AG101">unf_pvt_dZdp($D54,AG$36,gg,zcor)*100</f>
        <v>2.6729813745252073</v>
      </c>
      <c r="AH101" s="1" cm="1">
        <f t="array" ref="AH101">unf_pvt_dZdp($D54,AH$36,gg,zcor)*100</f>
        <v>2.8466457133591305</v>
      </c>
      <c r="AI101" s="1" cm="1">
        <f t="array" ref="AI101">unf_pvt_dZdp($D54,AI$36,gg,zcor)*100</f>
        <v>3.0349213807978614</v>
      </c>
      <c r="AJ101" s="1" cm="1">
        <f t="array" ref="AJ101">unf_pvt_dZdp($D54,AJ$36,gg,zcor)*100</f>
        <v>3.2397497340497239</v>
      </c>
      <c r="AK101" s="1" cm="1">
        <f t="array" ref="AK101">unf_pvt_dZdp($D54,AK$36,gg,zcor)*100</f>
        <v>3.4633147132057118</v>
      </c>
    </row>
    <row r="102" spans="5:37" x14ac:dyDescent="0.25">
      <c r="E102" t="str">
        <f t="shared" si="4"/>
        <v>t=170 C</v>
      </c>
      <c r="F102" s="1" cm="1">
        <f t="array" ref="F102">unf_pvt_dZdp($D55,F$36,gg,zcor)*100</f>
        <v>-0.71886013386479597</v>
      </c>
      <c r="G102" s="1" cm="1">
        <f t="array" ref="G102">unf_pvt_dZdp($D55,G$36,gg,zcor)*100</f>
        <v>-0.38356183933108134</v>
      </c>
      <c r="H102" s="1" cm="1">
        <f t="array" ref="H102">unf_pvt_dZdp($D55,H$36,gg,zcor)*100</f>
        <v>-0.18957773524896915</v>
      </c>
      <c r="I102" s="1" cm="1">
        <f t="array" ref="I102">unf_pvt_dZdp($D55,I$36,gg,zcor)*100</f>
        <v>-2.8637065293546371E-2</v>
      </c>
      <c r="J102" s="1" cm="1">
        <f t="array" ref="J102">unf_pvt_dZdp($D55,J$36,gg,zcor)*100</f>
        <v>0.1141244590796564</v>
      </c>
      <c r="K102" s="1" cm="1">
        <f t="array" ref="K102">unf_pvt_dZdp($D55,K$36,gg,zcor)*100</f>
        <v>0.24456413720841397</v>
      </c>
      <c r="L102" s="1" cm="1">
        <f t="array" ref="L102">unf_pvt_dZdp($D55,L$36,gg,zcor)*100</f>
        <v>0.3658841501841259</v>
      </c>
      <c r="M102" s="1" cm="1">
        <f t="array" ref="M102">unf_pvt_dZdp($D55,M$36,gg,zcor)*100</f>
        <v>0.4801820364697118</v>
      </c>
      <c r="N102" s="1" cm="1">
        <f t="array" ref="N102">unf_pvt_dZdp($D55,N$36,gg,zcor)*100</f>
        <v>0.58899904159082084</v>
      </c>
      <c r="O102" s="1" cm="1">
        <f t="array" ref="O102">unf_pvt_dZdp($D55,O$36,gg,zcor)*100</f>
        <v>0.69356009518628525</v>
      </c>
      <c r="P102" s="1" cm="1">
        <f t="array" ref="P102">unf_pvt_dZdp($D55,P$36,gg,zcor)*100</f>
        <v>0.79489544547506341</v>
      </c>
      <c r="Q102" s="1" cm="1">
        <f t="array" ref="Q102">unf_pvt_dZdp($D55,Q$36,gg,zcor)*100</f>
        <v>0.89390968246672031</v>
      </c>
      <c r="R102" s="1" cm="1">
        <f t="array" ref="R102">unf_pvt_dZdp($D55,R$36,gg,zcor)*100</f>
        <v>0.9914247671072296</v>
      </c>
      <c r="S102" s="1" cm="1">
        <f t="array" ref="S102">unf_pvt_dZdp($D55,S$36,gg,zcor)*100</f>
        <v>1.0882091742625555</v>
      </c>
      <c r="T102" s="1" cm="1">
        <f t="array" ref="T102">unf_pvt_dZdp($D55,T$36,gg,zcor)*100</f>
        <v>1.1849991862500353</v>
      </c>
      <c r="U102" s="1" cm="1">
        <f t="array" ref="U102">unf_pvt_dZdp($D55,U$36,gg,zcor)*100</f>
        <v>1.282515586988886</v>
      </c>
      <c r="V102" s="1" cm="1">
        <f t="array" ref="V102">unf_pvt_dZdp($D55,V$36,gg,zcor)*100</f>
        <v>1.3814776310283605</v>
      </c>
      <c r="W102" s="1" cm="1">
        <f t="array" ref="W102">unf_pvt_dZdp($D55,W$36,gg,zcor)*100</f>
        <v>1.4826154425628957</v>
      </c>
      <c r="X102" s="1" cm="1">
        <f t="array" ref="X102">unf_pvt_dZdp($D55,X$36,gg,zcor)*100</f>
        <v>1.586681606482454</v>
      </c>
      <c r="Y102" s="1" cm="1">
        <f t="array" ref="Y102">unf_pvt_dZdp($D55,Y$36,gg,zcor)*100</f>
        <v>1.6944624928627583</v>
      </c>
      <c r="Z102" s="1" cm="1">
        <f t="array" ref="Z102">unf_pvt_dZdp($D55,Z$36,gg,zcor)*100</f>
        <v>1.8067897313511772</v>
      </c>
      <c r="AA102" s="1" cm="1">
        <f t="array" ref="AA102">unf_pvt_dZdp($D55,AA$36,gg,zcor)*100</f>
        <v>1.9245521834854173</v>
      </c>
      <c r="AB102" s="1" cm="1">
        <f t="array" ref="AB102">unf_pvt_dZdp($D55,AB$36,gg,zcor)*100</f>
        <v>2.04870872759777</v>
      </c>
      <c r="AC102" s="1" cm="1">
        <f t="array" ref="AC102">unf_pvt_dZdp($D55,AC$36,gg,zcor)*100</f>
        <v>2.1803021614474893</v>
      </c>
      <c r="AD102" s="1" cm="1">
        <f t="array" ref="AD102">unf_pvt_dZdp($D55,AD$36,gg,zcor)*100</f>
        <v>2.3204745351557143</v>
      </c>
      <c r="AE102" s="1" cm="1">
        <f t="array" ref="AE102">unf_pvt_dZdp($D55,AE$36,gg,zcor)*100</f>
        <v>2.4704842487377476</v>
      </c>
      <c r="AF102" s="1" cm="1">
        <f t="array" ref="AF102">unf_pvt_dZdp($D55,AF$36,gg,zcor)*100</f>
        <v>2.6317252821161929</v>
      </c>
      <c r="AG102" s="1" cm="1">
        <f t="array" ref="AG102">unf_pvt_dZdp($D55,AG$36,gg,zcor)*100</f>
        <v>2.805748971672628</v>
      </c>
      <c r="AH102" s="1" cm="1">
        <f t="array" ref="AH102">unf_pvt_dZdp($D55,AH$36,gg,zcor)*100</f>
        <v>2.994288805546752</v>
      </c>
      <c r="AI102" s="1" cm="1">
        <f t="array" ref="AI102">unf_pvt_dZdp($D55,AI$36,gg,zcor)*100</f>
        <v>3.1992887822096527</v>
      </c>
      <c r="AJ102" s="1" cm="1">
        <f t="array" ref="AJ102">unf_pvt_dZdp($D55,AJ$36,gg,zcor)*100</f>
        <v>3.4229359645676638</v>
      </c>
      <c r="AK102" s="1" cm="1">
        <f t="array" ref="AK102">unf_pvt_dZdp($D55,AK$36,gg,zcor)*100</f>
        <v>3.6676979675576149</v>
      </c>
    </row>
    <row r="103" spans="5:37" x14ac:dyDescent="0.25">
      <c r="E103" t="str">
        <f t="shared" si="4"/>
        <v>t=180 C</v>
      </c>
      <c r="F103" s="1" cm="1">
        <f t="array" ref="F103">unf_pvt_dZdp($D56,F$36,gg,zcor)*100</f>
        <v>-0.67196217669041047</v>
      </c>
      <c r="G103" s="1" cm="1">
        <f t="array" ref="G103">unf_pvt_dZdp($D56,G$36,gg,zcor)*100</f>
        <v>-0.34407020053084381</v>
      </c>
      <c r="H103" s="1" cm="1">
        <f t="array" ref="H103">unf_pvt_dZdp($D56,H$36,gg,zcor)*100</f>
        <v>-0.15296417011700925</v>
      </c>
      <c r="I103" s="1" cm="1">
        <f t="array" ref="I103">unf_pvt_dZdp($D56,I$36,gg,zcor)*100</f>
        <v>5.6041098239756337E-3</v>
      </c>
      <c r="J103" s="1" cm="1">
        <f t="array" ref="J103">unf_pvt_dZdp($D56,J$36,gg,zcor)*100</f>
        <v>0.14642418298072002</v>
      </c>
      <c r="K103" s="1" cm="1">
        <f t="array" ref="K103">unf_pvt_dZdp($D56,K$36,gg,zcor)*100</f>
        <v>0.27536307420916728</v>
      </c>
      <c r="L103" s="1" cm="1">
        <f t="array" ref="L103">unf_pvt_dZdp($D56,L$36,gg,zcor)*100</f>
        <v>0.39562990983066371</v>
      </c>
      <c r="M103" s="1" cm="1">
        <f t="array" ref="M103">unf_pvt_dZdp($D56,M$36,gg,zcor)*100</f>
        <v>0.50932340561082867</v>
      </c>
      <c r="N103" s="1" cm="1">
        <f t="array" ref="N103">unf_pvt_dZdp($D56,N$36,gg,zcor)*100</f>
        <v>0.6179833633646048</v>
      </c>
      <c r="O103" s="1" cm="1">
        <f t="array" ref="O103">unf_pvt_dZdp($D56,O$36,gg,zcor)*100</f>
        <v>0.72283330054156991</v>
      </c>
      <c r="P103" s="1" cm="1">
        <f t="array" ref="P103">unf_pvt_dZdp($D56,P$36,gg,zcor)*100</f>
        <v>0.82490387880884697</v>
      </c>
      <c r="Q103" s="1" cm="1">
        <f t="array" ref="Q103">unf_pvt_dZdp($D56,Q$36,gg,zcor)*100</f>
        <v>0.92510313033589142</v>
      </c>
      <c r="R103" s="1" cm="1">
        <f t="array" ref="R103">unf_pvt_dZdp($D56,R$36,gg,zcor)*100</f>
        <v>1.0242603391397154</v>
      </c>
      <c r="S103" s="1" cm="1">
        <f t="array" ref="S103">unf_pvt_dZdp($D56,S$36,gg,zcor)*100</f>
        <v>1.1231558462032609</v>
      </c>
      <c r="T103" s="1" cm="1">
        <f t="array" ref="T103">unf_pvt_dZdp($D56,T$36,gg,zcor)*100</f>
        <v>1.222542918413172</v>
      </c>
      <c r="U103" s="1" cm="1">
        <f t="array" ref="U103">unf_pvt_dZdp($D56,U$36,gg,zcor)*100</f>
        <v>1.323164999365023</v>
      </c>
      <c r="V103" s="1" cm="1">
        <f t="array" ref="V103">unf_pvt_dZdp($D56,V$36,gg,zcor)*100</f>
        <v>1.4257702635878111</v>
      </c>
      <c r="W103" s="1" cm="1">
        <f t="array" ref="W103">unf_pvt_dZdp($D56,W$36,gg,zcor)*100</f>
        <v>1.5311246645755006</v>
      </c>
      <c r="X103" s="1" cm="1">
        <f t="array" ref="X103">unf_pvt_dZdp($D56,X$36,gg,zcor)*100</f>
        <v>1.6400242680592036</v>
      </c>
      <c r="Y103" s="1" cm="1">
        <f t="array" ref="Y103">unf_pvt_dZdp($D56,Y$36,gg,zcor)*100</f>
        <v>1.7533074384901148</v>
      </c>
      <c r="Z103" s="1" cm="1">
        <f t="array" ref="Z103">unf_pvt_dZdp($D56,Z$36,gg,zcor)*100</f>
        <v>1.8718673216411297</v>
      </c>
      <c r="AA103" s="1" cm="1">
        <f t="array" ref="AA103">unf_pvt_dZdp($D56,AA$36,gg,zcor)*100</f>
        <v>1.9966649993707897</v>
      </c>
      <c r="AB103" s="1" cm="1">
        <f t="array" ref="AB103">unf_pvt_dZdp($D56,AB$36,gg,zcor)*100</f>
        <v>2.1287436622707823</v>
      </c>
      <c r="AC103" s="1" cm="1">
        <f t="array" ref="AC103">unf_pvt_dZdp($D56,AC$36,gg,zcor)*100</f>
        <v>2.2692441406313435</v>
      </c>
      <c r="AD103" s="1" cm="1">
        <f t="array" ref="AD103">unf_pvt_dZdp($D56,AD$36,gg,zcor)*100</f>
        <v>2.4194221473905486</v>
      </c>
      <c r="AE103" s="1" cm="1">
        <f t="array" ref="AE103">unf_pvt_dZdp($D56,AE$36,gg,zcor)*100</f>
        <v>2.5806676151685082</v>
      </c>
      <c r="AF103" s="1" cm="1">
        <f t="array" ref="AF103">unf_pvt_dZdp($D56,AF$36,gg,zcor)*100</f>
        <v>2.7545265520423357</v>
      </c>
      <c r="AG103" s="1" cm="1">
        <f t="array" ref="AG103">unf_pvt_dZdp($D56,AG$36,gg,zcor)*100</f>
        <v>2.9427258967040792</v>
      </c>
      <c r="AH103" s="1" cm="1">
        <f t="array" ref="AH103">unf_pvt_dZdp($D56,AH$36,gg,zcor)*100</f>
        <v>3.1472019247447136</v>
      </c>
      <c r="AI103" s="1" cm="1">
        <f t="array" ref="AI103">unf_pvt_dZdp($D56,AI$36,gg,zcor)*100</f>
        <v>3.3701328446755774</v>
      </c>
      <c r="AJ103" s="1" cm="1">
        <f t="array" ref="AJ103">unf_pvt_dZdp($D56,AJ$36,gg,zcor)*100</f>
        <v>3.6139763280740311</v>
      </c>
      <c r="AK103" s="1" cm="1">
        <f t="array" ref="AK103">unf_pvt_dZdp($D56,AK$36,gg,zcor)*100</f>
        <v>3.8815128455760295</v>
      </c>
    </row>
    <row r="104" spans="5:37" x14ac:dyDescent="0.25">
      <c r="E104" t="str">
        <f t="shared" si="4"/>
        <v>t=190 C</v>
      </c>
      <c r="F104" s="1" cm="1">
        <f t="array" ref="F104">unf_pvt_dZdp($D57,F$36,gg,zcor)*100</f>
        <v>-0.6239967762378118</v>
      </c>
      <c r="G104" s="1" cm="1">
        <f t="array" ref="G104">unf_pvt_dZdp($D57,G$36,gg,zcor)*100</f>
        <v>-0.30852211513776595</v>
      </c>
      <c r="H104" s="1" cm="1">
        <f t="array" ref="H104">unf_pvt_dZdp($D57,H$36,gg,zcor)*100</f>
        <v>-0.12143408674059053</v>
      </c>
      <c r="I104" s="1" cm="1">
        <f t="array" ref="I104">unf_pvt_dZdp($D57,I$36,gg,zcor)*100</f>
        <v>3.4327199069927872E-2</v>
      </c>
      <c r="J104" s="1" cm="1">
        <f t="array" ref="J104">unf_pvt_dZdp($D57,J$36,gg,zcor)*100</f>
        <v>0.1730611687333905</v>
      </c>
      <c r="K104" s="1" cm="1">
        <f t="array" ref="K104">unf_pvt_dZdp($D57,K$36,gg,zcor)*100</f>
        <v>0.30050288054472851</v>
      </c>
      <c r="L104" s="1" cm="1">
        <f t="array" ref="L104">unf_pvt_dZdp($D57,L$36,gg,zcor)*100</f>
        <v>0.41980483634684873</v>
      </c>
      <c r="M104" s="1" cm="1">
        <f t="array" ref="M104">unf_pvt_dZdp($D57,M$36,gg,zcor)*100</f>
        <v>0.53303427731465902</v>
      </c>
      <c r="N104" s="1" cm="1">
        <f t="array" ref="N104">unf_pvt_dZdp($D57,N$36,gg,zcor)*100</f>
        <v>0.64171154096737126</v>
      </c>
      <c r="O104" s="1" cm="1">
        <f t="array" ref="O104">unf_pvt_dZdp($D57,O$36,gg,zcor)*100</f>
        <v>0.74704849010842622</v>
      </c>
      <c r="P104" s="1" cm="1">
        <f t="array" ref="P104">unf_pvt_dZdp($D57,P$36,gg,zcor)*100</f>
        <v>0.85007045880436394</v>
      </c>
      <c r="Q104" s="1" cm="1">
        <f t="array" ref="Q104">unf_pvt_dZdp($D57,Q$36,gg,zcor)*100</f>
        <v>0.95168597257000442</v>
      </c>
      <c r="R104" s="1" cm="1">
        <f t="array" ref="R104">unf_pvt_dZdp($D57,R$36,gg,zcor)*100</f>
        <v>1.0527305360885642</v>
      </c>
      <c r="S104" s="1" cm="1">
        <f t="array" ref="S104">unf_pvt_dZdp($D57,S$36,gg,zcor)*100</f>
        <v>1.1539965580897871</v>
      </c>
      <c r="T104" s="1" cm="1">
        <f t="array" ref="T104">unf_pvt_dZdp($D57,T$36,gg,zcor)*100</f>
        <v>1.2562554816786253</v>
      </c>
      <c r="U104" s="1" cm="1">
        <f t="array" ref="U104">unf_pvt_dZdp($D57,U$36,gg,zcor)*100</f>
        <v>1.3602754152564067</v>
      </c>
      <c r="V104" s="1" cm="1">
        <f t="array" ref="V104">unf_pvt_dZdp($D57,V$36,gg,zcor)*100</f>
        <v>1.4668361832015364</v>
      </c>
      <c r="W104" s="1" cm="1">
        <f t="array" ref="W104">unf_pvt_dZdp($D57,W$36,gg,zcor)*100</f>
        <v>1.5767429944690825</v>
      </c>
      <c r="X104" s="1" cm="1">
        <f t="array" ref="X104">unf_pvt_dZdp($D57,X$36,gg,zcor)*100</f>
        <v>1.6908395339720883</v>
      </c>
      <c r="Y104" s="1" cm="1">
        <f t="array" ref="Y104">unf_pvt_dZdp($D57,Y$36,gg,zcor)*100</f>
        <v>1.8100210626892377</v>
      </c>
      <c r="Z104" s="1" cm="1">
        <f t="array" ref="Z104">unf_pvt_dZdp($D57,Z$36,gg,zcor)*100</f>
        <v>1.9352479916601162</v>
      </c>
      <c r="AA104" s="1" cm="1">
        <f t="array" ref="AA104">unf_pvt_dZdp($D57,AA$36,gg,zcor)*100</f>
        <v>2.0675603325015501</v>
      </c>
      <c r="AB104" s="1" cm="1">
        <f t="array" ref="AB104">unf_pvt_dZdp($D57,AB$36,gg,zcor)*100</f>
        <v>2.2080934020363152</v>
      </c>
      <c r="AC104" s="1" cm="1">
        <f t="array" ref="AC104">unf_pvt_dZdp($D57,AC$36,gg,zcor)*100</f>
        <v>2.3580951594182054</v>
      </c>
      <c r="AD104" s="1" cm="1">
        <f t="array" ref="AD104">unf_pvt_dZdp($D57,AD$36,gg,zcor)*100</f>
        <v>2.5189455743945821</v>
      </c>
      <c r="AE104" s="1" cm="1">
        <f t="array" ref="AE104">unf_pvt_dZdp($D57,AE$36,gg,zcor)*100</f>
        <v>2.6921784624356349</v>
      </c>
      <c r="AF104" s="1" cm="1">
        <f t="array" ref="AF104">unf_pvt_dZdp($D57,AF$36,gg,zcor)*100</f>
        <v>2.8795062750619493</v>
      </c>
      <c r="AG104" s="1" cm="1">
        <f t="array" ref="AG104">unf_pvt_dZdp($D57,AG$36,gg,zcor)*100</f>
        <v>3.0828484018941005</v>
      </c>
      <c r="AH104" s="1" cm="1">
        <f t="array" ref="AH104">unf_pvt_dZdp($D57,AH$36,gg,zcor)*100</f>
        <v>3.304363626408513</v>
      </c>
      <c r="AI104" s="1" cm="1">
        <f t="array" ref="AI104">unf_pvt_dZdp($D57,AI$36,gg,zcor)*100</f>
        <v>3.5464874817892067</v>
      </c>
      <c r="AJ104" s="1" cm="1">
        <f t="array" ref="AJ104">unf_pvt_dZdp($D57,AJ$36,gg,zcor)*100</f>
        <v>3.8119753796905798</v>
      </c>
      <c r="AK104" s="1" cm="1">
        <f t="array" ref="AK104">unf_pvt_dZdp($D57,AK$36,gg,zcor)*100</f>
        <v>4.1039525370800689</v>
      </c>
    </row>
    <row r="105" spans="5:37" x14ac:dyDescent="0.25">
      <c r="E105" t="str">
        <f t="shared" si="4"/>
        <v>t=200 C</v>
      </c>
      <c r="F105" s="1" cm="1">
        <f t="array" ref="F105">unf_pvt_dZdp($D58,F$36,gg,zcor)*100</f>
        <v>-0.57454189457462057</v>
      </c>
      <c r="G105" s="1" cm="1">
        <f t="array" ref="G105">unf_pvt_dZdp($D58,G$36,gg,zcor)*100</f>
        <v>-0.27625187952073915</v>
      </c>
      <c r="H105" s="1" cm="1">
        <f t="array" ref="H105">unf_pvt_dZdp($D58,H$36,gg,zcor)*100</f>
        <v>-9.4562509367346337E-2</v>
      </c>
      <c r="I105" s="1" cm="1">
        <f t="array" ref="I105">unf_pvt_dZdp($D58,I$36,gg,zcor)*100</f>
        <v>5.7729039883991362E-2</v>
      </c>
      <c r="J105" s="1" cm="1">
        <f t="array" ref="J105">unf_pvt_dZdp($D58,J$36,gg,zcor)*100</f>
        <v>0.19403008941099031</v>
      </c>
      <c r="K105" s="1" cm="1">
        <f t="array" ref="K105">unf_pvt_dZdp($D58,K$36,gg,zcor)*100</f>
        <v>0.31979959901562438</v>
      </c>
      <c r="L105" s="1" cm="1">
        <f t="array" ref="L105">unf_pvt_dZdp($D58,L$36,gg,zcor)*100</f>
        <v>0.43806627904263706</v>
      </c>
      <c r="M105" s="1" cm="1">
        <f t="array" ref="M105">unf_pvt_dZdp($D58,M$36,gg,zcor)*100</f>
        <v>0.5508301433176932</v>
      </c>
      <c r="N105" s="1" cm="1">
        <f t="array" ref="N105">unf_pvt_dZdp($D58,N$36,gg,zcor)*100</f>
        <v>0.65957155921836375</v>
      </c>
      <c r="O105" s="1" cm="1">
        <f t="array" ref="O105">unf_pvt_dZdp($D58,O$36,gg,zcor)*100</f>
        <v>0.76547852052355481</v>
      </c>
      <c r="P105" s="1" cm="1">
        <f t="array" ref="P105">unf_pvt_dZdp($D58,P$36,gg,zcor)*100</f>
        <v>0.86956372209012756</v>
      </c>
      <c r="Q105" s="1" cm="1">
        <f t="array" ref="Q105">unf_pvt_dZdp($D58,Q$36,gg,zcor)*100</f>
        <v>0.97273197592562255</v>
      </c>
      <c r="R105" s="1" cm="1">
        <f t="array" ref="R105">unf_pvt_dZdp($D58,R$36,gg,zcor)*100</f>
        <v>1.0758228938678727</v>
      </c>
      <c r="S105" s="1" cm="1">
        <f t="array" ref="S105">unf_pvt_dZdp($D58,S$36,gg,zcor)*100</f>
        <v>1.1796403424924051</v>
      </c>
      <c r="T105" s="1" cm="1">
        <f t="array" ref="T105">unf_pvt_dZdp($D58,T$36,gg,zcor)*100</f>
        <v>1.2849744869147806</v>
      </c>
      <c r="U105" s="1" cm="1">
        <f t="array" ref="U105">unf_pvt_dZdp($D58,U$36,gg,zcor)*100</f>
        <v>1.3926196011659897</v>
      </c>
      <c r="V105" s="1" cm="1">
        <f t="array" ref="V105">unf_pvt_dZdp($D58,V$36,gg,zcor)*100</f>
        <v>1.5033895101890238</v>
      </c>
      <c r="W105" s="1" cm="1">
        <f t="array" ref="W105">unf_pvt_dZdp($D58,W$36,gg,zcor)*100</f>
        <v>1.6181318398511557</v>
      </c>
      <c r="X105" s="1" cm="1">
        <f t="array" ref="X105">unf_pvt_dZdp($D58,X$36,gg,zcor)*100</f>
        <v>1.7377418765307517</v>
      </c>
      <c r="Y105" s="1" cm="1">
        <f t="array" ref="Y105">unf_pvt_dZdp($D58,Y$36,gg,zcor)*100</f>
        <v>1.8631766309229469</v>
      </c>
      <c r="Z105" s="1" cm="1">
        <f t="array" ref="Z105">unf_pvt_dZdp($D58,Z$36,gg,zcor)*100</f>
        <v>1.9954695887403062</v>
      </c>
      <c r="AA105" s="1" cm="1">
        <f t="array" ref="AA105">unf_pvt_dZdp($D58,AA$36,gg,zcor)*100</f>
        <v>2.1357465762306127</v>
      </c>
      <c r="AB105" s="1" cm="1">
        <f t="array" ref="AB105">unf_pvt_dZdp($D58,AB$36,gg,zcor)*100</f>
        <v>2.2852431508946225</v>
      </c>
      <c r="AC105" s="1" cm="1">
        <f t="array" ref="AC105">unf_pvt_dZdp($D58,AC$36,gg,zcor)*100</f>
        <v>2.4453239363930734</v>
      </c>
      <c r="AD105" s="1" cm="1">
        <f t="array" ref="AD105">unf_pvt_dZdp($D58,AD$36,gg,zcor)*100</f>
        <v>2.617504350004296</v>
      </c>
      <c r="AE105" s="1" cm="1">
        <f t="array" ref="AE105">unf_pvt_dZdp($D58,AE$36,gg,zcor)*100</f>
        <v>2.803475218133844</v>
      </c>
      <c r="AF105" s="1" cm="1">
        <f t="array" ref="AF105">unf_pvt_dZdp($D58,AF$36,gg,zcor)*100</f>
        <v>3.0051308399436927</v>
      </c>
      <c r="AG105" s="1" cm="1">
        <f t="array" ref="AG105">unf_pvt_dZdp($D58,AG$36,gg,zcor)*100</f>
        <v>3.2246011416292575</v>
      </c>
      <c r="AH105" s="1" cm="1">
        <f t="array" ref="AH105">unf_pvt_dZdp($D58,AH$36,gg,zcor)*100</f>
        <v>3.4642886660241068</v>
      </c>
      <c r="AI105" s="1" cm="1">
        <f t="array" ref="AI105">unf_pvt_dZdp($D58,AI$36,gg,zcor)*100</f>
        <v>3.7269112668547599</v>
      </c>
      <c r="AJ105" s="1" cm="1">
        <f t="array" ref="AJ105">unf_pvt_dZdp($D58,AJ$36,gg,zcor)*100</f>
        <v>4.0155515274475917</v>
      </c>
      <c r="AK105" s="1" cm="1">
        <f t="array" ref="AK105">unf_pvt_dZdp($D58,AK$36,gg,zcor)*100</f>
        <v>4.333714105115849</v>
      </c>
    </row>
    <row r="106" spans="5:37" x14ac:dyDescent="0.25"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5:37" x14ac:dyDescent="0.25"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</sheetData>
  <conditionalFormatting sqref="F38:AK1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ime_compare">
                <anchor moveWithCells="1" sizeWithCells="1">
                  <from>
                    <xdr:col>26</xdr:col>
                    <xdr:colOff>285750</xdr:colOff>
                    <xdr:row>1</xdr:row>
                    <xdr:rowOff>190500</xdr:rowOff>
                  </from>
                  <to>
                    <xdr:col>29</xdr:col>
                    <xdr:colOff>342900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3" baseType="lpstr">
      <vt:lpstr>z</vt:lpstr>
      <vt:lpstr>gg</vt:lpstr>
      <vt:lpstr>zcor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2020-04-28T06:34:49Z</dcterms:created>
  <dcterms:modified xsi:type="dcterms:W3CDTF">2020-05-04T09:22:18Z</dcterms:modified>
</cp:coreProperties>
</file>