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4863A356-0369-4850-8BBF-B4E52371F199}" xr6:coauthVersionLast="47" xr6:coauthVersionMax="47" xr10:uidLastSave="{00000000-0000-0000-0000-000000000000}"/>
  <bookViews>
    <workbookView xWindow="-98" yWindow="-98" windowWidth="20715" windowHeight="13276" tabRatio="532" xr2:uid="{FF088AEC-2D6A-4BCA-937C-EA8B49A23D3A}"/>
  </bookViews>
  <sheets>
    <sheet name="z" sheetId="1" r:id="rId1"/>
  </sheets>
  <externalReferences>
    <externalReference r:id="rId2"/>
  </externalReferences>
  <definedNames>
    <definedName name="gg">z!$L$3</definedName>
    <definedName name="zcor">z!$L$4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8" i="1" l="1"/>
  <c r="E82" i="1" s="1"/>
  <c r="E105" i="1" s="1"/>
  <c r="D58" i="1"/>
  <c r="E57" i="1"/>
  <c r="E81" i="1" s="1"/>
  <c r="E104" i="1" s="1"/>
  <c r="D57" i="1"/>
  <c r="E56" i="1"/>
  <c r="E80" i="1" s="1"/>
  <c r="E103" i="1" s="1"/>
  <c r="D56" i="1"/>
  <c r="E55" i="1"/>
  <c r="E79" i="1" s="1"/>
  <c r="E102" i="1" s="1"/>
  <c r="D55" i="1"/>
  <c r="E54" i="1"/>
  <c r="E78" i="1" s="1"/>
  <c r="E101" i="1" s="1"/>
  <c r="D54" i="1"/>
  <c r="E53" i="1"/>
  <c r="E77" i="1" s="1"/>
  <c r="E100" i="1" s="1"/>
  <c r="D53" i="1"/>
  <c r="E52" i="1"/>
  <c r="E76" i="1" s="1"/>
  <c r="E99" i="1" s="1"/>
  <c r="D52" i="1"/>
  <c r="E51" i="1"/>
  <c r="E75" i="1" s="1"/>
  <c r="E98" i="1" s="1"/>
  <c r="D51" i="1"/>
  <c r="E50" i="1"/>
  <c r="E74" i="1" s="1"/>
  <c r="E97" i="1" s="1"/>
  <c r="D50" i="1"/>
  <c r="E49" i="1"/>
  <c r="E73" i="1" s="1"/>
  <c r="E96" i="1" s="1"/>
  <c r="D49" i="1"/>
  <c r="E48" i="1"/>
  <c r="E72" i="1" s="1"/>
  <c r="E95" i="1" s="1"/>
  <c r="D48" i="1"/>
  <c r="E47" i="1"/>
  <c r="E71" i="1" s="1"/>
  <c r="E94" i="1" s="1"/>
  <c r="D47" i="1"/>
  <c r="E46" i="1"/>
  <c r="E70" i="1" s="1"/>
  <c r="E93" i="1" s="1"/>
  <c r="D46" i="1"/>
  <c r="E45" i="1"/>
  <c r="E69" i="1" s="1"/>
  <c r="E92" i="1" s="1"/>
  <c r="D45" i="1"/>
  <c r="E44" i="1"/>
  <c r="E68" i="1" s="1"/>
  <c r="E91" i="1" s="1"/>
  <c r="D44" i="1"/>
  <c r="E43" i="1"/>
  <c r="E67" i="1" s="1"/>
  <c r="E90" i="1" s="1"/>
  <c r="D43" i="1"/>
  <c r="E42" i="1"/>
  <c r="E66" i="1" s="1"/>
  <c r="E89" i="1" s="1"/>
  <c r="D42" i="1"/>
  <c r="E41" i="1"/>
  <c r="E65" i="1" s="1"/>
  <c r="E88" i="1" s="1"/>
  <c r="D41" i="1"/>
  <c r="E40" i="1"/>
  <c r="E64" i="1" s="1"/>
  <c r="E87" i="1" s="1"/>
  <c r="D40" i="1"/>
  <c r="E39" i="1"/>
  <c r="E63" i="1" s="1"/>
  <c r="E86" i="1" s="1"/>
  <c r="D39" i="1"/>
  <c r="E38" i="1"/>
  <c r="E62" i="1" s="1"/>
  <c r="E85" i="1" s="1"/>
  <c r="D38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I39" i="1" a="1"/>
  <c r="AF62" i="1" a="1"/>
  <c r="AB54" i="1" a="1"/>
  <c r="N58" i="1" a="1"/>
  <c r="AE55" i="1" a="1"/>
  <c r="AH64" i="1" a="1"/>
  <c r="AK101" i="1" a="1"/>
  <c r="AE50" i="1" a="1"/>
  <c r="H52" i="1" a="1"/>
  <c r="O105" i="1" a="1"/>
  <c r="V54" i="1" a="1"/>
  <c r="N49" i="1" a="1"/>
  <c r="T105" i="1" a="1"/>
  <c r="G50" i="1" a="1"/>
  <c r="AC89" i="1" a="1"/>
  <c r="X97" i="1" a="1"/>
  <c r="Y91" i="1" a="1"/>
  <c r="K96" i="1" a="1"/>
  <c r="L96" i="1" a="1"/>
  <c r="U81" i="1" a="1"/>
  <c r="AD85" i="1" a="1"/>
  <c r="T81" i="1" a="1"/>
  <c r="U91" i="1" a="1"/>
  <c r="AG92" i="1" a="1"/>
  <c r="Y86" i="1" a="1"/>
  <c r="V99" i="1" a="1"/>
  <c r="AF98" i="1" a="1"/>
  <c r="G77" i="1" a="1"/>
  <c r="W72" i="1" a="1"/>
  <c r="T80" i="1" a="1"/>
  <c r="O77" i="1" a="1"/>
  <c r="Z77" i="1" a="1"/>
  <c r="Y72" i="1" a="1"/>
  <c r="Y62" i="1" a="1"/>
  <c r="F62" i="1" a="1"/>
  <c r="K64" i="1" a="1"/>
  <c r="Z57" i="1" a="1"/>
  <c r="Q46" i="1" a="1"/>
  <c r="AI47" i="1" a="1"/>
  <c r="P105" i="1" a="1"/>
  <c r="K51" i="1" a="1"/>
  <c r="U51" i="1" a="1"/>
  <c r="X105" i="1" a="1"/>
  <c r="P50" i="1" a="1"/>
  <c r="T98" i="1" a="1"/>
  <c r="F94" i="1" a="1"/>
  <c r="AE94" i="1" a="1"/>
  <c r="U102" i="1" a="1"/>
  <c r="AJ95" i="1" a="1"/>
  <c r="X90" i="1" a="1"/>
  <c r="P88" i="1" a="1"/>
  <c r="X100" i="1" a="1"/>
  <c r="P87" i="1" a="1"/>
  <c r="S87" i="1" a="1"/>
  <c r="N81" i="1" a="1"/>
  <c r="N82" i="1" a="1"/>
  <c r="K80" i="1" a="1"/>
  <c r="W86" i="1" a="1"/>
  <c r="R72" i="1" a="1"/>
  <c r="AA63" i="1" a="1"/>
  <c r="F54" i="1" a="1"/>
  <c r="T58" i="1" a="1"/>
  <c r="S56" i="1" a="1"/>
  <c r="J65" i="1" a="1"/>
  <c r="I102" i="1" a="1"/>
  <c r="AG49" i="1" a="1"/>
  <c r="AK50" i="1" a="1"/>
  <c r="AJ104" i="1" a="1"/>
  <c r="U52" i="1" a="1"/>
  <c r="Y48" i="1" a="1"/>
  <c r="AH103" i="1" a="1"/>
  <c r="AF64" i="1" a="1"/>
  <c r="Q89" i="1" a="1"/>
  <c r="Y97" i="1" a="1"/>
  <c r="L92" i="1" a="1"/>
  <c r="S96" i="1" a="1"/>
  <c r="U95" i="1" a="1"/>
  <c r="AK80" i="1" a="1"/>
  <c r="AG52" i="1" a="1"/>
  <c r="F81" i="1" a="1"/>
  <c r="AK89" i="1" a="1"/>
  <c r="N91" i="1" a="1"/>
  <c r="G86" i="1" a="1"/>
  <c r="W96" i="1" a="1"/>
  <c r="K81" i="1" a="1"/>
  <c r="Z76" i="1" a="1"/>
  <c r="K58" i="1" a="1"/>
  <c r="AA53" i="1" a="1"/>
  <c r="AJ55" i="1" a="1"/>
  <c r="G54" i="1" a="1"/>
  <c r="AC49" i="1" a="1"/>
  <c r="J54" i="1" a="1"/>
  <c r="T65" i="1" a="1"/>
  <c r="V48" i="1" a="1"/>
  <c r="Y58" i="1" a="1"/>
  <c r="P48" i="1" a="1"/>
  <c r="G56" i="1" a="1"/>
  <c r="W65" i="1" a="1"/>
  <c r="K101" i="1" a="1"/>
  <c r="I52" i="1" a="1"/>
  <c r="X94" i="1" a="1"/>
  <c r="AF48" i="1" a="1"/>
  <c r="X92" i="1" a="1"/>
  <c r="AF94" i="1" a="1"/>
  <c r="W79" i="1" a="1"/>
  <c r="K95" i="1" a="1"/>
  <c r="H79" i="1" a="1"/>
  <c r="X85" i="1" a="1"/>
  <c r="F88" i="1" a="1"/>
  <c r="AD98" i="1" a="1"/>
  <c r="R90" i="1" a="1"/>
  <c r="Q76" i="1" a="1"/>
  <c r="U93" i="1" a="1"/>
  <c r="F69" i="1" a="1"/>
  <c r="AJ73" i="1" a="1"/>
  <c r="L93" i="1" a="1"/>
  <c r="AK73" i="1" a="1"/>
  <c r="G63" i="1" a="1"/>
  <c r="AA57" i="1" a="1"/>
  <c r="V63" i="1" a="1"/>
  <c r="M58" i="1" a="1"/>
  <c r="Z51" i="1" a="1"/>
  <c r="AF103" i="1" a="1"/>
  <c r="AI55" i="1" a="1"/>
  <c r="O58" i="1" a="1"/>
  <c r="O65" i="1" a="1"/>
  <c r="AJ46" i="1" a="1"/>
  <c r="AF52" i="1" a="1"/>
  <c r="Z46" i="1" a="1"/>
  <c r="AD54" i="1" a="1"/>
  <c r="H92" i="1" a="1"/>
  <c r="AC102" i="1" a="1"/>
  <c r="G94" i="1" a="1"/>
  <c r="K100" i="1" a="1"/>
  <c r="G103" i="1" a="1"/>
  <c r="R82" i="1" a="1"/>
  <c r="AI89" i="1" a="1"/>
  <c r="AD81" i="1" a="1"/>
  <c r="M100" i="1" a="1"/>
  <c r="Z105" i="1" a="1"/>
  <c r="AE91" i="1" a="1"/>
  <c r="K87" i="1" a="1"/>
  <c r="H82" i="1" a="1"/>
  <c r="AJ69" i="1" a="1"/>
  <c r="AK63" i="1" a="1"/>
  <c r="AF63" i="1" a="1"/>
  <c r="J55" i="1" a="1"/>
  <c r="AK53" i="1" a="1"/>
  <c r="Y49" i="1" a="1"/>
  <c r="AI52" i="1" a="1"/>
  <c r="R46" i="1" a="1"/>
  <c r="AA47" i="1" a="1"/>
  <c r="AG56" i="1" a="1"/>
  <c r="L48" i="1" a="1"/>
  <c r="AK54" i="1" a="1"/>
  <c r="AC101" i="1" a="1"/>
  <c r="AG99" i="1" a="1"/>
  <c r="L65" i="1" a="1"/>
  <c r="AD48" i="1" a="1"/>
  <c r="V105" i="1" a="1"/>
  <c r="AC92" i="1" a="1"/>
  <c r="AD93" i="1" a="1"/>
  <c r="U79" i="1" a="1"/>
  <c r="V94" i="1" a="1"/>
  <c r="W46" i="1" a="1"/>
  <c r="AC82" i="1" a="1"/>
  <c r="N87" i="1" a="1"/>
  <c r="G99" i="1" a="1"/>
  <c r="AG88" i="1" a="1"/>
  <c r="N75" i="1" a="1"/>
  <c r="O90" i="1" a="1"/>
  <c r="L69" i="1" a="1"/>
  <c r="AH73" i="1" a="1"/>
  <c r="G90" i="1" a="1"/>
  <c r="AG96" i="1" a="1"/>
  <c r="AF76" i="1" a="1"/>
  <c r="X64" i="1" a="1"/>
  <c r="Y64" i="1" a="1"/>
  <c r="G55" i="1" a="1"/>
  <c r="T54" i="1" a="1"/>
  <c r="J49" i="1" a="1"/>
  <c r="T52" i="1" a="1"/>
  <c r="P46" i="1" a="1"/>
  <c r="G65" i="1" a="1"/>
  <c r="Y56" i="1" a="1"/>
  <c r="I48" i="1" a="1"/>
  <c r="X55" i="1" a="1"/>
  <c r="AH101" i="1" a="1"/>
  <c r="AH97" i="1" a="1"/>
  <c r="G102" i="1" a="1"/>
  <c r="K47" i="1" a="1"/>
  <c r="J102" i="1" a="1"/>
  <c r="AA92" i="1" a="1"/>
  <c r="AJ92" i="1" a="1"/>
  <c r="Q78" i="1" a="1"/>
  <c r="H93" i="1" a="1"/>
  <c r="AF99" i="1" a="1"/>
  <c r="M82" i="1" a="1"/>
  <c r="R87" i="1" a="1"/>
  <c r="M99" i="1" a="1"/>
  <c r="M89" i="1" a="1"/>
  <c r="J74" i="1" a="1"/>
  <c r="AE62" i="1" a="1"/>
  <c r="K54" i="1" a="1"/>
  <c r="AH56" i="1" a="1"/>
  <c r="K56" i="1" a="1"/>
  <c r="P53" i="1" a="1"/>
  <c r="N101" i="1" a="1"/>
  <c r="O49" i="1" a="1"/>
  <c r="AA50" i="1" a="1"/>
  <c r="AA103" i="1" a="1"/>
  <c r="X51" i="1" a="1"/>
  <c r="H47" i="1" a="1"/>
  <c r="AI58" i="1" a="1"/>
  <c r="AB58" i="1" a="1"/>
  <c r="O64" i="1" a="1"/>
  <c r="T57" i="1" a="1"/>
  <c r="V46" i="1" a="1"/>
  <c r="U49" i="1" a="1"/>
  <c r="H105" i="1" a="1"/>
  <c r="AH50" i="1" a="1"/>
  <c r="AJ50" i="1" a="1"/>
  <c r="X46" i="1" a="1"/>
  <c r="W50" i="1" a="1"/>
  <c r="AB97" i="1" a="1"/>
  <c r="AE93" i="1" a="1"/>
  <c r="P96" i="1" a="1"/>
  <c r="AF101" i="1" a="1"/>
  <c r="W95" i="1" a="1"/>
  <c r="AB90" i="1" a="1"/>
  <c r="S89" i="1" a="1"/>
  <c r="O102" i="1" a="1"/>
  <c r="Q88" i="1" a="1"/>
  <c r="AF86" i="1" a="1"/>
  <c r="H99" i="1" a="1"/>
  <c r="AJ82" i="1" a="1"/>
  <c r="H80" i="1" a="1"/>
  <c r="AJ86" i="1" a="1"/>
  <c r="AA72" i="1" a="1"/>
  <c r="Y79" i="1" a="1"/>
  <c r="X79" i="1" a="1"/>
  <c r="AJ71" i="1" a="1"/>
  <c r="AC78" i="1" a="1"/>
  <c r="O80" i="1" a="1"/>
  <c r="P63" i="1" a="1"/>
  <c r="W55" i="1" a="1"/>
  <c r="AB57" i="1" a="1"/>
  <c r="H56" i="1" a="1"/>
  <c r="F65" i="1" a="1"/>
  <c r="AD101" i="1" a="1"/>
  <c r="Q51" i="1" a="1"/>
  <c r="V52" i="1" a="1"/>
  <c r="AK104" i="1" a="1"/>
  <c r="S53" i="1" a="1"/>
  <c r="AH47" i="1" a="1"/>
  <c r="AB104" i="1" a="1"/>
  <c r="AG47" i="1" a="1"/>
  <c r="J89" i="1" a="1"/>
  <c r="AD97" i="1" a="1"/>
  <c r="AH91" i="1" a="1"/>
  <c r="Y95" i="1" a="1"/>
  <c r="H96" i="1" a="1"/>
  <c r="J81" i="1" a="1"/>
  <c r="K85" i="1" a="1"/>
  <c r="P81" i="1" a="1"/>
  <c r="J90" i="1" a="1"/>
  <c r="AK91" i="1" a="1"/>
  <c r="AK85" i="1" a="1"/>
  <c r="W97" i="1" a="1"/>
  <c r="W98" i="1" a="1"/>
  <c r="J77" i="1" a="1"/>
  <c r="K62" i="1" a="1"/>
  <c r="P62" i="1" a="1"/>
  <c r="N64" i="1" a="1"/>
  <c r="Q56" i="1" a="1"/>
  <c r="H46" i="1" a="1"/>
  <c r="G48" i="1" a="1"/>
  <c r="AG103" i="1" a="1"/>
  <c r="Z50" i="1" a="1"/>
  <c r="AD49" i="1" a="1"/>
  <c r="AF105" i="1" a="1"/>
  <c r="F50" i="1" a="1"/>
  <c r="AD96" i="1" a="1"/>
  <c r="AB93" i="1" a="1"/>
  <c r="AH94" i="1" a="1"/>
  <c r="O101" i="1" a="1"/>
  <c r="N95" i="1" a="1"/>
  <c r="L91" i="1" a="1"/>
  <c r="AJ87" i="1" a="1"/>
  <c r="AE100" i="1" a="1"/>
  <c r="Z86" i="1" a="1"/>
  <c r="J87" i="1" a="1"/>
  <c r="H81" i="1" a="1"/>
  <c r="O50" i="1" a="1"/>
  <c r="Q49" i="1" a="1"/>
  <c r="AC85" i="1" a="1"/>
  <c r="F72" i="1" a="1"/>
  <c r="AJ77" i="1" a="1"/>
  <c r="AH77" i="1" a="1"/>
  <c r="V72" i="1" a="1"/>
  <c r="Z78" i="1" a="1"/>
  <c r="AB78" i="1" a="1"/>
  <c r="M64" i="1" a="1"/>
  <c r="AG58" i="1" a="1"/>
  <c r="H62" i="1" a="1"/>
  <c r="AK62" i="1" a="1"/>
  <c r="L56" i="1" a="1"/>
  <c r="AK45" i="1" a="1"/>
  <c r="U48" i="1" a="1"/>
  <c r="AB103" i="1" a="1"/>
  <c r="AB49" i="1" a="1"/>
  <c r="R50" i="1" a="1"/>
  <c r="F58" i="1" a="1"/>
  <c r="AE48" i="1" a="1"/>
  <c r="S97" i="1" a="1"/>
  <c r="Y93" i="1" a="1"/>
  <c r="R52" i="1" a="1"/>
  <c r="Q101" i="1" a="1"/>
  <c r="N51" i="1" a="1"/>
  <c r="AK90" i="1" a="1"/>
  <c r="Q87" i="1" a="1"/>
  <c r="L100" i="1" a="1"/>
  <c r="AA86" i="1" a="1"/>
  <c r="M86" i="1" a="1"/>
  <c r="AD80" i="1" a="1"/>
  <c r="Z101" i="1" a="1"/>
  <c r="N105" i="1" a="1"/>
  <c r="Y85" i="1" a="1"/>
  <c r="N72" i="1" a="1"/>
  <c r="V64" i="1" a="1"/>
  <c r="W64" i="1" a="1"/>
  <c r="AA55" i="1" a="1"/>
  <c r="K53" i="1" a="1"/>
  <c r="V49" i="1" a="1"/>
  <c r="M52" i="1" a="1"/>
  <c r="I46" i="1" a="1"/>
  <c r="AG64" i="1" a="1"/>
  <c r="AH54" i="1" a="1"/>
  <c r="U47" i="1" a="1"/>
  <c r="N54" i="1" a="1"/>
  <c r="O63" i="1" a="1"/>
  <c r="G51" i="1" a="1"/>
  <c r="L47" i="1" a="1"/>
  <c r="I95" i="1" a="1"/>
  <c r="AC100" i="1" a="1"/>
  <c r="F85" i="1" a="1"/>
  <c r="AJ89" i="1" a="1"/>
  <c r="AD74" i="1" a="1"/>
  <c r="I64" i="1" a="1"/>
  <c r="AJ49" i="1" a="1"/>
  <c r="G57" i="1" a="1"/>
  <c r="G101" i="1" a="1"/>
  <c r="W92" i="1" a="1"/>
  <c r="H53" i="1" a="1"/>
  <c r="Z89" i="1" a="1"/>
  <c r="AJ62" i="1" a="1"/>
  <c r="AG54" i="1" a="1"/>
  <c r="Y52" i="1" a="1"/>
  <c r="AE102" i="1" a="1"/>
  <c r="L82" i="1" a="1"/>
  <c r="AG102" i="1" a="1"/>
  <c r="AI93" i="1" a="1"/>
  <c r="K79" i="1" a="1"/>
  <c r="L77" i="1" a="1"/>
  <c r="AC62" i="1" a="1"/>
  <c r="AI56" i="1" a="1"/>
  <c r="S54" i="1" a="1"/>
  <c r="L50" i="1" a="1"/>
  <c r="M105" i="1" a="1"/>
  <c r="M47" i="1" a="1"/>
  <c r="G105" i="1" a="1"/>
  <c r="AE96" i="1" a="1"/>
  <c r="V95" i="1" a="1"/>
  <c r="Q81" i="1" a="1"/>
  <c r="Z80" i="1" a="1"/>
  <c r="I91" i="1" a="1"/>
  <c r="AB95" i="1" a="1"/>
  <c r="V62" i="1" a="1"/>
  <c r="J62" i="1" a="1"/>
  <c r="AA49" i="1" a="1"/>
  <c r="Y54" i="1" a="1"/>
  <c r="T46" i="1" a="1"/>
  <c r="G52" i="1" a="1"/>
  <c r="Y100" i="1" a="1"/>
  <c r="AI97" i="1" a="1"/>
  <c r="M101" i="1" a="1"/>
  <c r="N65" i="1" a="1"/>
  <c r="AE101" i="1" a="1"/>
  <c r="AB92" i="1" a="1"/>
  <c r="AI92" i="1" a="1"/>
  <c r="T78" i="1" a="1"/>
  <c r="AJ91" i="1" a="1"/>
  <c r="AJ97" i="1" a="1"/>
  <c r="Y81" i="1" a="1"/>
  <c r="AE86" i="1" a="1"/>
  <c r="AC80" i="1" a="1"/>
  <c r="AA88" i="1" a="1"/>
  <c r="G74" i="1" a="1"/>
  <c r="AF87" i="1" a="1"/>
  <c r="L105" i="1" a="1"/>
  <c r="AB73" i="1" a="1"/>
  <c r="AC87" i="1" a="1"/>
  <c r="H91" i="1" a="1"/>
  <c r="AE58" i="1" a="1"/>
  <c r="J64" i="1" a="1"/>
  <c r="AF57" i="1" a="1"/>
  <c r="AG63" i="1" a="1"/>
  <c r="Y63" i="1" a="1"/>
  <c r="H54" i="1" a="1"/>
  <c r="AB105" i="1" a="1"/>
  <c r="U65" i="1" a="1"/>
  <c r="AD103" i="1" a="1"/>
  <c r="AK48" i="1" a="1"/>
  <c r="S49" i="1" a="1"/>
  <c r="U56" i="1" a="1"/>
  <c r="AJ47" i="1" a="1"/>
  <c r="AA95" i="1" a="1"/>
  <c r="G93" i="1" a="1"/>
  <c r="AF51" i="1" a="1"/>
  <c r="O98" i="1" a="1"/>
  <c r="F103" i="1" a="1"/>
  <c r="I90" i="1" a="1"/>
  <c r="I86" i="1" a="1"/>
  <c r="X95" i="1" a="1"/>
  <c r="V86" i="1" a="1"/>
  <c r="Q85" i="1" a="1"/>
  <c r="R80" i="1" a="1"/>
  <c r="H98" i="1" a="1"/>
  <c r="F97" i="1" a="1"/>
  <c r="G85" i="1" a="1"/>
  <c r="G72" i="1" a="1"/>
  <c r="L76" i="1" a="1"/>
  <c r="V76" i="1" a="1"/>
  <c r="H71" i="1" a="1"/>
  <c r="AC75" i="1" a="1"/>
  <c r="U78" i="1" a="1"/>
  <c r="L64" i="1" a="1"/>
  <c r="AF55" i="1" a="1"/>
  <c r="AC58" i="1" a="1"/>
  <c r="R57" i="1" a="1"/>
  <c r="F48" i="1" a="1"/>
  <c r="AK102" i="1" a="1"/>
  <c r="Z53" i="1" a="1"/>
  <c r="P55" i="1" a="1"/>
  <c r="Y46" i="1" a="1"/>
  <c r="AB56" i="1" a="1"/>
  <c r="AF50" i="1" a="1"/>
  <c r="AE105" i="1" a="1"/>
  <c r="AG104" i="1" a="1"/>
  <c r="J91" i="1" a="1"/>
  <c r="F101" i="1" a="1"/>
  <c r="AD92" i="1" a="1"/>
  <c r="K98" i="1" a="1"/>
  <c r="G100" i="1" a="1"/>
  <c r="X98" i="1" a="1"/>
  <c r="L89" i="1" a="1"/>
  <c r="AA98" i="1" a="1"/>
  <c r="T94" i="1" a="1"/>
  <c r="J98" i="1" a="1"/>
  <c r="AJ88" i="1" a="1"/>
  <c r="I49" i="1" a="1"/>
  <c r="AH89" i="1" a="1"/>
  <c r="U85" i="1" a="1"/>
  <c r="AB72" i="1" a="1"/>
  <c r="T87" i="1" a="1"/>
  <c r="N86" i="1" a="1"/>
  <c r="Q91" i="1" a="1"/>
  <c r="J57" i="1" a="1"/>
  <c r="AK103" i="1" a="1"/>
  <c r="R47" i="1" a="1"/>
  <c r="AG91" i="1" a="1"/>
  <c r="S103" i="1" a="1"/>
  <c r="AJ99" i="1" a="1"/>
  <c r="P82" i="1" a="1"/>
  <c r="AH69" i="1" a="1"/>
  <c r="AA52" i="1" a="1"/>
  <c r="W53" i="1" a="1"/>
  <c r="AF47" i="1" a="1"/>
  <c r="AD47" i="1" a="1"/>
  <c r="P95" i="1" a="1"/>
  <c r="AE82" i="1" a="1"/>
  <c r="AB74" i="1" a="1"/>
  <c r="U58" i="1" a="1"/>
  <c r="AD57" i="1" a="1"/>
  <c r="U46" i="1" a="1"/>
  <c r="P94" i="1" a="1"/>
  <c r="F90" i="1" a="1"/>
  <c r="S92" i="1" a="1"/>
  <c r="P74" i="1" a="1"/>
  <c r="R98" i="1" a="1"/>
  <c r="AA73" i="1" a="1"/>
  <c r="T56" i="1" a="1"/>
  <c r="W58" i="1" a="1"/>
  <c r="F104" i="1" a="1"/>
  <c r="F57" i="1" a="1"/>
  <c r="AC64" i="1" a="1"/>
  <c r="J46" i="1" a="1"/>
  <c r="AH90" i="1" a="1"/>
  <c r="I94" i="1" a="1"/>
  <c r="Y101" i="1" a="1"/>
  <c r="K90" i="1" a="1"/>
  <c r="AI96" i="1" a="1"/>
  <c r="I92" i="1" a="1"/>
  <c r="W48" i="1" a="1"/>
  <c r="I62" i="1" a="1"/>
  <c r="AI62" i="1" a="1"/>
  <c r="W105" i="1" a="1"/>
  <c r="Z103" i="1" a="1"/>
  <c r="N50" i="1" a="1"/>
  <c r="M49" i="1" a="1"/>
  <c r="R97" i="1" a="1"/>
  <c r="T93" i="1" a="1"/>
  <c r="K57" i="1" a="1"/>
  <c r="I100" i="1" a="1"/>
  <c r="AF46" i="1" a="1"/>
  <c r="H90" i="1" a="1"/>
  <c r="H87" i="1" a="1"/>
  <c r="AF97" i="1" a="1"/>
  <c r="I87" i="1" a="1"/>
  <c r="J86" i="1" a="1"/>
  <c r="W81" i="1" a="1"/>
  <c r="AK100" i="1" a="1"/>
  <c r="Z100" i="1" a="1"/>
  <c r="AI85" i="1" a="1"/>
  <c r="X72" i="1" a="1"/>
  <c r="T77" i="1" a="1"/>
  <c r="AA77" i="1" a="1"/>
  <c r="G71" i="1" a="1"/>
  <c r="AA76" i="1" a="1"/>
  <c r="I79" i="1" a="1"/>
  <c r="U63" i="1" a="1"/>
  <c r="G62" i="1" a="1"/>
  <c r="M56" i="1" a="1"/>
  <c r="U62" i="1" a="1"/>
  <c r="AC57" i="1" a="1"/>
  <c r="AG48" i="1" a="1"/>
  <c r="T103" i="1" a="1"/>
  <c r="V53" i="1" a="1"/>
  <c r="AA56" i="1" a="1"/>
  <c r="K46" i="1" a="1"/>
  <c r="S57" i="1" a="1"/>
  <c r="R51" i="1" a="1"/>
  <c r="Y105" i="1" a="1"/>
  <c r="AD105" i="1" a="1"/>
  <c r="AE90" i="1" a="1"/>
  <c r="S101" i="1" a="1"/>
  <c r="K93" i="1" a="1"/>
  <c r="AG97" i="1" a="1"/>
  <c r="AA100" i="1" a="1"/>
  <c r="AE98" i="1" a="1"/>
  <c r="AI88" i="1" a="1"/>
  <c r="F99" i="1" a="1"/>
  <c r="Z93" i="1" a="1"/>
  <c r="Q98" i="1" a="1"/>
  <c r="Q90" i="1" a="1"/>
  <c r="L85" i="1" a="1"/>
  <c r="M96" i="1" a="1"/>
  <c r="AH85" i="1" a="1"/>
  <c r="AE72" i="1" a="1"/>
  <c r="AB87" i="1" a="1"/>
  <c r="O87" i="1" a="1"/>
  <c r="AA102" i="1" a="1"/>
  <c r="AI72" i="1" a="1"/>
  <c r="Z62" i="1" a="1"/>
  <c r="Y53" i="1" a="1"/>
  <c r="M57" i="1" a="1"/>
  <c r="AC54" i="1" a="1"/>
  <c r="Z52" i="1" a="1"/>
  <c r="W57" i="1" a="1"/>
  <c r="X48" i="1" a="1"/>
  <c r="AH49" i="1" a="1"/>
  <c r="M104" i="1" a="1"/>
  <c r="Y50" i="1" a="1"/>
  <c r="AE64" i="1" a="1"/>
  <c r="I103" i="1" a="1"/>
  <c r="K103" i="1" a="1"/>
  <c r="X87" i="1" a="1"/>
  <c r="AG95" i="1" a="1"/>
  <c r="AF90" i="1" a="1"/>
  <c r="AG93" i="1" a="1"/>
  <c r="H101" i="1" a="1"/>
  <c r="N80" i="1" a="1"/>
  <c r="AA99" i="1" a="1"/>
  <c r="P80" i="1" a="1"/>
  <c r="T88" i="1" a="1"/>
  <c r="R89" i="1" a="1"/>
  <c r="AG81" i="1" a="1"/>
  <c r="S93" i="1" a="1"/>
  <c r="S63" i="1" a="1"/>
  <c r="AD55" i="1" a="1"/>
  <c r="I53" i="1" a="1"/>
  <c r="S104" i="1" a="1"/>
  <c r="AH81" i="1" a="1"/>
  <c r="AA51" i="1" a="1"/>
  <c r="T70" i="1" a="1"/>
  <c r="AG73" i="1" a="1"/>
  <c r="F55" i="1" a="1"/>
  <c r="AJ64" i="1" a="1"/>
  <c r="V56" i="1" a="1"/>
  <c r="L54" i="1" a="1"/>
  <c r="Q79" i="1" a="1"/>
  <c r="AG87" i="1" a="1"/>
  <c r="L62" i="1" a="1"/>
  <c r="J50" i="1" a="1"/>
  <c r="AB64" i="1" a="1"/>
  <c r="X50" i="1" a="1"/>
  <c r="AE99" i="1" a="1"/>
  <c r="V82" i="1" a="1"/>
  <c r="AB86" i="1" a="1"/>
  <c r="O71" i="1" a="1"/>
  <c r="R76" i="1" a="1"/>
  <c r="L72" i="1" a="1"/>
  <c r="AE53" i="1" a="1"/>
  <c r="N56" i="1" a="1"/>
  <c r="T102" i="1" a="1"/>
  <c r="I51" i="1" a="1"/>
  <c r="O52" i="1" a="1"/>
  <c r="G104" i="1" a="1"/>
  <c r="F89" i="1" a="1"/>
  <c r="R92" i="1" a="1"/>
  <c r="W94" i="1" a="1"/>
  <c r="L46" i="1" a="1"/>
  <c r="AA89" i="1" a="1"/>
  <c r="K86" i="1" a="1"/>
  <c r="AH80" i="1" a="1"/>
  <c r="AG55" i="1" a="1"/>
  <c r="H58" i="1" a="1"/>
  <c r="K104" i="1" a="1"/>
  <c r="N57" i="1" a="1"/>
  <c r="AG57" i="1" a="1"/>
  <c r="F46" i="1" a="1"/>
  <c r="P65" i="1" a="1"/>
  <c r="AD90" i="1" a="1"/>
  <c r="AH100" i="1" a="1"/>
  <c r="Q94" i="1" a="1"/>
  <c r="O100" i="1" a="1"/>
  <c r="N102" i="1" a="1"/>
  <c r="T82" i="1" a="1"/>
  <c r="AH88" i="1" a="1"/>
  <c r="AJ81" i="1" a="1"/>
  <c r="T96" i="1" a="1"/>
  <c r="W100" i="1" a="1"/>
  <c r="AB89" i="1" a="1"/>
  <c r="Y82" i="1" a="1"/>
  <c r="AC46" i="1" a="1"/>
  <c r="AF89" i="1" a="1"/>
  <c r="J73" i="1" a="1"/>
  <c r="Y94" i="1" a="1"/>
  <c r="P90" i="1" a="1"/>
  <c r="AJ72" i="1" a="1"/>
  <c r="K73" i="1" a="1"/>
  <c r="AH63" i="1" a="1"/>
  <c r="AF58" i="1" a="1"/>
  <c r="AI53" i="1" a="1"/>
  <c r="Y57" i="1" a="1"/>
  <c r="AJ54" i="1" a="1"/>
  <c r="P52" i="1" a="1"/>
  <c r="AK56" i="1" a="1"/>
  <c r="AH48" i="1" a="1"/>
  <c r="S50" i="1" a="1"/>
  <c r="R104" i="1" a="1"/>
  <c r="AI50" i="1" a="1"/>
  <c r="S47" i="1" a="1"/>
  <c r="P104" i="1" a="1"/>
  <c r="V103" i="1" a="1"/>
  <c r="I88" i="1" a="1"/>
  <c r="AD95" i="1" a="1"/>
  <c r="AC90" i="1" a="1"/>
  <c r="AA94" i="1" a="1"/>
  <c r="AJ101" i="1" a="1"/>
  <c r="Y80" i="1" a="1"/>
  <c r="J101" i="1" a="1"/>
  <c r="AK79" i="1" a="1"/>
  <c r="V89" i="1" a="1"/>
  <c r="X89" i="1" a="1"/>
  <c r="Q82" i="1" a="1"/>
  <c r="U94" i="1" a="1"/>
  <c r="P78" i="1" a="1"/>
  <c r="O75" i="1" a="1"/>
  <c r="P71" i="1" a="1"/>
  <c r="AH76" i="1" a="1"/>
  <c r="U75" i="1" a="1"/>
  <c r="Z75" i="1" a="1"/>
  <c r="K92" i="1" a="1"/>
  <c r="K63" i="1" a="1"/>
  <c r="T63" i="1" a="1"/>
  <c r="AF53" i="1" a="1"/>
  <c r="F53" i="1" a="1"/>
  <c r="P47" i="1" a="1"/>
  <c r="Y51" i="1" a="1"/>
  <c r="AJ105" i="1" a="1"/>
  <c r="W54" i="1" a="1"/>
  <c r="N53" i="1" a="1"/>
  <c r="AI64" i="1" a="1"/>
  <c r="AB51" i="1" a="1"/>
  <c r="H100" i="1" a="1"/>
  <c r="Z95" i="1" a="1"/>
  <c r="P100" i="1" a="1"/>
  <c r="AJ103" i="1" a="1"/>
  <c r="AD99" i="1" a="1"/>
  <c r="AC91" i="1" a="1"/>
  <c r="AD89" i="1" a="1"/>
  <c r="O78" i="1" a="1"/>
  <c r="AG89" i="1" a="1"/>
  <c r="I93" i="1" a="1"/>
  <c r="AG98" i="1" a="1"/>
  <c r="AB85" i="1" a="1"/>
  <c r="S81" i="1" a="1"/>
  <c r="AD94" i="1" a="1"/>
  <c r="AF73" i="1" a="1"/>
  <c r="I47" i="1" a="1"/>
  <c r="U104" i="1" a="1"/>
  <c r="S98" i="1" a="1"/>
  <c r="W62" i="1" a="1"/>
  <c r="K65" i="1" a="1"/>
  <c r="T100" i="1" a="1"/>
  <c r="F86" i="1" a="1"/>
  <c r="O47" i="1" a="1"/>
  <c r="AC104" i="1" a="1"/>
  <c r="AJ94" i="1" a="1"/>
  <c r="AA80" i="1" a="1"/>
  <c r="Q96" i="1" a="1"/>
  <c r="M79" i="1" a="1"/>
  <c r="G58" i="1" a="1"/>
  <c r="M53" i="1" a="1"/>
  <c r="Q58" i="1" a="1"/>
  <c r="V100" i="1" a="1"/>
  <c r="P101" i="1" a="1"/>
  <c r="Y90" i="1" a="1"/>
  <c r="AE80" i="1" a="1"/>
  <c r="AB94" i="1" a="1"/>
  <c r="R64" i="1" a="1"/>
  <c r="AB53" i="1" a="1"/>
  <c r="H49" i="1" a="1"/>
  <c r="U96" i="1" a="1"/>
  <c r="AF102" i="1" a="1"/>
  <c r="Z85" i="1" a="1"/>
  <c r="Z94" i="1" a="1"/>
  <c r="L74" i="1" a="1"/>
  <c r="S76" i="1" a="1"/>
  <c r="S77" i="1" a="1"/>
  <c r="T99" i="1" a="1"/>
  <c r="N77" i="1" a="1"/>
  <c r="R62" i="1" a="1"/>
  <c r="T53" i="1" a="1"/>
  <c r="P56" i="1" a="1"/>
  <c r="Y55" i="1" a="1"/>
  <c r="F52" i="1" a="1"/>
  <c r="F56" i="1" a="1"/>
  <c r="AB47" i="1" a="1"/>
  <c r="P49" i="1" a="1"/>
  <c r="T104" i="1" a="1"/>
  <c r="AF49" i="1" a="1"/>
  <c r="Z64" i="1" a="1"/>
  <c r="M103" i="1" a="1"/>
  <c r="Z102" i="1" a="1"/>
  <c r="K88" i="1" a="1"/>
  <c r="AC95" i="1" a="1"/>
  <c r="V91" i="1" a="1"/>
  <c r="K94" i="1" a="1"/>
  <c r="Y99" i="1" a="1"/>
  <c r="AD79" i="1" a="1"/>
  <c r="N100" i="1" a="1"/>
  <c r="F80" i="1" a="1"/>
  <c r="AI87" i="1" a="1"/>
  <c r="N89" i="1" a="1"/>
  <c r="AI81" i="1" a="1"/>
  <c r="N92" i="1" a="1"/>
  <c r="L78" i="1" a="1"/>
  <c r="G75" i="1" a="1"/>
  <c r="AE69" i="1" a="1"/>
  <c r="AK76" i="1" a="1"/>
  <c r="L75" i="1" a="1"/>
  <c r="P76" i="1" a="1"/>
  <c r="W82" i="1" a="1"/>
  <c r="M62" i="1" a="1"/>
  <c r="J63" i="1" a="1"/>
  <c r="H64" i="1" a="1"/>
  <c r="P58" i="1" a="1"/>
  <c r="I65" i="1" a="1"/>
  <c r="L49" i="1" a="1"/>
  <c r="V104" i="1" a="1"/>
  <c r="V51" i="1" a="1"/>
  <c r="AJ51" i="1" a="1"/>
  <c r="AI45" i="1" a="1"/>
  <c r="F51" i="1" a="1"/>
  <c r="G98" i="1" a="1"/>
  <c r="AH93" i="1" a="1"/>
  <c r="I96" i="1" a="1"/>
  <c r="K102" i="1" a="1"/>
  <c r="N97" i="1" a="1"/>
  <c r="M91" i="1" a="1"/>
  <c r="Z88" i="1" a="1"/>
  <c r="AI103" i="1" a="1"/>
  <c r="N88" i="1" a="1"/>
  <c r="AA87" i="1" a="1"/>
  <c r="AK98" i="1" a="1"/>
  <c r="AF82" i="1" a="1"/>
  <c r="I80" i="1" a="1"/>
  <c r="L87" i="1" a="1"/>
  <c r="AH72" i="1" a="1"/>
  <c r="AC79" i="1" a="1"/>
  <c r="AG78" i="1" a="1"/>
  <c r="O72" i="1" a="1"/>
  <c r="W80" i="1" a="1"/>
  <c r="M81" i="1" a="1"/>
  <c r="F63" i="1" a="1"/>
  <c r="V65" i="1" a="1"/>
  <c r="AH51" i="1" a="1"/>
  <c r="R94" i="1" a="1"/>
  <c r="W91" i="1" a="1"/>
  <c r="O91" i="1" a="1"/>
  <c r="X86" i="1" a="1"/>
  <c r="O82" i="1" a="1"/>
  <c r="AD72" i="1" a="1"/>
  <c r="AK70" i="1" a="1"/>
  <c r="AA66" i="1" a="1"/>
  <c r="AH40" i="1" a="1"/>
  <c r="P42" i="1" a="1"/>
  <c r="AA65" i="1" a="1"/>
  <c r="R44" i="1" a="1"/>
  <c r="W44" i="1" a="1"/>
  <c r="AJ90" i="1" a="1"/>
  <c r="W43" i="1" a="1"/>
  <c r="AF54" i="1" a="1"/>
  <c r="Z49" i="1" a="1"/>
  <c r="AK96" i="1" a="1"/>
  <c r="O46" i="1" a="1"/>
  <c r="AF85" i="1" a="1"/>
  <c r="N98" i="1" a="1"/>
  <c r="AK71" i="1" a="1"/>
  <c r="T89" i="1" a="1"/>
  <c r="H76" i="1" a="1"/>
  <c r="AE39" i="1" a="1"/>
  <c r="R66" i="1" a="1"/>
  <c r="S42" i="1" a="1"/>
  <c r="N68" i="1" a="1"/>
  <c r="U68" i="1" a="1"/>
  <c r="AC69" i="1" a="1"/>
  <c r="N70" i="1" a="1"/>
  <c r="F71" i="1" a="1"/>
  <c r="AH58" i="1" a="1"/>
  <c r="AH102" i="1" a="1"/>
  <c r="V47" i="1" a="1"/>
  <c r="AI95" i="1" a="1"/>
  <c r="M94" i="1" a="1"/>
  <c r="R96" i="1" a="1"/>
  <c r="U86" i="1" a="1"/>
  <c r="X102" i="1" a="1"/>
  <c r="U97" i="1" a="1"/>
  <c r="AK40" i="1" a="1"/>
  <c r="AE70" i="1" a="1"/>
  <c r="O66" i="1" a="1"/>
  <c r="V45" i="1" a="1"/>
  <c r="Q72" i="1" a="1"/>
  <c r="T38" i="1" a="1"/>
  <c r="O85" i="1" a="1"/>
  <c r="AD45" i="1" a="1"/>
  <c r="F70" i="1" a="1"/>
  <c r="K45" i="1" a="1"/>
  <c r="R41" i="1" a="1"/>
  <c r="AG100" i="1" a="1"/>
  <c r="G70" i="1" a="1"/>
  <c r="AI65" i="1" a="1"/>
  <c r="K48" i="1" a="1"/>
  <c r="U100" i="1" a="1"/>
  <c r="M45" i="1" a="1"/>
  <c r="J52" i="1" a="1"/>
  <c r="N47" i="1" a="1"/>
  <c r="M95" i="1" a="1"/>
  <c r="L101" i="1" a="1"/>
  <c r="AB82" i="1" a="1"/>
  <c r="Q93" i="1" a="1"/>
  <c r="T71" i="1" a="1"/>
  <c r="S62" i="1" a="1"/>
  <c r="P92" i="1" a="1"/>
  <c r="Z54" i="1" a="1"/>
  <c r="J94" i="1" a="1"/>
  <c r="Y65" i="1" a="1"/>
  <c r="AH98" i="1" a="1"/>
  <c r="X63" i="1" a="1"/>
  <c r="AE51" i="1" a="1"/>
  <c r="F82" i="1" a="1"/>
  <c r="AC63" i="1" a="1"/>
  <c r="AI48" i="1" a="1"/>
  <c r="W88" i="1" a="1"/>
  <c r="J56" i="1" a="1"/>
  <c r="Y88" i="1" a="1"/>
  <c r="AI79" i="1" a="1"/>
  <c r="M76" i="1" a="1"/>
  <c r="L63" i="1" a="1"/>
  <c r="J48" i="1" a="1"/>
  <c r="R54" i="1" a="1"/>
  <c r="P97" i="1" a="1"/>
  <c r="AI91" i="1" a="1"/>
  <c r="AC93" i="1" a="1"/>
  <c r="R88" i="1" a="1"/>
  <c r="V73" i="1" a="1"/>
  <c r="I58" i="1" a="1"/>
  <c r="Z104" i="1" a="1"/>
  <c r="AJ48" i="1" a="1"/>
  <c r="P93" i="1" a="1"/>
  <c r="AH55" i="1" a="1"/>
  <c r="Z81" i="1" a="1"/>
  <c r="H88" i="1" a="1"/>
  <c r="Q71" i="1" a="1"/>
  <c r="Z69" i="1" a="1"/>
  <c r="P73" i="1" a="1"/>
  <c r="AA75" i="1" a="1"/>
  <c r="M73" i="1" a="1"/>
  <c r="Q63" i="1" a="1"/>
  <c r="AB62" i="1" a="1"/>
  <c r="AG53" i="1" a="1"/>
  <c r="J53" i="1" a="1"/>
  <c r="Q47" i="1" a="1"/>
  <c r="I50" i="1" a="1"/>
  <c r="AA105" i="1" a="1"/>
  <c r="X53" i="1" a="1"/>
  <c r="G53" i="1" a="1"/>
  <c r="R65" i="1" a="1"/>
  <c r="AK51" i="1" a="1"/>
  <c r="X99" i="1" a="1"/>
  <c r="AK95" i="1" a="1"/>
  <c r="AE97" i="1" a="1"/>
  <c r="Q104" i="1" a="1"/>
  <c r="M98" i="1" a="1"/>
  <c r="U92" i="1" a="1"/>
  <c r="L90" i="1" a="1"/>
  <c r="W77" i="1" a="1"/>
  <c r="AE89" i="1" a="1"/>
  <c r="J93" i="1" a="1"/>
  <c r="Y98" i="1" a="1"/>
  <c r="AA85" i="1" a="1"/>
  <c r="G81" i="1" a="1"/>
  <c r="AK87" i="1" a="1"/>
  <c r="W73" i="1" a="1"/>
  <c r="K99" i="1" a="1"/>
  <c r="AK86" i="1" a="1"/>
  <c r="N73" i="1" a="1"/>
  <c r="O81" i="1" a="1"/>
  <c r="AJ85" i="1" a="1"/>
  <c r="N63" i="1" a="1"/>
  <c r="AF56" i="1" a="1"/>
  <c r="M63" i="1" a="1"/>
  <c r="AJ58" i="1" a="1"/>
  <c r="AB50" i="1" a="1"/>
  <c r="R105" i="1" a="1"/>
  <c r="H57" i="1" a="1"/>
  <c r="Y102" i="1" a="1"/>
  <c r="X47" i="1" a="1"/>
  <c r="AK46" i="1" a="1"/>
  <c r="P54" i="1" a="1"/>
  <c r="AD64" i="1" a="1"/>
  <c r="H95" i="1" a="1"/>
  <c r="V92" i="1" a="1"/>
  <c r="J104" i="1" a="1"/>
  <c r="AK94" i="1" a="1"/>
  <c r="R101" i="1" a="1"/>
  <c r="T47" i="1" a="1"/>
  <c r="N85" i="1" a="1"/>
  <c r="J92" i="1" a="1"/>
  <c r="H85" i="1" a="1"/>
  <c r="AI100" i="1" a="1"/>
  <c r="O79" i="1" a="1"/>
  <c r="W93" i="1" a="1"/>
  <c r="Z91" i="1" a="1"/>
  <c r="X81" i="1" a="1"/>
  <c r="U71" i="1" a="1"/>
  <c r="AC73" i="1" a="1"/>
  <c r="M75" i="1" a="1"/>
  <c r="L70" i="1" a="1"/>
  <c r="F74" i="1" a="1"/>
  <c r="W75" i="1" a="1"/>
  <c r="H63" i="1" a="1"/>
  <c r="V50" i="1" a="1"/>
  <c r="M46" i="1" a="1"/>
  <c r="T97" i="1" a="1"/>
  <c r="K89" i="1" a="1"/>
  <c r="Q99" i="1" a="1"/>
  <c r="Z72" i="1" a="1"/>
  <c r="AK78" i="1" a="1"/>
  <c r="AB80" i="1" a="1"/>
  <c r="AH65" i="1" a="1"/>
  <c r="AF71" i="1" a="1"/>
  <c r="V41" i="1" a="1"/>
  <c r="F45" i="1" a="1"/>
  <c r="Q40" i="1" a="1"/>
  <c r="AK41" i="1" a="1"/>
  <c r="AF66" i="1" a="1"/>
  <c r="L67" i="1" a="1"/>
  <c r="AG62" i="1" a="1"/>
  <c r="AH105" i="1" a="1"/>
  <c r="F49" i="1" a="1"/>
  <c r="O93" i="1" a="1"/>
  <c r="U90" i="1" a="1"/>
  <c r="AG82" i="1" a="1"/>
  <c r="O86" i="1" a="1"/>
  <c r="N79" i="1" a="1"/>
  <c r="L86" i="1" a="1"/>
  <c r="AF70" i="1" a="1"/>
  <c r="R45" i="1" a="1"/>
  <c r="F38" i="1" a="1"/>
  <c r="L39" i="1" a="1"/>
  <c r="AI42" i="1" a="1"/>
  <c r="O42" i="1" a="1"/>
  <c r="W38" i="1" a="1"/>
  <c r="F96" i="1" a="1"/>
  <c r="AB38" i="1" a="1"/>
  <c r="S52" i="1" a="1"/>
  <c r="T48" i="1" a="1"/>
  <c r="S95" i="1" a="1"/>
  <c r="S102" i="1" a="1"/>
  <c r="J85" i="1" a="1"/>
  <c r="AF92" i="1" a="1"/>
  <c r="I72" i="1" a="1"/>
  <c r="M85" i="1" a="1"/>
  <c r="F75" i="1" a="1"/>
  <c r="AI38" i="1" a="1"/>
  <c r="S66" i="1" a="1"/>
  <c r="W41" i="1" a="1"/>
  <c r="R68" i="1" a="1"/>
  <c r="G67" i="1" a="1"/>
  <c r="AJ93" i="1" a="1"/>
  <c r="Y69" i="1" a="1"/>
  <c r="M92" i="1" a="1"/>
  <c r="T43" i="1" a="1"/>
  <c r="V67" i="1" a="1"/>
  <c r="R67" i="1" a="1"/>
  <c r="AA69" i="1" a="1"/>
  <c r="G42" i="1" a="1"/>
  <c r="M39" i="1" a="1"/>
  <c r="T55" i="1" a="1"/>
  <c r="AE75" i="1" a="1"/>
  <c r="V57" i="1" a="1"/>
  <c r="W104" i="1" a="1"/>
  <c r="S48" i="1" a="1"/>
  <c r="F92" i="1" a="1"/>
  <c r="AC48" i="1" a="1"/>
  <c r="X101" i="1" a="1"/>
  <c r="S82" i="1" a="1"/>
  <c r="F77" i="1" a="1"/>
  <c r="AF77" i="1" a="1"/>
  <c r="W70" i="1" a="1"/>
  <c r="W45" i="1" a="1"/>
  <c r="X67" i="1" a="1"/>
  <c r="J39" i="1" a="1"/>
  <c r="H38" i="1" a="1"/>
  <c r="AI41" i="1" a="1"/>
  <c r="AH66" i="1" a="1"/>
  <c r="Q43" i="1" a="1"/>
  <c r="V68" i="1" a="1"/>
  <c r="R40" i="1" a="1"/>
  <c r="AK38" i="1" a="1"/>
  <c r="AF41" i="1" a="1"/>
  <c r="W47" i="1" a="1"/>
  <c r="H68" i="1" a="1"/>
  <c r="R56" i="1" a="1"/>
  <c r="O104" i="1" a="1"/>
  <c r="R58" i="1" a="1"/>
  <c r="AA90" i="1" a="1"/>
  <c r="I101" i="1" a="1"/>
  <c r="R95" i="1" a="1"/>
  <c r="AB100" i="1" a="1"/>
  <c r="W76" i="1" a="1"/>
  <c r="P77" i="1" a="1"/>
  <c r="I69" i="1" a="1"/>
  <c r="V42" i="1" a="1"/>
  <c r="AA78" i="1" a="1"/>
  <c r="AA39" i="1" a="1"/>
  <c r="AE38" i="1" a="1"/>
  <c r="AI102" i="1" a="1"/>
  <c r="O94" i="1" a="1"/>
  <c r="AH46" i="1" a="1"/>
  <c r="AB98" i="1" a="1"/>
  <c r="R91" i="1" a="1"/>
  <c r="K105" i="1" a="1"/>
  <c r="K50" i="1" a="1"/>
  <c r="M48" i="1" a="1"/>
  <c r="I82" i="1" a="1"/>
  <c r="X62" i="1" a="1"/>
  <c r="AI57" i="1" a="1"/>
  <c r="AB96" i="1" a="1"/>
  <c r="S80" i="1" a="1"/>
  <c r="V90" i="1" a="1"/>
  <c r="O76" i="1" a="1"/>
  <c r="AI76" i="1" a="1"/>
  <c r="AI63" i="1" a="1"/>
  <c r="J51" i="1" a="1"/>
  <c r="S65" i="1" a="1"/>
  <c r="F100" i="1" a="1"/>
  <c r="T91" i="1" a="1"/>
  <c r="U82" i="1" a="1"/>
  <c r="W74" i="1" a="1"/>
  <c r="J82" i="1" a="1"/>
  <c r="S64" i="1" a="1"/>
  <c r="AA64" i="1" a="1"/>
  <c r="AK55" i="1" a="1"/>
  <c r="AI49" i="1" a="1"/>
  <c r="W85" i="1" a="1"/>
  <c r="AB79" i="1" a="1"/>
  <c r="AK82" i="1" a="1"/>
  <c r="AC74" i="1" a="1"/>
  <c r="R93" i="1" a="1"/>
  <c r="AI70" i="1" a="1"/>
  <c r="AG75" i="1" a="1"/>
  <c r="AH62" i="1" a="1"/>
  <c r="AJ57" i="1" a="1"/>
  <c r="AD63" i="1" a="1"/>
  <c r="N62" i="1" a="1"/>
  <c r="U53" i="1" a="1"/>
  <c r="Q105" i="1" a="1"/>
  <c r="AK64" i="1" a="1"/>
  <c r="N103" i="1" a="1"/>
  <c r="R48" i="1" a="1"/>
  <c r="N48" i="1" a="1"/>
  <c r="V55" i="1" a="1"/>
  <c r="AI46" i="1" a="1"/>
  <c r="AH95" i="1" a="1"/>
  <c r="F93" i="1" a="1"/>
  <c r="Q65" i="1" a="1"/>
  <c r="Q97" i="1" a="1"/>
  <c r="AB101" i="1" a="1"/>
  <c r="AJ52" i="1" a="1"/>
  <c r="R86" i="1" a="1"/>
  <c r="AK93" i="1" a="1"/>
  <c r="AE85" i="1" a="1"/>
  <c r="AD50" i="1" a="1"/>
  <c r="X80" i="1" a="1"/>
  <c r="K97" i="1" a="1"/>
  <c r="AA93" i="1" a="1"/>
  <c r="P85" i="1" a="1"/>
  <c r="K71" i="1" a="1"/>
  <c r="AF74" i="1" a="1"/>
  <c r="N76" i="1" a="1"/>
  <c r="V71" i="1" a="1"/>
  <c r="T75" i="1" a="1"/>
  <c r="F76" i="1" a="1"/>
  <c r="Q64" i="1" a="1"/>
  <c r="K55" i="1" a="1"/>
  <c r="X58" i="1" a="1"/>
  <c r="AE56" i="1" a="1"/>
  <c r="AD46" i="1" a="1"/>
  <c r="Q102" i="1" a="1"/>
  <c r="AG50" i="1" a="1"/>
  <c r="AD51" i="1" a="1"/>
  <c r="X104" i="1" a="1"/>
  <c r="O54" i="1" a="1"/>
  <c r="R49" i="1" a="1"/>
  <c r="AI104" i="1" a="1"/>
  <c r="AI51" i="1" a="1"/>
  <c r="N90" i="1" a="1"/>
  <c r="P98" i="1" a="1"/>
  <c r="Y92" i="1" a="1"/>
  <c r="L97" i="1" a="1"/>
  <c r="G97" i="1" a="1"/>
  <c r="V81" i="1" a="1"/>
  <c r="U87" i="1" a="1"/>
  <c r="AC98" i="1" a="1"/>
  <c r="W90" i="1" a="1"/>
  <c r="V93" i="1" a="1"/>
  <c r="M87" i="1" a="1"/>
  <c r="AJ100" i="1" a="1"/>
  <c r="AF81" i="1" a="1"/>
  <c r="S78" i="1" a="1"/>
  <c r="J72" i="1" a="1"/>
  <c r="AG80" i="1" a="1"/>
  <c r="F78" i="1" a="1"/>
  <c r="X78" i="1" a="1"/>
  <c r="AE71" i="1" a="1"/>
  <c r="AJ63" i="1" a="1"/>
  <c r="F105" i="1" a="1"/>
  <c r="L51" i="1" a="1"/>
  <c r="H103" i="1" a="1"/>
  <c r="R77" i="1" a="1"/>
  <c r="AI82" i="1" a="1"/>
  <c r="P91" i="1" a="1"/>
  <c r="AD70" i="1" a="1"/>
  <c r="I71" i="1" a="1"/>
  <c r="O39" i="1" a="1"/>
  <c r="AG39" i="1" a="1"/>
  <c r="U43" i="1" a="1"/>
  <c r="AF67" i="1" a="1"/>
  <c r="I68" i="1" a="1"/>
  <c r="F40" i="1" a="1"/>
  <c r="S44" i="1" a="1"/>
  <c r="I40" i="1" a="1"/>
  <c r="AD58" i="1" a="1"/>
  <c r="Y47" i="1" a="1"/>
  <c r="AJ56" i="1" a="1"/>
  <c r="M54" i="1" a="1"/>
  <c r="AC86" i="1" a="1"/>
  <c r="AI80" i="1" a="1"/>
  <c r="AH71" i="1" a="1"/>
  <c r="AG77" i="1" a="1"/>
  <c r="G80" i="1" a="1"/>
  <c r="H66" i="1" a="1"/>
  <c r="M44" i="1" a="1"/>
  <c r="AC76" i="1" a="1"/>
  <c r="AH44" i="1" a="1"/>
  <c r="AE45" i="1" a="1"/>
  <c r="S45" i="1" a="1"/>
  <c r="Y43" i="1" a="1"/>
  <c r="AG74" i="1" a="1"/>
  <c r="S58" i="1" a="1"/>
  <c r="I105" i="1" a="1"/>
  <c r="AA48" i="1" a="1"/>
  <c r="O92" i="1" a="1"/>
  <c r="O51" i="1" a="1"/>
  <c r="AB102" i="1" a="1"/>
  <c r="K82" i="1" a="1"/>
  <c r="AK77" i="1" a="1"/>
  <c r="AA82" i="1" a="1"/>
  <c r="AG69" i="1" a="1"/>
  <c r="T45" i="1" a="1"/>
  <c r="J70" i="1" a="1"/>
  <c r="AB39" i="1" a="1"/>
  <c r="AG42" i="1" a="1"/>
  <c r="W42" i="1" a="1"/>
  <c r="AD66" i="1" a="1"/>
  <c r="AC44" i="1" a="1"/>
  <c r="S67" i="1" a="1"/>
  <c r="P40" i="1" a="1"/>
  <c r="X82" i="1" a="1"/>
  <c r="AA42" i="1" a="1"/>
  <c r="AC42" i="1" a="1"/>
  <c r="J66" i="1" a="1"/>
  <c r="N42" i="1" a="1"/>
  <c r="J97" i="1" a="1"/>
  <c r="N67" i="1" a="1"/>
  <c r="P64" i="1" a="1"/>
  <c r="P57" i="1" a="1"/>
  <c r="AC53" i="1" a="1"/>
  <c r="AF104" i="1" a="1"/>
  <c r="AH82" i="1" a="1"/>
  <c r="AG79" i="1" a="1"/>
  <c r="W71" i="1" a="1"/>
  <c r="G76" i="1" a="1"/>
  <c r="V78" i="1" a="1"/>
  <c r="F44" i="1" a="1"/>
  <c r="AE40" i="1" a="1"/>
  <c r="S74" i="1" a="1"/>
  <c r="K40" i="1" a="1"/>
  <c r="G68" i="1" a="1"/>
  <c r="T39" i="1" a="1"/>
  <c r="S39" i="1" a="1"/>
  <c r="G40" i="1" a="1"/>
  <c r="S38" i="1" a="1"/>
  <c r="Y44" i="1" a="1"/>
  <c r="L43" i="1" a="1"/>
  <c r="G73" i="1" a="1"/>
  <c r="F91" i="1" a="1"/>
  <c r="Z44" i="1" a="1"/>
  <c r="AA62" i="1" a="1"/>
  <c r="Q53" i="1" a="1"/>
  <c r="W51" i="1" a="1"/>
  <c r="AF100" i="1" a="1"/>
  <c r="AB81" i="1" a="1"/>
  <c r="Z99" i="1" a="1"/>
  <c r="T92" i="1" a="1"/>
  <c r="R74" i="1" a="1"/>
  <c r="AF75" i="1" a="1"/>
  <c r="V44" i="1" a="1"/>
  <c r="R38" i="1" a="1"/>
  <c r="AG70" i="1" a="1"/>
  <c r="W39" i="1" a="1"/>
  <c r="AK68" i="1" a="1"/>
  <c r="G39" i="1" a="1"/>
  <c r="Y38" i="1" a="1"/>
  <c r="J40" i="1" a="1"/>
  <c r="AK65" i="1" a="1"/>
  <c r="S43" i="1" a="1"/>
  <c r="AB65" i="1" a="1"/>
  <c r="H45" i="1" a="1"/>
  <c r="N55" i="1" a="1"/>
  <c r="AD102" i="1" a="1"/>
  <c r="O55" i="1" a="1"/>
  <c r="T90" i="1" a="1"/>
  <c r="F98" i="1" a="1"/>
  <c r="AF91" i="1" a="1"/>
  <c r="W87" i="1" a="1"/>
  <c r="X75" i="1" a="1"/>
  <c r="K76" i="1" a="1"/>
  <c r="AF68" i="1" a="1"/>
  <c r="Z41" i="1" a="1"/>
  <c r="F66" i="1" a="1"/>
  <c r="V39" i="1" a="1"/>
  <c r="U99" i="1" a="1"/>
  <c r="H41" i="1" a="1"/>
  <c r="W66" i="1" a="1"/>
  <c r="M43" i="1" a="1"/>
  <c r="K66" i="1" a="1"/>
  <c r="H77" i="1" a="1"/>
  <c r="O40" i="1" a="1"/>
  <c r="AI69" i="1" a="1"/>
  <c r="M38" i="1" a="1"/>
  <c r="X39" i="1" a="1"/>
  <c r="Z98" i="1" a="1"/>
  <c r="AK69" i="1" a="1"/>
  <c r="X57" i="1" a="1"/>
  <c r="O53" i="1" a="1"/>
  <c r="AD104" i="1" a="1"/>
  <c r="AK92" i="1" a="1"/>
  <c r="Z87" i="1" a="1"/>
  <c r="V88" i="1" a="1"/>
  <c r="AE76" i="1" a="1"/>
  <c r="AE77" i="1" a="1"/>
  <c r="R78" i="1" a="1"/>
  <c r="AG38" i="1" a="1"/>
  <c r="J38" i="1" a="1"/>
  <c r="M42" i="1" a="1"/>
  <c r="F39" i="1" a="1"/>
  <c r="AF80" i="1" a="1"/>
  <c r="V43" i="1" a="1"/>
  <c r="Q57" i="1" a="1"/>
  <c r="G49" i="1" a="1"/>
  <c r="AE46" i="1" a="1"/>
  <c r="O97" i="1" a="1"/>
  <c r="M80" i="1" a="1"/>
  <c r="Y89" i="1" a="1"/>
  <c r="I78" i="1" a="1"/>
  <c r="AC72" i="1" a="1"/>
  <c r="T74" i="1" a="1"/>
  <c r="AJ42" i="1" a="1"/>
  <c r="AE87" i="1" a="1"/>
  <c r="H69" i="1" a="1"/>
  <c r="Q103" i="1" a="1"/>
  <c r="AH53" i="1" a="1"/>
  <c r="Y103" i="1" a="1"/>
  <c r="AH70" i="1" a="1"/>
  <c r="R53" i="1" a="1"/>
  <c r="S85" i="1" a="1"/>
  <c r="Q48" i="1" a="1"/>
  <c r="M78" i="1" a="1"/>
  <c r="AH86" i="1" a="1"/>
  <c r="AC56" i="1" a="1"/>
  <c r="AJ53" i="1" a="1"/>
  <c r="AH104" i="1" a="1"/>
  <c r="N93" i="1" a="1"/>
  <c r="O88" i="1" a="1"/>
  <c r="J88" i="1" a="1"/>
  <c r="AG71" i="1" a="1"/>
  <c r="I73" i="1" a="1"/>
  <c r="AD53" i="1" a="1"/>
  <c r="AC47" i="1" a="1"/>
  <c r="O48" i="1" a="1"/>
  <c r="P51" i="1" a="1"/>
  <c r="V96" i="1" a="1"/>
  <c r="V98" i="1" a="1"/>
  <c r="AD69" i="1" a="1"/>
  <c r="T79" i="1" a="1"/>
  <c r="Y96" i="1" a="1"/>
  <c r="AI90" i="1" a="1"/>
  <c r="K78" i="1" a="1"/>
  <c r="G45" i="1" a="1"/>
  <c r="Z48" i="1" a="1"/>
  <c r="I89" i="1" a="1"/>
  <c r="AB70" i="1" a="1"/>
  <c r="S68" i="1" a="1"/>
  <c r="J58" i="1" a="1"/>
  <c r="U80" i="1" a="1"/>
  <c r="AA44" i="1" a="1"/>
  <c r="Y76" i="1" a="1"/>
  <c r="P39" i="1" a="1"/>
  <c r="F41" i="1" a="1"/>
  <c r="I43" i="1" a="1"/>
  <c r="AF95" i="1" a="1"/>
  <c r="L95" i="1" a="1"/>
  <c r="AA41" i="1" a="1"/>
  <c r="T66" i="1" a="1"/>
  <c r="T72" i="1" a="1"/>
  <c r="AJ79" i="1" a="1"/>
  <c r="N45" i="1" a="1"/>
  <c r="AH45" i="1" a="1"/>
  <c r="Q75" i="1" a="1"/>
  <c r="AA58" i="1" a="1"/>
  <c r="AA46" i="1" a="1"/>
  <c r="AK88" i="1" a="1"/>
  <c r="AE79" i="1" a="1"/>
  <c r="G82" i="1" a="1"/>
  <c r="S70" i="1" a="1"/>
  <c r="AI86" i="1" a="1"/>
  <c r="AB42" i="1" a="1"/>
  <c r="N78" i="1" a="1"/>
  <c r="AH75" i="1" a="1"/>
  <c r="AA45" i="1" a="1"/>
  <c r="I45" i="1" a="1"/>
  <c r="X88" i="1" a="1"/>
  <c r="AK47" i="1" a="1"/>
  <c r="Q50" i="1" a="1"/>
  <c r="AE92" i="1" a="1"/>
  <c r="R99" i="1" a="1"/>
  <c r="V87" i="1" a="1"/>
  <c r="Y78" i="1" a="1"/>
  <c r="K74" i="1" a="1"/>
  <c r="AK44" i="1" a="1"/>
  <c r="AJ43" i="1" a="1"/>
  <c r="O67" i="1" a="1"/>
  <c r="R39" i="1" a="1"/>
  <c r="AJ75" i="1" a="1"/>
  <c r="AB71" i="1" a="1"/>
  <c r="N66" i="1" a="1"/>
  <c r="AD41" i="1" a="1"/>
  <c r="F67" i="1" a="1"/>
  <c r="AE44" i="1" a="1"/>
  <c r="AI67" i="1" a="1"/>
  <c r="Z58" i="1" a="1"/>
  <c r="AK105" i="1" a="1"/>
  <c r="M90" i="1" a="1"/>
  <c r="I99" i="1" a="1"/>
  <c r="W101" i="1" a="1"/>
  <c r="K75" i="1" a="1"/>
  <c r="V74" i="1" a="1"/>
  <c r="AH38" i="1" a="1"/>
  <c r="N69" i="1" a="1"/>
  <c r="AB44" i="1" a="1"/>
  <c r="AI73" i="1" a="1"/>
  <c r="AD62" i="1" a="1"/>
  <c r="AH57" i="1" a="1"/>
  <c r="AC103" i="1" a="1"/>
  <c r="J95" i="1" a="1"/>
  <c r="AE88" i="1" a="1"/>
  <c r="I77" i="1" a="1"/>
  <c r="Q77" i="1" a="1"/>
  <c r="Z67" i="1" a="1"/>
  <c r="Z68" i="1" a="1"/>
  <c r="M40" i="1" a="1"/>
  <c r="V70" i="1" a="1"/>
  <c r="J105" i="1" a="1"/>
  <c r="T86" i="1" a="1"/>
  <c r="AK52" i="1" a="1"/>
  <c r="AB55" i="1" a="1"/>
  <c r="H50" i="1" a="1"/>
  <c r="AD87" i="1" a="1"/>
  <c r="AA97" i="1" a="1"/>
  <c r="G88" i="1" a="1"/>
  <c r="X77" i="1" a="1"/>
  <c r="K91" i="1" a="1"/>
  <c r="AG101" i="1" a="1"/>
  <c r="AC67" i="1" a="1"/>
  <c r="AG67" i="1" a="1"/>
  <c r="L38" i="1" a="1"/>
  <c r="AA38" i="1" a="1"/>
  <c r="AG45" i="1" a="1"/>
  <c r="AI40" i="1" a="1"/>
  <c r="AI43" i="1" a="1"/>
  <c r="U42" i="1" a="1"/>
  <c r="U44" i="1" a="1"/>
  <c r="AB68" i="1" a="1"/>
  <c r="P38" i="1" a="1"/>
  <c r="Z38" i="1" a="1"/>
  <c r="Q41" i="1" a="1"/>
  <c r="AI66" i="1" a="1"/>
  <c r="AK43" i="1" a="1"/>
  <c r="AE81" i="1" a="1"/>
  <c r="AC68" i="1" a="1"/>
  <c r="X56" i="1" a="1"/>
  <c r="G47" i="1" a="1"/>
  <c r="L57" i="1" a="1"/>
  <c r="AG94" i="1" a="1"/>
  <c r="J79" i="1" a="1"/>
  <c r="S88" i="1" a="1"/>
  <c r="X76" i="1" a="1"/>
  <c r="H72" i="1" a="1"/>
  <c r="AB76" i="1" a="1"/>
  <c r="Z40" i="1" a="1"/>
  <c r="X68" i="1" a="1"/>
  <c r="L94" i="1" a="1"/>
  <c r="S72" i="1" a="1"/>
  <c r="AE65" i="1" a="1"/>
  <c r="AE52" i="1" a="1"/>
  <c r="V40" i="1" a="1"/>
  <c r="Q62" i="1" a="1"/>
  <c r="Z47" i="1" a="1"/>
  <c r="AG51" i="1" a="1"/>
  <c r="G95" i="1" a="1"/>
  <c r="Q92" i="1" a="1"/>
  <c r="X91" i="1" a="1"/>
  <c r="U88" i="1" a="1"/>
  <c r="R85" i="1" a="1"/>
  <c r="U73" i="1" a="1"/>
  <c r="AC71" i="1" a="1"/>
  <c r="Y45" i="1" a="1"/>
  <c r="AD42" i="1" a="1"/>
  <c r="T40" i="1" a="1"/>
  <c r="O44" i="1" a="1"/>
  <c r="AF43" i="1" a="1"/>
  <c r="F68" i="1" a="1"/>
  <c r="V66" i="1" a="1"/>
  <c r="W68" i="1" a="1"/>
  <c r="AD67" i="1" a="1"/>
  <c r="T42" i="1" a="1"/>
  <c r="AC38" i="1" a="1"/>
  <c r="N40" i="1" a="1"/>
  <c r="AE41" i="1" a="1"/>
  <c r="AB67" i="1" a="1"/>
  <c r="O41" i="1" a="1"/>
  <c r="Z92" i="1" a="1"/>
  <c r="AB77" i="1" a="1"/>
  <c r="AI78" i="1" a="1"/>
  <c r="AF79" i="1" a="1"/>
  <c r="X49" i="1" a="1"/>
  <c r="AG86" i="1" a="1"/>
  <c r="AF72" i="1" a="1"/>
  <c r="Q44" i="1" a="1"/>
  <c r="S51" i="1" a="1"/>
  <c r="L53" i="1" a="1"/>
  <c r="AG72" i="1" a="1"/>
  <c r="Y42" i="1" a="1"/>
  <c r="U70" i="1" a="1"/>
  <c r="F42" i="1" a="1"/>
  <c r="G92" i="1" a="1"/>
  <c r="U57" i="1" a="1"/>
  <c r="L102" i="1" a="1"/>
  <c r="AA91" i="1" a="1"/>
  <c r="G64" i="1" a="1"/>
  <c r="U105" i="1" a="1"/>
  <c r="M88" i="1" a="1"/>
  <c r="AC96" i="1" a="1"/>
  <c r="L99" i="1" a="1"/>
  <c r="F64" i="1" a="1"/>
  <c r="H48" i="1" a="1"/>
  <c r="AC105" i="1" a="1"/>
  <c r="H104" i="1" a="1"/>
  <c r="H97" i="1" a="1"/>
  <c r="J99" i="1" a="1"/>
  <c r="Y104" i="1" a="1"/>
  <c r="S86" i="1" a="1"/>
  <c r="AE57" i="1" a="1"/>
  <c r="U50" i="1" a="1"/>
  <c r="J103" i="1" a="1"/>
  <c r="M102" i="1" a="1"/>
  <c r="X93" i="1" a="1"/>
  <c r="AH78" i="1" a="1"/>
  <c r="AG90" i="1" a="1"/>
  <c r="H75" i="1" a="1"/>
  <c r="Q52" i="1" a="1"/>
  <c r="AB88" i="1" a="1"/>
  <c r="J76" i="1" a="1"/>
  <c r="P45" i="1" a="1"/>
  <c r="G38" i="1" a="1"/>
  <c r="Q100" i="1" a="1"/>
  <c r="K70" i="1" a="1"/>
  <c r="Y66" i="1" a="1"/>
  <c r="AJ40" i="1" a="1"/>
  <c r="AI54" i="1" a="1"/>
  <c r="AC70" i="1" a="1"/>
  <c r="I41" i="1" a="1"/>
  <c r="AK39" i="1" a="1"/>
  <c r="AE66" i="1" a="1"/>
  <c r="AE74" i="1" a="1"/>
  <c r="AK58" i="1" a="1"/>
  <c r="M93" i="1" a="1"/>
  <c r="R81" i="1" a="1"/>
  <c r="AC39" i="1" a="1"/>
  <c r="M41" i="1" a="1"/>
  <c r="U67" i="1" a="1"/>
  <c r="P69" i="1" a="1"/>
  <c r="AF88" i="1" a="1"/>
  <c r="I66" i="1" a="1"/>
  <c r="N74" i="1" a="1"/>
  <c r="AB48" i="1" a="1"/>
  <c r="G46" i="1" a="1"/>
  <c r="AK81" i="1" a="1"/>
  <c r="AA70" i="1" a="1"/>
  <c r="S75" i="1" a="1"/>
  <c r="X44" i="1" a="1"/>
  <c r="W67" i="1" a="1"/>
  <c r="Z39" i="1" a="1"/>
  <c r="AA67" i="1" a="1"/>
  <c r="AJ65" i="1" a="1"/>
  <c r="Y39" i="1" a="1"/>
  <c r="AF44" i="1" a="1"/>
  <c r="X42" i="1" a="1"/>
  <c r="L52" i="1" a="1"/>
  <c r="S105" i="1" a="1"/>
  <c r="I97" i="1" a="1"/>
  <c r="J96" i="1" a="1"/>
  <c r="AC77" i="1" a="1"/>
  <c r="AE78" i="1" a="1"/>
  <c r="AC43" i="1" a="1"/>
  <c r="U69" i="1" a="1"/>
  <c r="Y41" i="1" a="1"/>
  <c r="Q66" i="1" a="1"/>
  <c r="J45" i="1" a="1"/>
  <c r="L68" i="1" a="1"/>
  <c r="R71" i="1" a="1"/>
  <c r="Z45" i="1" a="1"/>
  <c r="AD76" i="1" a="1"/>
  <c r="X40" i="1" a="1"/>
  <c r="O62" i="1" a="1"/>
  <c r="AD68" i="1" a="1"/>
  <c r="F47" i="1" a="1"/>
  <c r="L55" i="1" a="1"/>
  <c r="R100" i="1" a="1"/>
  <c r="U98" i="1" a="1"/>
  <c r="P86" i="1" a="1"/>
  <c r="I74" i="1" a="1"/>
  <c r="P102" i="1" a="1"/>
  <c r="X69" i="1" a="1"/>
  <c r="AK67" i="1" a="1"/>
  <c r="T67" i="1" a="1"/>
  <c r="AA71" i="1" a="1"/>
  <c r="X54" i="1" a="1"/>
  <c r="AE49" i="1" a="1"/>
  <c r="I104" i="1" a="1"/>
  <c r="X65" i="1" a="1"/>
  <c r="AD82" i="1" a="1"/>
  <c r="X70" i="1" a="1"/>
  <c r="Y75" i="1" a="1"/>
  <c r="AI39" i="1" a="1"/>
  <c r="R43" i="1" a="1"/>
  <c r="X38" i="1" a="1"/>
  <c r="L73" i="1" a="1"/>
  <c r="U74" i="1" a="1"/>
  <c r="L66" i="1" a="1"/>
  <c r="I56" i="1" a="1"/>
  <c r="J47" i="1" a="1"/>
  <c r="V58" i="1" a="1"/>
  <c r="N96" i="1" a="1"/>
  <c r="G79" i="1" a="1"/>
  <c r="P89" i="1" a="1"/>
  <c r="U76" i="1" a="1"/>
  <c r="Y73" i="1" a="1"/>
  <c r="T73" i="1" a="1"/>
  <c r="AH42" i="1" a="1"/>
  <c r="R79" i="1" a="1"/>
  <c r="Q68" i="1" a="1"/>
  <c r="L42" i="1" a="1"/>
  <c r="V38" i="1" a="1"/>
  <c r="AH39" i="1" a="1"/>
  <c r="S71" i="1" a="1"/>
  <c r="AJ38" i="1" a="1"/>
  <c r="S91" i="1" a="1"/>
  <c r="K44" i="1" a="1"/>
  <c r="P68" i="1" a="1"/>
  <c r="P72" i="1" a="1"/>
  <c r="AA74" i="1" a="1"/>
  <c r="U39" i="1" a="1"/>
  <c r="AD43" i="1" a="1"/>
  <c r="AD73" i="1" a="1"/>
  <c r="H42" i="1" a="1"/>
  <c r="Z55" i="1" a="1"/>
  <c r="AE47" i="1" a="1"/>
  <c r="M50" i="1" a="1"/>
  <c r="U54" i="1" a="1"/>
  <c r="M97" i="1" a="1"/>
  <c r="AC81" i="1" a="1"/>
  <c r="O74" i="1" a="1"/>
  <c r="AI75" i="1" a="1"/>
  <c r="X74" i="1" a="1"/>
  <c r="AA43" i="1" a="1"/>
  <c r="AD40" i="1" a="1"/>
  <c r="H43" i="1" a="1"/>
  <c r="AE42" i="1" a="1"/>
  <c r="O69" i="1" a="1"/>
  <c r="AI77" i="1" a="1"/>
  <c r="R42" i="1" a="1"/>
  <c r="Z63" i="1" a="1"/>
  <c r="AK49" i="1" a="1"/>
  <c r="S46" i="1" a="1"/>
  <c r="Z97" i="1" a="1"/>
  <c r="O89" i="1" a="1"/>
  <c r="O99" i="1" a="1"/>
  <c r="S73" i="1" a="1"/>
  <c r="Z79" i="1" a="1"/>
  <c r="AI98" i="1" a="1"/>
  <c r="AJ66" i="1" a="1"/>
  <c r="AI68" i="1" a="1"/>
  <c r="AJ80" i="1" a="1"/>
  <c r="AI44" i="1" a="1"/>
  <c r="L40" i="1" a="1"/>
  <c r="AJ39" i="1" a="1"/>
  <c r="G43" i="1" a="1"/>
  <c r="T41" i="1" a="1"/>
  <c r="AK42" i="1" a="1"/>
  <c r="AE67" i="1" a="1"/>
  <c r="AC66" i="1" a="1"/>
  <c r="T69" i="1" a="1"/>
  <c r="K39" i="1" a="1"/>
  <c r="Q39" i="1" a="1"/>
  <c r="I44" i="1" a="1"/>
  <c r="AF45" i="1" a="1"/>
  <c r="Z42" i="1" a="1"/>
  <c r="V79" i="1" a="1"/>
  <c r="I98" i="1" a="1"/>
  <c r="N39" i="1" a="1"/>
  <c r="X66" i="1" a="1"/>
  <c r="Q69" i="1" a="1"/>
  <c r="M72" i="1" a="1"/>
  <c r="AD56" i="1" a="1"/>
  <c r="AC99" i="1" a="1"/>
  <c r="W102" i="1" a="1"/>
  <c r="F79" i="1" a="1"/>
  <c r="Z70" i="1" a="1"/>
  <c r="G66" i="1" a="1"/>
  <c r="J67" i="1" a="1"/>
  <c r="G41" i="1" a="1"/>
  <c r="I67" i="1" a="1"/>
  <c r="Q55" i="1" a="1"/>
  <c r="R103" i="1" a="1"/>
  <c r="Q95" i="1" a="1"/>
  <c r="P75" i="1" a="1"/>
  <c r="Q45" i="1" a="1"/>
  <c r="T101" i="1" a="1"/>
  <c r="AD52" i="1" a="1"/>
  <c r="Z90" i="1" a="1"/>
  <c r="AF78" i="1" a="1"/>
  <c r="AJ98" i="1" a="1"/>
  <c r="P43" i="1" a="1"/>
  <c r="I55" i="1" a="1"/>
  <c r="AE63" i="1" a="1"/>
  <c r="O103" i="1" a="1"/>
  <c r="N94" i="1" a="1"/>
  <c r="AD91" i="1" a="1"/>
  <c r="AJ74" i="1" a="1"/>
  <c r="K38" i="1" a="1"/>
  <c r="AF40" i="1" a="1"/>
  <c r="J44" i="1" a="1"/>
  <c r="Y67" i="1" a="1"/>
  <c r="AA68" i="1" a="1"/>
  <c r="Q42" i="1" a="1"/>
  <c r="N71" i="1" a="1"/>
  <c r="Q38" i="1" a="1"/>
  <c r="AH52" i="1" a="1"/>
  <c r="AH96" i="1" a="1"/>
  <c r="S99" i="1" a="1"/>
  <c r="J42" i="1" a="1"/>
  <c r="AG68" i="1" a="1"/>
  <c r="U72" i="1" a="1"/>
  <c r="AC51" i="1" a="1"/>
  <c r="L98" i="1" a="1"/>
  <c r="V80" i="1" a="1"/>
  <c r="AB75" i="1" a="1"/>
  <c r="AG66" i="1" a="1"/>
  <c r="AJ68" i="1" a="1"/>
  <c r="X41" i="1" a="1"/>
  <c r="AD65" i="1" a="1"/>
  <c r="J68" i="1" a="1"/>
  <c r="P44" i="1" a="1"/>
  <c r="K67" i="1" a="1"/>
  <c r="M65" i="1" a="1"/>
  <c r="AI101" i="1" a="1"/>
  <c r="F102" i="1" a="1"/>
  <c r="L104" i="1" a="1"/>
  <c r="AE54" i="1" a="1"/>
  <c r="G78" i="1" a="1"/>
  <c r="W63" i="1" a="1"/>
  <c r="F95" i="1" a="1"/>
  <c r="I76" i="1" a="1"/>
  <c r="AC55" i="1" a="1"/>
  <c r="L103" i="1" a="1"/>
  <c r="O56" i="1" a="1"/>
  <c r="W89" i="1" a="1"/>
  <c r="J100" i="1" a="1"/>
  <c r="AH92" i="1" a="1"/>
  <c r="AC88" i="1" a="1"/>
  <c r="L79" i="1" a="1"/>
  <c r="AB52" i="1" a="1"/>
  <c r="Q54" i="1" a="1"/>
  <c r="K49" i="1" a="1"/>
  <c r="S55" i="1" a="1"/>
  <c r="AE95" i="1" a="1"/>
  <c r="H86" i="1" a="1"/>
  <c r="AG76" i="1" a="1"/>
  <c r="AC94" i="1" a="1"/>
  <c r="X52" i="1" a="1"/>
  <c r="Q80" i="1" a="1"/>
  <c r="O45" i="1" a="1"/>
  <c r="AK72" i="1" a="1"/>
  <c r="I63" i="1" a="1"/>
  <c r="AJ96" i="1" a="1"/>
  <c r="R102" i="1" a="1"/>
  <c r="H39" i="1" a="1"/>
  <c r="K42" i="1" a="1"/>
  <c r="AE104" i="1" a="1"/>
  <c r="AK75" i="1" a="1"/>
  <c r="AK74" i="1" a="1"/>
  <c r="AF39" i="1" a="1"/>
  <c r="X71" i="1" a="1"/>
  <c r="AA79" i="1" a="1"/>
  <c r="AJ102" i="1" a="1"/>
  <c r="AI94" i="1" a="1"/>
  <c r="V85" i="1" a="1"/>
  <c r="I70" i="1" a="1"/>
  <c r="G96" i="1" a="1"/>
  <c r="AJ41" i="1" a="1"/>
  <c r="Z71" i="1" a="1"/>
  <c r="M67" i="1" a="1"/>
  <c r="T44" i="1" a="1"/>
  <c r="O43" i="1" a="1"/>
  <c r="Z56" i="1" a="1"/>
  <c r="H94" i="1" a="1"/>
  <c r="S90" i="1" a="1"/>
  <c r="AD88" i="1" a="1"/>
  <c r="AC41" i="1" a="1"/>
  <c r="L44" i="1" a="1"/>
  <c r="J71" i="1" a="1"/>
  <c r="I75" i="1" a="1"/>
  <c r="F43" i="1" a="1"/>
  <c r="K68" i="1" a="1"/>
  <c r="H74" i="1" a="1"/>
  <c r="H70" i="1" a="1"/>
  <c r="L58" i="1" a="1"/>
  <c r="I54" i="1" a="1"/>
  <c r="AE103" i="1" a="1"/>
  <c r="N99" i="1" a="1"/>
  <c r="AH87" i="1" a="1"/>
  <c r="L71" i="1" a="1"/>
  <c r="J75" i="1" a="1"/>
  <c r="AG41" i="1" a="1"/>
  <c r="N44" i="1" a="1"/>
  <c r="U45" i="1" a="1"/>
  <c r="Q70" i="1" a="1"/>
  <c r="AJ70" i="1" a="1"/>
  <c r="AC40" i="1" a="1"/>
  <c r="AJ67" i="1" a="1"/>
  <c r="I38" i="1" a="1"/>
  <c r="AG65" i="1" a="1"/>
  <c r="M66" i="1" a="1"/>
  <c r="AD100" i="1" a="1"/>
  <c r="R63" i="1" a="1"/>
  <c r="P103" i="1" a="1"/>
  <c r="W49" i="1" a="1"/>
  <c r="X96" i="1" a="1"/>
  <c r="AB91" i="1" a="1"/>
  <c r="AJ78" i="1" a="1"/>
  <c r="H78" i="1" a="1"/>
  <c r="AE68" i="1" a="1"/>
  <c r="AF69" i="1" a="1"/>
  <c r="AC45" i="1" a="1"/>
  <c r="H65" i="1" a="1"/>
  <c r="R70" i="1" a="1"/>
  <c r="R55" i="1" a="1"/>
  <c r="X103" i="1" a="1"/>
  <c r="U89" i="1" a="1"/>
  <c r="AA101" i="1" a="1"/>
  <c r="T95" i="1" a="1"/>
  <c r="AB99" i="1" a="1"/>
  <c r="W78" i="1" a="1"/>
  <c r="N38" i="1" a="1"/>
  <c r="AD39" i="1" a="1"/>
  <c r="V75" i="1" a="1"/>
  <c r="AB69" i="1" a="1"/>
  <c r="F73" i="1" a="1"/>
  <c r="N43" i="1" a="1"/>
  <c r="U55" i="1" a="1"/>
  <c r="T49" i="1" a="1"/>
  <c r="W52" i="1" a="1"/>
  <c r="O57" i="1" a="1"/>
  <c r="AK97" i="1" a="1"/>
  <c r="AA81" i="1" a="1"/>
  <c r="Z74" i="1" a="1"/>
  <c r="T76" i="1" a="1"/>
  <c r="M77" i="1" a="1"/>
  <c r="W40" i="1" a="1"/>
  <c r="AH67" i="1" a="1"/>
  <c r="AG43" i="1" a="1"/>
  <c r="Q73" i="1" a="1"/>
  <c r="G69" i="1" a="1"/>
  <c r="K43" i="1" a="1"/>
  <c r="AI71" i="1" a="1"/>
  <c r="W69" i="1" a="1"/>
  <c r="Z66" i="1" a="1"/>
  <c r="P41" i="1" a="1"/>
  <c r="Z96" i="1" a="1"/>
  <c r="AG44" i="1" a="1"/>
  <c r="H44" i="1" a="1"/>
  <c r="S69" i="1" a="1"/>
  <c r="AJ45" i="1" a="1"/>
  <c r="AD71" i="1" a="1"/>
  <c r="T64" i="1" a="1"/>
  <c r="M51" i="1" a="1"/>
  <c r="V102" i="1" a="1"/>
  <c r="V101" i="1" a="1"/>
  <c r="S94" i="1" a="1"/>
  <c r="P79" i="1" a="1"/>
  <c r="G91" i="1" a="1"/>
  <c r="R69" i="1" a="1"/>
  <c r="Q74" i="1" a="1"/>
  <c r="AK66" i="1" a="1"/>
  <c r="K77" i="1" a="1"/>
  <c r="Z73" i="1" a="1"/>
  <c r="AF38" i="1" a="1"/>
  <c r="G44" i="1" a="1"/>
  <c r="AB40" i="1" a="1"/>
  <c r="G89" i="1" a="1"/>
  <c r="AG40" i="1" a="1"/>
  <c r="AA54" i="1" a="1"/>
  <c r="AA104" i="1" a="1"/>
  <c r="K52" i="1" a="1"/>
  <c r="U103" i="1" a="1"/>
  <c r="V77" i="1" a="1"/>
  <c r="Q86" i="1" a="1"/>
  <c r="AH99" i="1" a="1"/>
  <c r="M71" i="1" a="1"/>
  <c r="K72" i="1" a="1"/>
  <c r="I42" i="1" a="1"/>
  <c r="H73" i="1" a="1"/>
  <c r="AB66" i="1" a="1"/>
  <c r="Z43" i="1" a="1"/>
  <c r="I81" i="1" a="1"/>
  <c r="X45" i="1" a="1"/>
  <c r="AA40" i="1" a="1"/>
  <c r="AF42" i="1" a="1"/>
  <c r="AE73" i="1" a="1"/>
  <c r="AH43" i="1" a="1"/>
  <c r="AD77" i="1" a="1"/>
  <c r="AD38" i="1" a="1"/>
  <c r="K41" i="1" a="1"/>
  <c r="AE43" i="1" a="1"/>
  <c r="L45" i="1" a="1"/>
  <c r="Y71" i="1" a="1"/>
  <c r="U38" i="1" a="1"/>
  <c r="Y74" i="1" a="1"/>
  <c r="R73" i="1" a="1"/>
  <c r="M55" i="1" a="1"/>
  <c r="Z82" i="1" a="1"/>
  <c r="AI105" i="1" a="1"/>
  <c r="AG85" i="1" a="1"/>
  <c r="N104" i="1" a="1"/>
  <c r="AA96" i="1" a="1"/>
  <c r="AH74" i="1" a="1"/>
  <c r="T62" i="1" a="1"/>
  <c r="N52" i="1" a="1"/>
  <c r="T50" i="1" a="1"/>
  <c r="W99" i="1" a="1"/>
  <c r="P99" i="1" a="1"/>
  <c r="AF96" i="1" a="1"/>
  <c r="S79" i="1" a="1"/>
  <c r="AD86" i="1" a="1"/>
  <c r="W56" i="1" a="1"/>
  <c r="AB46" i="1" a="1"/>
  <c r="I57" i="1" a="1"/>
  <c r="O95" i="1" a="1"/>
  <c r="AD78" i="1" a="1"/>
  <c r="L88" i="1" a="1"/>
  <c r="O96" i="1" a="1"/>
  <c r="AI74" i="1" a="1"/>
  <c r="AK99" i="1" a="1"/>
  <c r="O73" i="1" a="1"/>
  <c r="P67" i="1" a="1"/>
  <c r="Y40" i="1" a="1"/>
  <c r="W103" i="1" a="1"/>
  <c r="AI99" i="1" a="1"/>
  <c r="L41" i="1" a="1"/>
  <c r="X73" i="1" a="1"/>
  <c r="U64" i="1" a="1"/>
  <c r="I85" i="1" a="1"/>
  <c r="S41" i="1" a="1"/>
  <c r="J41" i="1" a="1"/>
  <c r="AF65" i="1" a="1"/>
  <c r="F87" i="1" a="1"/>
  <c r="AG46" i="1" a="1"/>
  <c r="L81" i="1" a="1"/>
  <c r="R75" i="1" a="1"/>
  <c r="U66" i="1" a="1"/>
  <c r="Y68" i="1" a="1"/>
  <c r="AD75" i="1" a="1"/>
  <c r="H67" i="1" a="1"/>
  <c r="AC65" i="1" a="1"/>
  <c r="AC52" i="1" a="1"/>
  <c r="P66" i="1" a="1"/>
  <c r="N46" i="1" a="1"/>
  <c r="T85" i="1" a="1"/>
  <c r="AH79" i="1" a="1"/>
  <c r="U41" i="1" a="1"/>
  <c r="Q67" i="1" a="1"/>
  <c r="N41" i="1" a="1"/>
  <c r="AB63" i="1" a="1"/>
  <c r="AG105" i="1" a="1"/>
  <c r="Y87" i="1" a="1"/>
  <c r="M74" i="1" a="1"/>
  <c r="O38" i="1" a="1"/>
  <c r="J78" i="1" a="1"/>
  <c r="AB41" i="1" a="1"/>
  <c r="S40" i="1" a="1"/>
  <c r="U40" i="1" a="1"/>
  <c r="AB45" i="1" a="1"/>
  <c r="AC50" i="1" a="1"/>
  <c r="V97" i="1" a="1"/>
  <c r="Y70" i="1" a="1"/>
  <c r="J43" i="1" a="1"/>
  <c r="M70" i="1" a="1"/>
  <c r="V69" i="1" a="1"/>
  <c r="H51" i="1" a="1"/>
  <c r="L80" i="1" a="1"/>
  <c r="AJ76" i="1" a="1"/>
  <c r="Y77" i="1" a="1"/>
  <c r="AD44" i="1" a="1"/>
  <c r="G87" i="1" a="1"/>
  <c r="T51" i="1" a="1"/>
  <c r="H102" i="1" a="1"/>
  <c r="J80" i="1" a="1"/>
  <c r="AH68" i="1" a="1"/>
  <c r="X43" i="1" a="1"/>
  <c r="Z65" i="1" a="1"/>
  <c r="P70" i="1" a="1"/>
  <c r="K69" i="1" a="1"/>
  <c r="AF93" i="1" a="1"/>
  <c r="J69" i="1" a="1"/>
  <c r="U101" i="1" a="1"/>
  <c r="H55" i="1" a="1"/>
  <c r="AK57" i="1" a="1"/>
  <c r="U77" i="1" a="1"/>
  <c r="AJ44" i="1" a="1"/>
  <c r="AB43" i="1" a="1"/>
  <c r="M69" i="1" a="1"/>
  <c r="S100" i="1" a="1"/>
  <c r="H89" i="1" a="1"/>
  <c r="AC97" i="1" a="1"/>
  <c r="H40" i="1" a="1"/>
  <c r="M68" i="1" a="1"/>
  <c r="AH41" i="1" a="1"/>
  <c r="T68" i="1" a="1"/>
  <c r="O70" i="1" a="1"/>
  <c r="O68" i="1" a="1"/>
  <c r="G1" i="1"/>
  <c r="AC45" i="1" l="1"/>
  <c r="I38" i="1"/>
  <c r="R40" i="1"/>
  <c r="AA42" i="1"/>
  <c r="V67" i="1"/>
  <c r="N70" i="1"/>
  <c r="I44" i="1"/>
  <c r="T68" i="1"/>
  <c r="AB38" i="1"/>
  <c r="AB40" i="1"/>
  <c r="P41" i="1"/>
  <c r="H45" i="1"/>
  <c r="M38" i="1"/>
  <c r="Z45" i="1"/>
  <c r="AA45" i="1"/>
  <c r="N45" i="1"/>
  <c r="K45" i="1"/>
  <c r="G45" i="1"/>
  <c r="AK41" i="1"/>
  <c r="AH43" i="1"/>
  <c r="N43" i="1"/>
  <c r="AD43" i="1"/>
  <c r="K44" i="1"/>
  <c r="AE44" i="1"/>
  <c r="AB65" i="1"/>
  <c r="N66" i="1"/>
  <c r="AF65" i="1"/>
  <c r="R67" i="1"/>
  <c r="AE66" i="1"/>
  <c r="O68" i="1"/>
  <c r="AB67" i="1"/>
  <c r="AE67" i="1"/>
  <c r="V69" i="1"/>
  <c r="O69" i="1"/>
  <c r="AB68" i="1"/>
  <c r="AB69" i="1"/>
  <c r="AE74" i="1"/>
  <c r="H77" i="1"/>
  <c r="AF88" i="1"/>
  <c r="S38" i="1"/>
  <c r="P40" i="1"/>
  <c r="AJ40" i="1"/>
  <c r="R44" i="1"/>
  <c r="AD67" i="1"/>
  <c r="AK69" i="1"/>
  <c r="AK43" i="1"/>
  <c r="AA68" i="1"/>
  <c r="AA79" i="1"/>
  <c r="AH45" i="1"/>
  <c r="S40" i="1"/>
  <c r="N41" i="1"/>
  <c r="R41" i="1"/>
  <c r="T43" i="1"/>
  <c r="S44" i="1"/>
  <c r="P44" i="1"/>
  <c r="AD65" i="1"/>
  <c r="P66" i="1"/>
  <c r="AE65" i="1"/>
  <c r="Z66" i="1"/>
  <c r="T67" i="1"/>
  <c r="F67" i="1"/>
  <c r="AJ67" i="1"/>
  <c r="K68" i="1"/>
  <c r="V68" i="1"/>
  <c r="F70" i="1"/>
  <c r="Y71" i="1"/>
  <c r="AK72" i="1"/>
  <c r="AE73" i="1"/>
  <c r="AB77" i="1"/>
  <c r="AF79" i="1"/>
  <c r="S91" i="1"/>
  <c r="X39" i="1"/>
  <c r="M42" i="1"/>
  <c r="R71" i="1"/>
  <c r="AK65" i="1"/>
  <c r="X71" i="1"/>
  <c r="P39" i="1"/>
  <c r="Y43" i="1"/>
  <c r="AE43" i="1"/>
  <c r="AK42" i="1"/>
  <c r="W43" i="1"/>
  <c r="AB43" i="1"/>
  <c r="U44" i="1"/>
  <c r="T44" i="1"/>
  <c r="J66" i="1"/>
  <c r="K66" i="1"/>
  <c r="AJ65" i="1"/>
  <c r="H67" i="1"/>
  <c r="S67" i="1"/>
  <c r="AF66" i="1"/>
  <c r="I68" i="1"/>
  <c r="W68" i="1"/>
  <c r="M69" i="1"/>
  <c r="S69" i="1"/>
  <c r="K69" i="1"/>
  <c r="H70" i="1"/>
  <c r="M72" i="1"/>
  <c r="AB71" i="1"/>
  <c r="AH75" i="1"/>
  <c r="X82" i="1"/>
  <c r="M92" i="1"/>
  <c r="AF45" i="1"/>
  <c r="Q39" i="1"/>
  <c r="AH41" i="1"/>
  <c r="H42" i="1"/>
  <c r="G44" i="1"/>
  <c r="W69" i="1"/>
  <c r="L73" i="1"/>
  <c r="L43" i="1"/>
  <c r="J67" i="1"/>
  <c r="Q69" i="1"/>
  <c r="Z71" i="1"/>
  <c r="AD45" i="1"/>
  <c r="W38" i="1"/>
  <c r="Q40" i="1"/>
  <c r="AF42" i="1"/>
  <c r="M45" i="1"/>
  <c r="U39" i="1"/>
  <c r="AJ38" i="1"/>
  <c r="F39" i="1"/>
  <c r="U40" i="1"/>
  <c r="AC40" i="1"/>
  <c r="J40" i="1"/>
  <c r="G40" i="1"/>
  <c r="J41" i="1"/>
  <c r="O41" i="1"/>
  <c r="AE41" i="1"/>
  <c r="T41" i="1"/>
  <c r="X42" i="1"/>
  <c r="AE42" i="1"/>
  <c r="U42" i="1"/>
  <c r="N42" i="1"/>
  <c r="G42" i="1"/>
  <c r="M43" i="1"/>
  <c r="F43" i="1"/>
  <c r="Q43" i="1"/>
  <c r="AC44" i="1"/>
  <c r="W44" i="1"/>
  <c r="AA65" i="1"/>
  <c r="V66" i="1"/>
  <c r="L66" i="1"/>
  <c r="AI66" i="1"/>
  <c r="Y67" i="1"/>
  <c r="I67" i="1"/>
  <c r="AK67" i="1"/>
  <c r="L68" i="1"/>
  <c r="AA67" i="1"/>
  <c r="P69" i="1"/>
  <c r="Y69" i="1"/>
  <c r="AC69" i="1"/>
  <c r="O70" i="1"/>
  <c r="U70" i="1"/>
  <c r="F71" i="1"/>
  <c r="S72" i="1"/>
  <c r="AI71" i="1"/>
  <c r="G73" i="1"/>
  <c r="H74" i="1"/>
  <c r="AJ75" i="1"/>
  <c r="N78" i="1"/>
  <c r="AJ79" i="1"/>
  <c r="O85" i="1"/>
  <c r="G92" i="1"/>
  <c r="P45" i="1"/>
  <c r="AA40" i="1"/>
  <c r="V43" i="1"/>
  <c r="N71" i="1"/>
  <c r="S71" i="1"/>
  <c r="AF44" i="1"/>
  <c r="AK38" i="1"/>
  <c r="AB41" i="1"/>
  <c r="Y38" i="1"/>
  <c r="S39" i="1"/>
  <c r="AF39" i="1"/>
  <c r="Y40" i="1"/>
  <c r="K41" i="1"/>
  <c r="G43" i="1"/>
  <c r="O43" i="1"/>
  <c r="H44" i="1"/>
  <c r="AI43" i="1"/>
  <c r="AB44" i="1"/>
  <c r="AG65" i="1"/>
  <c r="W66" i="1"/>
  <c r="Q67" i="1"/>
  <c r="AH66" i="1"/>
  <c r="AD66" i="1"/>
  <c r="S68" i="1"/>
  <c r="AF67" i="1"/>
  <c r="F68" i="1"/>
  <c r="AD68" i="1"/>
  <c r="AG68" i="1"/>
  <c r="P70" i="1"/>
  <c r="V70" i="1"/>
  <c r="G70" i="1"/>
  <c r="AJ70" i="1"/>
  <c r="I75" i="1"/>
  <c r="AD75" i="1"/>
  <c r="AJ93" i="1"/>
  <c r="S45" i="1"/>
  <c r="K39" i="1"/>
  <c r="X41" i="1"/>
  <c r="K67" i="1"/>
  <c r="AA74" i="1"/>
  <c r="K43" i="1"/>
  <c r="M66" i="1"/>
  <c r="N69" i="1"/>
  <c r="J45" i="1"/>
  <c r="Z39" i="1"/>
  <c r="AJ41" i="1"/>
  <c r="T38" i="1"/>
  <c r="L45" i="1"/>
  <c r="F45" i="1"/>
  <c r="X45" i="1"/>
  <c r="G38" i="1"/>
  <c r="AF38" i="1"/>
  <c r="AH39" i="1"/>
  <c r="M39" i="1"/>
  <c r="Y39" i="1"/>
  <c r="R39" i="1"/>
  <c r="G39" i="1"/>
  <c r="T39" i="1"/>
  <c r="AK39" i="1"/>
  <c r="F40" i="1"/>
  <c r="N40" i="1"/>
  <c r="AJ39" i="1"/>
  <c r="AG40" i="1"/>
  <c r="Q41" i="1"/>
  <c r="AI40" i="1"/>
  <c r="AF41" i="1"/>
  <c r="F41" i="1"/>
  <c r="H41" i="1"/>
  <c r="AB42" i="1"/>
  <c r="AI41" i="1"/>
  <c r="W42" i="1"/>
  <c r="O42" i="1"/>
  <c r="P42" i="1"/>
  <c r="AF43" i="1"/>
  <c r="I43" i="1"/>
  <c r="H43" i="1"/>
  <c r="J44" i="1"/>
  <c r="AD44" i="1"/>
  <c r="AC65" i="1"/>
  <c r="G66" i="1"/>
  <c r="X66" i="1"/>
  <c r="U67" i="1"/>
  <c r="G67" i="1"/>
  <c r="U68" i="1"/>
  <c r="J68" i="1"/>
  <c r="M68" i="1"/>
  <c r="AC68" i="1"/>
  <c r="J69" i="1"/>
  <c r="G69" i="1"/>
  <c r="M70" i="1"/>
  <c r="AI69" i="1"/>
  <c r="Q70" i="1"/>
  <c r="J71" i="1"/>
  <c r="T72" i="1"/>
  <c r="Q72" i="1"/>
  <c r="X73" i="1"/>
  <c r="K78" i="1"/>
  <c r="I81" i="1"/>
  <c r="T86" i="1"/>
  <c r="L94" i="1"/>
  <c r="V38" i="1"/>
  <c r="X40" i="1"/>
  <c r="AC42" i="1"/>
  <c r="Q66" i="1"/>
  <c r="AK68" i="1"/>
  <c r="G68" i="1"/>
  <c r="Y76" i="1"/>
  <c r="AE45" i="1"/>
  <c r="AD38" i="1"/>
  <c r="L40" i="1"/>
  <c r="K42" i="1"/>
  <c r="AG44" i="1"/>
  <c r="AG45" i="1"/>
  <c r="I45" i="1"/>
  <c r="Q45" i="1"/>
  <c r="U99" i="1"/>
  <c r="AE38" i="1"/>
  <c r="H38" i="1"/>
  <c r="AG42" i="1"/>
  <c r="AI42" i="1"/>
  <c r="U43" i="1"/>
  <c r="O44" i="1"/>
  <c r="Z44" i="1"/>
  <c r="Q44" i="1"/>
  <c r="Z65" i="1"/>
  <c r="AI65" i="1"/>
  <c r="M67" i="1"/>
  <c r="O67" i="1"/>
  <c r="W67" i="1"/>
  <c r="Y68" i="1"/>
  <c r="R68" i="1"/>
  <c r="N68" i="1"/>
  <c r="T69" i="1"/>
  <c r="AJ68" i="1"/>
  <c r="R70" i="1"/>
  <c r="P72" i="1"/>
  <c r="Q73" i="1"/>
  <c r="V75" i="1"/>
  <c r="AD76" i="1"/>
  <c r="J78" i="1"/>
  <c r="AI86" i="1"/>
  <c r="G96" i="1"/>
  <c r="V45" i="1"/>
  <c r="H39" i="1"/>
  <c r="V41" i="1"/>
  <c r="Z43" i="1"/>
  <c r="AI67" i="1"/>
  <c r="Z73" i="1"/>
  <c r="L42" i="1"/>
  <c r="I66" i="1"/>
  <c r="AA69" i="1"/>
  <c r="U45" i="1"/>
  <c r="W39" i="1"/>
  <c r="K40" i="1"/>
  <c r="S41" i="1"/>
  <c r="AH44" i="1"/>
  <c r="AC38" i="1"/>
  <c r="AI44" i="1"/>
  <c r="U38" i="1"/>
  <c r="Z38" i="1"/>
  <c r="AA38" i="1"/>
  <c r="X38" i="1"/>
  <c r="J38" i="1"/>
  <c r="V39" i="1"/>
  <c r="AA39" i="1"/>
  <c r="J39" i="1"/>
  <c r="AB39" i="1"/>
  <c r="L39" i="1"/>
  <c r="AH40" i="1"/>
  <c r="T40" i="1"/>
  <c r="I40" i="1"/>
  <c r="AD40" i="1"/>
  <c r="AF40" i="1"/>
  <c r="M40" i="1"/>
  <c r="AD41" i="1"/>
  <c r="Y41" i="1"/>
  <c r="U41" i="1"/>
  <c r="M41" i="1"/>
  <c r="W41" i="1"/>
  <c r="S42" i="1"/>
  <c r="F42" i="1"/>
  <c r="Y42" i="1"/>
  <c r="R42" i="1"/>
  <c r="Q42" i="1"/>
  <c r="AG43" i="1"/>
  <c r="P43" i="1"/>
  <c r="S43" i="1"/>
  <c r="AJ43" i="1"/>
  <c r="L44" i="1"/>
  <c r="T66" i="1"/>
  <c r="O66" i="1"/>
  <c r="Y66" i="1"/>
  <c r="P67" i="1"/>
  <c r="AB66" i="1"/>
  <c r="N67" i="1"/>
  <c r="X68" i="1"/>
  <c r="Q68" i="1"/>
  <c r="H69" i="1"/>
  <c r="AF69" i="1"/>
  <c r="Z70" i="1"/>
  <c r="AG70" i="1"/>
  <c r="S74" i="1"/>
  <c r="AK74" i="1"/>
  <c r="AC76" i="1"/>
  <c r="AD77" i="1"/>
  <c r="AJ80" i="1"/>
  <c r="G87" i="1"/>
  <c r="Z96" i="1"/>
  <c r="L38" i="1"/>
  <c r="AD39" i="1"/>
  <c r="G41" i="1"/>
  <c r="F66" i="1"/>
  <c r="AA78" i="1"/>
  <c r="X67" i="1"/>
  <c r="J70" i="1"/>
  <c r="F38" i="1"/>
  <c r="AG39" i="1"/>
  <c r="AD42" i="1"/>
  <c r="Q38" i="1"/>
  <c r="AJ44" i="1"/>
  <c r="X43" i="1"/>
  <c r="R43" i="1"/>
  <c r="Y44" i="1"/>
  <c r="N44" i="1"/>
  <c r="X44" i="1"/>
  <c r="U66" i="1"/>
  <c r="S66" i="1"/>
  <c r="R66" i="1"/>
  <c r="AC66" i="1"/>
  <c r="AG66" i="1"/>
  <c r="H68" i="1"/>
  <c r="P68" i="1"/>
  <c r="AH67" i="1"/>
  <c r="Z68" i="1"/>
  <c r="X69" i="1"/>
  <c r="U69" i="1"/>
  <c r="S70" i="1"/>
  <c r="I70" i="1"/>
  <c r="AE70" i="1"/>
  <c r="AB70" i="1"/>
  <c r="AF71" i="1"/>
  <c r="H73" i="1"/>
  <c r="AG74" i="1"/>
  <c r="K77" i="1"/>
  <c r="R79" i="1"/>
  <c r="AE87" i="1"/>
  <c r="AG100" i="1"/>
  <c r="AK44" i="1"/>
  <c r="R38" i="1"/>
  <c r="AE40" i="1"/>
  <c r="I41" i="1"/>
  <c r="M44" i="1"/>
  <c r="AA66" i="1"/>
  <c r="AI68" i="1"/>
  <c r="AA71" i="1"/>
  <c r="AA43" i="1"/>
  <c r="AG67" i="1"/>
  <c r="Y77" i="1"/>
  <c r="AH38" i="1"/>
  <c r="Z41" i="1"/>
  <c r="V42" i="1"/>
  <c r="W45" i="1"/>
  <c r="T45" i="1"/>
  <c r="R45" i="1"/>
  <c r="O45" i="1"/>
  <c r="Y45" i="1"/>
  <c r="AB45" i="1"/>
  <c r="P38" i="1"/>
  <c r="K38" i="1"/>
  <c r="N38" i="1"/>
  <c r="AG38" i="1"/>
  <c r="O38" i="1"/>
  <c r="N39" i="1"/>
  <c r="AC39" i="1"/>
  <c r="AI38" i="1"/>
  <c r="AE39" i="1"/>
  <c r="O39" i="1"/>
  <c r="H40" i="1"/>
  <c r="V40" i="1"/>
  <c r="Z40" i="1"/>
  <c r="W40" i="1"/>
  <c r="AI39" i="1"/>
  <c r="O40" i="1"/>
  <c r="AG41" i="1"/>
  <c r="AC41" i="1"/>
  <c r="AA41" i="1"/>
  <c r="AK40" i="1"/>
  <c r="L41" i="1"/>
  <c r="T42" i="1"/>
  <c r="I42" i="1"/>
  <c r="Z42" i="1"/>
  <c r="J42" i="1"/>
  <c r="AH42" i="1"/>
  <c r="AJ42" i="1"/>
  <c r="J43" i="1"/>
  <c r="AC43" i="1"/>
  <c r="V44" i="1"/>
  <c r="F44" i="1"/>
  <c r="AA44" i="1"/>
  <c r="H66" i="1"/>
  <c r="AH65" i="1"/>
  <c r="AJ66" i="1"/>
  <c r="L67" i="1"/>
  <c r="AK66" i="1"/>
  <c r="AC67" i="1"/>
  <c r="Z67" i="1"/>
  <c r="AE68" i="1"/>
  <c r="AF68" i="1"/>
  <c r="I69" i="1"/>
  <c r="W70" i="1"/>
  <c r="AG69" i="1"/>
  <c r="AF70" i="1"/>
  <c r="AK70" i="1"/>
  <c r="AC71" i="1"/>
  <c r="F73" i="1"/>
  <c r="X74" i="1"/>
  <c r="AI78" i="1"/>
  <c r="AJ98" i="1"/>
  <c r="P102" i="1"/>
  <c r="K74" i="1"/>
  <c r="S75" i="1"/>
  <c r="R75" i="1"/>
  <c r="F75" i="1"/>
  <c r="H76" i="1"/>
  <c r="J76" i="1"/>
  <c r="AB75" i="1"/>
  <c r="AE75" i="1"/>
  <c r="AB76" i="1"/>
  <c r="M77" i="1"/>
  <c r="AF76" i="1"/>
  <c r="W78" i="1"/>
  <c r="R78" i="1"/>
  <c r="T79" i="1"/>
  <c r="F79" i="1"/>
  <c r="G82" i="1"/>
  <c r="W82" i="1"/>
  <c r="V85" i="1"/>
  <c r="K92" i="1"/>
  <c r="U97" i="1"/>
  <c r="R102" i="1"/>
  <c r="I71" i="1"/>
  <c r="L72" i="1"/>
  <c r="K72" i="1"/>
  <c r="Y72" i="1"/>
  <c r="AE71" i="1"/>
  <c r="AD71" i="1"/>
  <c r="AF72" i="1"/>
  <c r="I73" i="1"/>
  <c r="M73" i="1"/>
  <c r="AI72" i="1"/>
  <c r="T73" i="1"/>
  <c r="K73" i="1"/>
  <c r="T74" i="1"/>
  <c r="AA73" i="1"/>
  <c r="V74" i="1"/>
  <c r="AF73" i="1"/>
  <c r="W75" i="1"/>
  <c r="J75" i="1"/>
  <c r="AF75" i="1"/>
  <c r="F76" i="1"/>
  <c r="N77" i="1"/>
  <c r="U78" i="1"/>
  <c r="V78" i="1"/>
  <c r="I79" i="1"/>
  <c r="V79" i="1"/>
  <c r="AB78" i="1"/>
  <c r="G80" i="1"/>
  <c r="O80" i="1"/>
  <c r="M81" i="1"/>
  <c r="AB80" i="1"/>
  <c r="AI98" i="1"/>
  <c r="AJ85" i="1"/>
  <c r="AH86" i="1"/>
  <c r="M88" i="1"/>
  <c r="X88" i="1"/>
  <c r="H91" i="1"/>
  <c r="AF93" i="1"/>
  <c r="AG96" i="1"/>
  <c r="AG101" i="1"/>
  <c r="AK73" i="1"/>
  <c r="AI74" i="1"/>
  <c r="Y75" i="1"/>
  <c r="P75" i="1"/>
  <c r="P76" i="1"/>
  <c r="AG75" i="1"/>
  <c r="Z75" i="1"/>
  <c r="K76" i="1"/>
  <c r="AI76" i="1"/>
  <c r="P77" i="1"/>
  <c r="L77" i="1"/>
  <c r="AF77" i="1"/>
  <c r="Z77" i="1"/>
  <c r="X78" i="1"/>
  <c r="AA82" i="1"/>
  <c r="L86" i="1"/>
  <c r="AD86" i="1"/>
  <c r="Q91" i="1"/>
  <c r="AA102" i="1"/>
  <c r="AD72" i="1"/>
  <c r="AJ72" i="1"/>
  <c r="U73" i="1"/>
  <c r="R73" i="1"/>
  <c r="N74" i="1"/>
  <c r="AG73" i="1"/>
  <c r="F74" i="1"/>
  <c r="Q74" i="1"/>
  <c r="AJ74" i="1"/>
  <c r="T75" i="1"/>
  <c r="AA75" i="1"/>
  <c r="AC75" i="1"/>
  <c r="Q77" i="1"/>
  <c r="AA76" i="1"/>
  <c r="H78" i="1"/>
  <c r="Z78" i="1"/>
  <c r="AE78" i="1"/>
  <c r="AC78" i="1"/>
  <c r="W80" i="1"/>
  <c r="AH79" i="1"/>
  <c r="R81" i="1"/>
  <c r="O81" i="1"/>
  <c r="T99" i="1"/>
  <c r="J82" i="1"/>
  <c r="M85" i="1"/>
  <c r="AC87" i="1"/>
  <c r="T89" i="1"/>
  <c r="G90" i="1"/>
  <c r="AI90" i="1"/>
  <c r="L93" i="1"/>
  <c r="AC94" i="1"/>
  <c r="AC97" i="1"/>
  <c r="AI73" i="1"/>
  <c r="L75" i="1"/>
  <c r="AH74" i="1"/>
  <c r="U75" i="1"/>
  <c r="AI75" i="1"/>
  <c r="M76" i="1"/>
  <c r="T76" i="1"/>
  <c r="R76" i="1"/>
  <c r="AJ76" i="1"/>
  <c r="O77" i="1"/>
  <c r="F78" i="1"/>
  <c r="AE77" i="1"/>
  <c r="Y78" i="1"/>
  <c r="L79" i="1"/>
  <c r="N86" i="1"/>
  <c r="O87" i="1"/>
  <c r="AD88" i="1"/>
  <c r="P90" i="1"/>
  <c r="L95" i="1"/>
  <c r="R98" i="1"/>
  <c r="X102" i="1"/>
  <c r="AH69" i="1"/>
  <c r="L70" i="1"/>
  <c r="K70" i="1"/>
  <c r="AD70" i="1"/>
  <c r="V71" i="1"/>
  <c r="AI70" i="1"/>
  <c r="H71" i="1"/>
  <c r="M71" i="1"/>
  <c r="G71" i="1"/>
  <c r="U72" i="1"/>
  <c r="V72" i="1"/>
  <c r="H72" i="1"/>
  <c r="AJ71" i="1"/>
  <c r="O72" i="1"/>
  <c r="Y73" i="1"/>
  <c r="AC72" i="1"/>
  <c r="N73" i="1"/>
  <c r="P73" i="1"/>
  <c r="V73" i="1"/>
  <c r="I74" i="1"/>
  <c r="AB73" i="1"/>
  <c r="M74" i="1"/>
  <c r="AH73" i="1"/>
  <c r="R74" i="1"/>
  <c r="AJ73" i="1"/>
  <c r="H75" i="1"/>
  <c r="G76" i="1"/>
  <c r="AK75" i="1"/>
  <c r="AK76" i="1"/>
  <c r="S77" i="1"/>
  <c r="AH76" i="1"/>
  <c r="AG77" i="1"/>
  <c r="M79" i="1"/>
  <c r="AK78" i="1"/>
  <c r="K79" i="1"/>
  <c r="Z79" i="1"/>
  <c r="T80" i="1"/>
  <c r="AG80" i="1"/>
  <c r="Z98" i="1"/>
  <c r="S99" i="1"/>
  <c r="S86" i="1"/>
  <c r="T87" i="1"/>
  <c r="AB87" i="1"/>
  <c r="K91" i="1"/>
  <c r="Y94" i="1"/>
  <c r="AB99" i="1"/>
  <c r="K105" i="1"/>
  <c r="K75" i="1"/>
  <c r="AD74" i="1"/>
  <c r="M75" i="1"/>
  <c r="X75" i="1"/>
  <c r="W76" i="1"/>
  <c r="N76" i="1"/>
  <c r="I76" i="1"/>
  <c r="V76" i="1"/>
  <c r="F77" i="1"/>
  <c r="AA77" i="1"/>
  <c r="AK77" i="1"/>
  <c r="AH77" i="1"/>
  <c r="N79" i="1"/>
  <c r="X79" i="1"/>
  <c r="AG78" i="1"/>
  <c r="O82" i="1"/>
  <c r="R85" i="1"/>
  <c r="AK86" i="1"/>
  <c r="R93" i="1"/>
  <c r="AB94" i="1"/>
  <c r="U100" i="1"/>
  <c r="L105" i="1"/>
  <c r="R69" i="1"/>
  <c r="L69" i="1"/>
  <c r="AH68" i="1"/>
  <c r="F69" i="1"/>
  <c r="AD69" i="1"/>
  <c r="X70" i="1"/>
  <c r="Y70" i="1"/>
  <c r="AE69" i="1"/>
  <c r="Z69" i="1"/>
  <c r="P71" i="1"/>
  <c r="L71" i="1"/>
  <c r="AH70" i="1"/>
  <c r="AA70" i="1"/>
  <c r="O71" i="1"/>
  <c r="T71" i="1"/>
  <c r="W72" i="1"/>
  <c r="J72" i="1"/>
  <c r="I72" i="1"/>
  <c r="AK71" i="1"/>
  <c r="AG71" i="1"/>
  <c r="AB72" i="1"/>
  <c r="AE72" i="1"/>
  <c r="O73" i="1"/>
  <c r="J73" i="1"/>
  <c r="AG72" i="1"/>
  <c r="P74" i="1"/>
  <c r="AD73" i="1"/>
  <c r="Y74" i="1"/>
  <c r="AC73" i="1"/>
  <c r="O74" i="1"/>
  <c r="Z74" i="1"/>
  <c r="AF74" i="1"/>
  <c r="S76" i="1"/>
  <c r="L76" i="1"/>
  <c r="I77" i="1"/>
  <c r="T77" i="1"/>
  <c r="AE76" i="1"/>
  <c r="AJ77" i="1"/>
  <c r="AC77" i="1"/>
  <c r="Y79" i="1"/>
  <c r="AC79" i="1"/>
  <c r="AE79" i="1"/>
  <c r="L81" i="1"/>
  <c r="K99" i="1"/>
  <c r="L99" i="1"/>
  <c r="S85" i="1"/>
  <c r="U86" i="1"/>
  <c r="AF87" i="1"/>
  <c r="I89" i="1"/>
  <c r="O90" i="1"/>
  <c r="P91" i="1"/>
  <c r="U93" i="1"/>
  <c r="O96" i="1"/>
  <c r="AH99" i="1"/>
  <c r="Q75" i="1"/>
  <c r="G75" i="1"/>
  <c r="AC74" i="1"/>
  <c r="O75" i="1"/>
  <c r="X76" i="1"/>
  <c r="O76" i="1"/>
  <c r="U76" i="1"/>
  <c r="Z76" i="1"/>
  <c r="J77" i="1"/>
  <c r="G77" i="1"/>
  <c r="S78" i="1"/>
  <c r="I78" i="1"/>
  <c r="AJ78" i="1"/>
  <c r="S79" i="1"/>
  <c r="U85" i="1"/>
  <c r="AH85" i="1"/>
  <c r="V87" i="1"/>
  <c r="AF89" i="1"/>
  <c r="T92" i="1"/>
  <c r="AI93" i="1"/>
  <c r="AJ69" i="1"/>
  <c r="T70" i="1"/>
  <c r="U71" i="1"/>
  <c r="W71" i="1"/>
  <c r="AC70" i="1"/>
  <c r="K71" i="1"/>
  <c r="Q71" i="1"/>
  <c r="G72" i="1"/>
  <c r="AH71" i="1"/>
  <c r="X72" i="1"/>
  <c r="N72" i="1"/>
  <c r="F72" i="1"/>
  <c r="R72" i="1"/>
  <c r="AA72" i="1"/>
  <c r="AH72" i="1"/>
  <c r="Z72" i="1"/>
  <c r="S73" i="1"/>
  <c r="W73" i="1"/>
  <c r="L74" i="1"/>
  <c r="W74" i="1"/>
  <c r="U74" i="1"/>
  <c r="G74" i="1"/>
  <c r="J74" i="1"/>
  <c r="N75" i="1"/>
  <c r="AB74" i="1"/>
  <c r="Q76" i="1"/>
  <c r="AG76" i="1"/>
  <c r="U77" i="1"/>
  <c r="X77" i="1"/>
  <c r="L78" i="1"/>
  <c r="M78" i="1"/>
  <c r="P78" i="1"/>
  <c r="AF78" i="1"/>
  <c r="AI79" i="1"/>
  <c r="AH80" i="1"/>
  <c r="K81" i="1"/>
  <c r="W98" i="1"/>
  <c r="AF98" i="1"/>
  <c r="AF81" i="1"/>
  <c r="P86" i="1"/>
  <c r="W87" i="1"/>
  <c r="AC88" i="1"/>
  <c r="AH89" i="1"/>
  <c r="M96" i="1"/>
  <c r="AB100" i="1"/>
  <c r="AC46" i="1"/>
  <c r="W48" i="1"/>
  <c r="AH98" i="1"/>
  <c r="H82" i="1"/>
  <c r="P82" i="1"/>
  <c r="X81" i="1"/>
  <c r="S82" i="1"/>
  <c r="K82" i="1"/>
  <c r="P85" i="1"/>
  <c r="AK82" i="1"/>
  <c r="G85" i="1"/>
  <c r="O86" i="1"/>
  <c r="AI85" i="1"/>
  <c r="Y85" i="1"/>
  <c r="AC85" i="1"/>
  <c r="W86" i="1"/>
  <c r="AJ86" i="1"/>
  <c r="L87" i="1"/>
  <c r="X86" i="1"/>
  <c r="U88" i="1"/>
  <c r="AK87" i="1"/>
  <c r="H88" i="1"/>
  <c r="R88" i="1"/>
  <c r="G89" i="1"/>
  <c r="AA88" i="1"/>
  <c r="M89" i="1"/>
  <c r="AG88" i="1"/>
  <c r="Z89" i="1"/>
  <c r="R90" i="1"/>
  <c r="AG90" i="1"/>
  <c r="G91" i="1"/>
  <c r="AD91" i="1"/>
  <c r="N92" i="1"/>
  <c r="S93" i="1"/>
  <c r="U94" i="1"/>
  <c r="T95" i="1"/>
  <c r="Q96" i="1"/>
  <c r="AB95" i="1"/>
  <c r="W96" i="1"/>
  <c r="W97" i="1"/>
  <c r="V99" i="1"/>
  <c r="AJ100" i="1"/>
  <c r="W101" i="1"/>
  <c r="W102" i="1"/>
  <c r="Y104" i="1"/>
  <c r="I49" i="1"/>
  <c r="L85" i="1"/>
  <c r="T85" i="1"/>
  <c r="Y82" i="1"/>
  <c r="F86" i="1"/>
  <c r="AB86" i="1"/>
  <c r="K87" i="1"/>
  <c r="AJ89" i="1"/>
  <c r="Z91" i="1"/>
  <c r="Q93" i="1"/>
  <c r="AF92" i="1"/>
  <c r="AA93" i="1"/>
  <c r="Z94" i="1"/>
  <c r="F97" i="1"/>
  <c r="N98" i="1"/>
  <c r="Z100" i="1"/>
  <c r="N105" i="1"/>
  <c r="Q49" i="1"/>
  <c r="K80" i="1"/>
  <c r="H80" i="1"/>
  <c r="I80" i="1"/>
  <c r="Q80" i="1"/>
  <c r="V80" i="1"/>
  <c r="G81" i="1"/>
  <c r="S81" i="1"/>
  <c r="AE80" i="1"/>
  <c r="AF80" i="1"/>
  <c r="AC80" i="1"/>
  <c r="M99" i="1"/>
  <c r="G99" i="1"/>
  <c r="AB98" i="1"/>
  <c r="AD98" i="1"/>
  <c r="V98" i="1"/>
  <c r="AC81" i="1"/>
  <c r="AA81" i="1"/>
  <c r="AI81" i="1"/>
  <c r="AG81" i="1"/>
  <c r="Q82" i="1"/>
  <c r="AD82" i="1"/>
  <c r="Z82" i="1"/>
  <c r="K86" i="1"/>
  <c r="G86" i="1"/>
  <c r="AK85" i="1"/>
  <c r="Y86" i="1"/>
  <c r="M87" i="1"/>
  <c r="V88" i="1"/>
  <c r="AH87" i="1"/>
  <c r="J88" i="1"/>
  <c r="AJ88" i="1"/>
  <c r="Q90" i="1"/>
  <c r="S90" i="1"/>
  <c r="AB89" i="1"/>
  <c r="I92" i="1"/>
  <c r="S92" i="1"/>
  <c r="AE91" i="1"/>
  <c r="O94" i="1"/>
  <c r="W93" i="1"/>
  <c r="AI94" i="1"/>
  <c r="R96" i="1"/>
  <c r="K97" i="1"/>
  <c r="AA96" i="1"/>
  <c r="H98" i="1"/>
  <c r="AI99" i="1"/>
  <c r="AK100" i="1"/>
  <c r="Z101" i="1"/>
  <c r="O50" i="1"/>
  <c r="N82" i="1"/>
  <c r="AJ82" i="1"/>
  <c r="AF82" i="1"/>
  <c r="AI82" i="1"/>
  <c r="Q86" i="1"/>
  <c r="AA85" i="1"/>
  <c r="AB85" i="1"/>
  <c r="AG85" i="1"/>
  <c r="F87" i="1"/>
  <c r="AE86" i="1"/>
  <c r="R87" i="1"/>
  <c r="N87" i="1"/>
  <c r="AG87" i="1"/>
  <c r="F88" i="1"/>
  <c r="L88" i="1"/>
  <c r="S88" i="1"/>
  <c r="P89" i="1"/>
  <c r="N89" i="1"/>
  <c r="R89" i="1"/>
  <c r="X89" i="1"/>
  <c r="Y89" i="1"/>
  <c r="V90" i="1"/>
  <c r="I91" i="1"/>
  <c r="N91" i="1"/>
  <c r="AK91" i="1"/>
  <c r="AG92" i="1"/>
  <c r="V93" i="1"/>
  <c r="Q95" i="1"/>
  <c r="J96" i="1"/>
  <c r="AF96" i="1"/>
  <c r="J98" i="1"/>
  <c r="Q98" i="1"/>
  <c r="Z99" i="1"/>
  <c r="W100" i="1"/>
  <c r="F102" i="1"/>
  <c r="AG102" i="1"/>
  <c r="Z105" i="1"/>
  <c r="AA51" i="1"/>
  <c r="O79" i="1"/>
  <c r="AG79" i="1"/>
  <c r="U80" i="1"/>
  <c r="X80" i="1"/>
  <c r="AB79" i="1"/>
  <c r="R80" i="1"/>
  <c r="AI80" i="1"/>
  <c r="W81" i="1"/>
  <c r="AD80" i="1"/>
  <c r="H81" i="1"/>
  <c r="N81" i="1"/>
  <c r="H99" i="1"/>
  <c r="AK98" i="1"/>
  <c r="Q99" i="1"/>
  <c r="O99" i="1"/>
  <c r="Y98" i="1"/>
  <c r="AG98" i="1"/>
  <c r="U82" i="1"/>
  <c r="AE81" i="1"/>
  <c r="Y81" i="1"/>
  <c r="M82" i="1"/>
  <c r="AC82" i="1"/>
  <c r="AE82" i="1"/>
  <c r="X85" i="1"/>
  <c r="H86" i="1"/>
  <c r="AG86" i="1"/>
  <c r="G88" i="1"/>
  <c r="AI87" i="1"/>
  <c r="T88" i="1"/>
  <c r="V89" i="1"/>
  <c r="AE88" i="1"/>
  <c r="Y88" i="1"/>
  <c r="AA89" i="1"/>
  <c r="AK89" i="1"/>
  <c r="J90" i="1"/>
  <c r="U91" i="1"/>
  <c r="W90" i="1"/>
  <c r="AB91" i="1"/>
  <c r="AF91" i="1"/>
  <c r="AH92" i="1"/>
  <c r="T94" i="1"/>
  <c r="Z93" i="1"/>
  <c r="R95" i="1"/>
  <c r="T96" i="1"/>
  <c r="AI96" i="1"/>
  <c r="S98" i="1"/>
  <c r="M100" i="1"/>
  <c r="AJ99" i="1"/>
  <c r="AI100" i="1"/>
  <c r="X101" i="1"/>
  <c r="AB102" i="1"/>
  <c r="AD50" i="1"/>
  <c r="Z81" i="1"/>
  <c r="Q85" i="1"/>
  <c r="AG82" i="1"/>
  <c r="J86" i="1"/>
  <c r="M86" i="1"/>
  <c r="J87" i="1"/>
  <c r="S87" i="1"/>
  <c r="AF86" i="1"/>
  <c r="AA87" i="1"/>
  <c r="O91" i="1"/>
  <c r="X91" i="1"/>
  <c r="J93" i="1"/>
  <c r="I93" i="1"/>
  <c r="AC93" i="1"/>
  <c r="F96" i="1"/>
  <c r="AJ97" i="1"/>
  <c r="AF99" i="1"/>
  <c r="W46" i="1"/>
  <c r="H53" i="1"/>
  <c r="H79" i="1"/>
  <c r="AH78" i="1"/>
  <c r="P79" i="1"/>
  <c r="J80" i="1"/>
  <c r="F80" i="1"/>
  <c r="P80" i="1"/>
  <c r="AK79" i="1"/>
  <c r="L80" i="1"/>
  <c r="AA80" i="1"/>
  <c r="Z80" i="1"/>
  <c r="F81" i="1"/>
  <c r="P81" i="1"/>
  <c r="T81" i="1"/>
  <c r="AC98" i="1"/>
  <c r="U98" i="1"/>
  <c r="R99" i="1"/>
  <c r="J99" i="1"/>
  <c r="AA98" i="1"/>
  <c r="F99" i="1"/>
  <c r="AK81" i="1"/>
  <c r="AJ81" i="1"/>
  <c r="I82" i="1"/>
  <c r="V82" i="1"/>
  <c r="AD81" i="1"/>
  <c r="F85" i="1"/>
  <c r="H85" i="1"/>
  <c r="AB82" i="1"/>
  <c r="J85" i="1"/>
  <c r="AE85" i="1"/>
  <c r="Z85" i="1"/>
  <c r="V86" i="1"/>
  <c r="AF85" i="1"/>
  <c r="I87" i="1"/>
  <c r="AA86" i="1"/>
  <c r="Z86" i="1"/>
  <c r="P87" i="1"/>
  <c r="Q88" i="1"/>
  <c r="N88" i="1"/>
  <c r="AB88" i="1"/>
  <c r="H89" i="1"/>
  <c r="AE89" i="1"/>
  <c r="AG89" i="1"/>
  <c r="Y90" i="1"/>
  <c r="F91" i="1"/>
  <c r="AJ91" i="1"/>
  <c r="H93" i="1"/>
  <c r="V94" i="1"/>
  <c r="J94" i="1"/>
  <c r="K95" i="1"/>
  <c r="V96" i="1"/>
  <c r="M97" i="1"/>
  <c r="AK97" i="1"/>
  <c r="N100" i="1"/>
  <c r="AA99" i="1"/>
  <c r="J101" i="1"/>
  <c r="AA101" i="1"/>
  <c r="L104" i="1"/>
  <c r="L46" i="1"/>
  <c r="AG52" i="1"/>
  <c r="K85" i="1"/>
  <c r="AD85" i="1"/>
  <c r="U87" i="1"/>
  <c r="Z87" i="1"/>
  <c r="Y87" i="1"/>
  <c r="O88" i="1"/>
  <c r="L89" i="1"/>
  <c r="AI88" i="1"/>
  <c r="AK88" i="1"/>
  <c r="AH88" i="1"/>
  <c r="K90" i="1"/>
  <c r="F90" i="1"/>
  <c r="AI89" i="1"/>
  <c r="P92" i="1"/>
  <c r="J92" i="1"/>
  <c r="M93" i="1"/>
  <c r="M94" i="1"/>
  <c r="AK93" i="1"/>
  <c r="F95" i="1"/>
  <c r="X95" i="1"/>
  <c r="AJ96" i="1"/>
  <c r="AF97" i="1"/>
  <c r="L100" i="1"/>
  <c r="AE100" i="1"/>
  <c r="X100" i="1"/>
  <c r="O102" i="1"/>
  <c r="AI103" i="1"/>
  <c r="R77" i="1"/>
  <c r="V77" i="1"/>
  <c r="W77" i="1"/>
  <c r="O78" i="1"/>
  <c r="G78" i="1"/>
  <c r="AI77" i="1"/>
  <c r="T78" i="1"/>
  <c r="Q78" i="1"/>
  <c r="U79" i="1"/>
  <c r="Q79" i="1"/>
  <c r="W79" i="1"/>
  <c r="AD78" i="1"/>
  <c r="J79" i="1"/>
  <c r="G79" i="1"/>
  <c r="AD79" i="1"/>
  <c r="N80" i="1"/>
  <c r="Y80" i="1"/>
  <c r="M80" i="1"/>
  <c r="S80" i="1"/>
  <c r="Q81" i="1"/>
  <c r="AK80" i="1"/>
  <c r="J81" i="1"/>
  <c r="U81" i="1"/>
  <c r="V81" i="1"/>
  <c r="I99" i="1"/>
  <c r="N99" i="1"/>
  <c r="P99" i="1"/>
  <c r="X98" i="1"/>
  <c r="AE98" i="1"/>
  <c r="AB81" i="1"/>
  <c r="T82" i="1"/>
  <c r="F82" i="1"/>
  <c r="L82" i="1"/>
  <c r="R82" i="1"/>
  <c r="AH81" i="1"/>
  <c r="N85" i="1"/>
  <c r="AH82" i="1"/>
  <c r="I85" i="1"/>
  <c r="R86" i="1"/>
  <c r="W85" i="1"/>
  <c r="I86" i="1"/>
  <c r="AC86" i="1"/>
  <c r="H87" i="1"/>
  <c r="Q87" i="1"/>
  <c r="AJ87" i="1"/>
  <c r="P88" i="1"/>
  <c r="S89" i="1"/>
  <c r="Z88" i="1"/>
  <c r="K89" i="1"/>
  <c r="O89" i="1"/>
  <c r="L90" i="1"/>
  <c r="AD89" i="1"/>
  <c r="T91" i="1"/>
  <c r="AJ90" i="1"/>
  <c r="AI92" i="1"/>
  <c r="AJ92" i="1"/>
  <c r="AD93" i="1"/>
  <c r="P95" i="1"/>
  <c r="AF94" i="1"/>
  <c r="AE95" i="1"/>
  <c r="AH96" i="1"/>
  <c r="AA97" i="1"/>
  <c r="Y99" i="1"/>
  <c r="H101" i="1"/>
  <c r="AJ101" i="1"/>
  <c r="X65" i="1"/>
  <c r="J56" i="1"/>
  <c r="W94" i="1"/>
  <c r="U95" i="1"/>
  <c r="H96" i="1"/>
  <c r="L96" i="1"/>
  <c r="G97" i="1"/>
  <c r="V97" i="1"/>
  <c r="F98" i="1"/>
  <c r="J100" i="1"/>
  <c r="G100" i="1"/>
  <c r="AA100" i="1"/>
  <c r="I101" i="1"/>
  <c r="N102" i="1"/>
  <c r="Y101" i="1"/>
  <c r="AI101" i="1"/>
  <c r="G103" i="1"/>
  <c r="S103" i="1"/>
  <c r="T47" i="1"/>
  <c r="AC48" i="1"/>
  <c r="O51" i="1"/>
  <c r="AJ52" i="1"/>
  <c r="AH55" i="1"/>
  <c r="I90" i="1"/>
  <c r="U90" i="1"/>
  <c r="H90" i="1"/>
  <c r="AK90" i="1"/>
  <c r="L91" i="1"/>
  <c r="X90" i="1"/>
  <c r="AB90" i="1"/>
  <c r="M91" i="1"/>
  <c r="W91" i="1"/>
  <c r="Q92" i="1"/>
  <c r="U92" i="1"/>
  <c r="AC91" i="1"/>
  <c r="AI91" i="1"/>
  <c r="Z92" i="1"/>
  <c r="AB92" i="1"/>
  <c r="AA92" i="1"/>
  <c r="AC92" i="1"/>
  <c r="W92" i="1"/>
  <c r="X92" i="1"/>
  <c r="X93" i="1"/>
  <c r="S94" i="1"/>
  <c r="N94" i="1"/>
  <c r="K94" i="1"/>
  <c r="AG93" i="1"/>
  <c r="AA94" i="1"/>
  <c r="J95" i="1"/>
  <c r="AJ94" i="1"/>
  <c r="V95" i="1"/>
  <c r="S96" i="1"/>
  <c r="Y95" i="1"/>
  <c r="K96" i="1"/>
  <c r="L97" i="1"/>
  <c r="X96" i="1"/>
  <c r="I97" i="1"/>
  <c r="H97" i="1"/>
  <c r="K98" i="1"/>
  <c r="AG97" i="1"/>
  <c r="I98" i="1"/>
  <c r="O100" i="1"/>
  <c r="T100" i="1"/>
  <c r="AE99" i="1"/>
  <c r="K100" i="1"/>
  <c r="AC100" i="1"/>
  <c r="R101" i="1"/>
  <c r="L101" i="1"/>
  <c r="S102" i="1"/>
  <c r="AB101" i="1"/>
  <c r="AF102" i="1"/>
  <c r="F103" i="1"/>
  <c r="O46" i="1"/>
  <c r="AF46" i="1"/>
  <c r="N51" i="1"/>
  <c r="N95" i="1"/>
  <c r="AJ95" i="1"/>
  <c r="W95" i="1"/>
  <c r="N97" i="1"/>
  <c r="Y96" i="1"/>
  <c r="L98" i="1"/>
  <c r="M98" i="1"/>
  <c r="AD99" i="1"/>
  <c r="P101" i="1"/>
  <c r="AD100" i="1"/>
  <c r="AE101" i="1"/>
  <c r="J102" i="1"/>
  <c r="V105" i="1"/>
  <c r="I47" i="1"/>
  <c r="AF48" i="1"/>
  <c r="P51" i="1"/>
  <c r="U54" i="1"/>
  <c r="O57" i="1"/>
  <c r="V91" i="1"/>
  <c r="AF90" i="1"/>
  <c r="AC90" i="1"/>
  <c r="Z90" i="1"/>
  <c r="AA91" i="1"/>
  <c r="R92" i="1"/>
  <c r="L92" i="1"/>
  <c r="AH91" i="1"/>
  <c r="Y91" i="1"/>
  <c r="Y92" i="1"/>
  <c r="AK92" i="1"/>
  <c r="AE92" i="1"/>
  <c r="N93" i="1"/>
  <c r="AD92" i="1"/>
  <c r="K93" i="1"/>
  <c r="H94" i="1"/>
  <c r="Q94" i="1"/>
  <c r="I94" i="1"/>
  <c r="P94" i="1"/>
  <c r="G94" i="1"/>
  <c r="AD94" i="1"/>
  <c r="AK94" i="1"/>
  <c r="AF95" i="1"/>
  <c r="AI95" i="1"/>
  <c r="Q97" i="1"/>
  <c r="AC96" i="1"/>
  <c r="O98" i="1"/>
  <c r="Q100" i="1"/>
  <c r="I100" i="1"/>
  <c r="Q101" i="1"/>
  <c r="O101" i="1"/>
  <c r="U102" i="1"/>
  <c r="AF101" i="1"/>
  <c r="K102" i="1"/>
  <c r="H103" i="1"/>
  <c r="U103" i="1"/>
  <c r="Q104" i="1"/>
  <c r="AJ103" i="1"/>
  <c r="U105" i="1"/>
  <c r="J105" i="1"/>
  <c r="N65" i="1"/>
  <c r="K47" i="1"/>
  <c r="AD48" i="1"/>
  <c r="L54" i="1"/>
  <c r="X94" i="1"/>
  <c r="O95" i="1"/>
  <c r="AG94" i="1"/>
  <c r="N96" i="1"/>
  <c r="AC95" i="1"/>
  <c r="AG95" i="1"/>
  <c r="AD95" i="1"/>
  <c r="O97" i="1"/>
  <c r="AB96" i="1"/>
  <c r="AE96" i="1"/>
  <c r="Y97" i="1"/>
  <c r="AD97" i="1"/>
  <c r="X97" i="1"/>
  <c r="P98" i="1"/>
  <c r="R100" i="1"/>
  <c r="AC99" i="1"/>
  <c r="W99" i="1"/>
  <c r="F101" i="1"/>
  <c r="S101" i="1"/>
  <c r="AF100" i="1"/>
  <c r="AH100" i="1"/>
  <c r="L102" i="1"/>
  <c r="AE102" i="1"/>
  <c r="AC102" i="1"/>
  <c r="S104" i="1"/>
  <c r="J104" i="1"/>
  <c r="AF104" i="1"/>
  <c r="AE104" i="1"/>
  <c r="Q65" i="1"/>
  <c r="AI49" i="1"/>
  <c r="AF51" i="1"/>
  <c r="M54" i="1"/>
  <c r="K57" i="1"/>
  <c r="R52" i="1"/>
  <c r="AH94" i="1"/>
  <c r="AE94" i="1"/>
  <c r="P96" i="1"/>
  <c r="I96" i="1"/>
  <c r="T97" i="1"/>
  <c r="Z97" i="1"/>
  <c r="AE97" i="1"/>
  <c r="P100" i="1"/>
  <c r="F100" i="1"/>
  <c r="T101" i="1"/>
  <c r="M101" i="1"/>
  <c r="G102" i="1"/>
  <c r="L65" i="1"/>
  <c r="AD47" i="1"/>
  <c r="I52" i="1"/>
  <c r="S55" i="1"/>
  <c r="AK57" i="1"/>
  <c r="AD87" i="1"/>
  <c r="K88" i="1"/>
  <c r="X87" i="1"/>
  <c r="I88" i="1"/>
  <c r="U89" i="1"/>
  <c r="W88" i="1"/>
  <c r="F89" i="1"/>
  <c r="Q89" i="1"/>
  <c r="J89" i="1"/>
  <c r="AC89" i="1"/>
  <c r="N90" i="1"/>
  <c r="M90" i="1"/>
  <c r="T90" i="1"/>
  <c r="W89" i="1"/>
  <c r="J91" i="1"/>
  <c r="AE90" i="1"/>
  <c r="AA90" i="1"/>
  <c r="AD90" i="1"/>
  <c r="AH90" i="1"/>
  <c r="R91" i="1"/>
  <c r="H92" i="1"/>
  <c r="AG91" i="1"/>
  <c r="V92" i="1"/>
  <c r="F92" i="1"/>
  <c r="O92" i="1"/>
  <c r="F93" i="1"/>
  <c r="P93" i="1"/>
  <c r="G93" i="1"/>
  <c r="O93" i="1"/>
  <c r="T93" i="1"/>
  <c r="Y93" i="1"/>
  <c r="AB93" i="1"/>
  <c r="F94" i="1"/>
  <c r="AE93" i="1"/>
  <c r="AH93" i="1"/>
  <c r="R94" i="1"/>
  <c r="G95" i="1"/>
  <c r="AK95" i="1"/>
  <c r="Z95" i="1"/>
  <c r="P97" i="1"/>
  <c r="J97" i="1"/>
  <c r="AI97" i="1"/>
  <c r="AH97" i="1"/>
  <c r="AG99" i="1"/>
  <c r="G101" i="1"/>
  <c r="K101" i="1"/>
  <c r="M102" i="1"/>
  <c r="V101" i="1"/>
  <c r="H102" i="1"/>
  <c r="Z102" i="1"/>
  <c r="K103" i="1"/>
  <c r="V103" i="1"/>
  <c r="I104" i="1"/>
  <c r="AC104" i="1"/>
  <c r="G105" i="1"/>
  <c r="AF64" i="1"/>
  <c r="AG47" i="1"/>
  <c r="G50" i="1"/>
  <c r="AI51" i="1"/>
  <c r="R103" i="1"/>
  <c r="AE103" i="1"/>
  <c r="H104" i="1"/>
  <c r="AG104" i="1"/>
  <c r="AD105" i="1"/>
  <c r="G46" i="1"/>
  <c r="P65" i="1"/>
  <c r="M48" i="1"/>
  <c r="X50" i="1"/>
  <c r="AD54" i="1"/>
  <c r="I95" i="1"/>
  <c r="H95" i="1"/>
  <c r="M95" i="1"/>
  <c r="S95" i="1"/>
  <c r="AH95" i="1"/>
  <c r="U96" i="1"/>
  <c r="AA95" i="1"/>
  <c r="AK96" i="1"/>
  <c r="R97" i="1"/>
  <c r="S97" i="1"/>
  <c r="AD96" i="1"/>
  <c r="T98" i="1"/>
  <c r="AB97" i="1"/>
  <c r="G98" i="1"/>
  <c r="AK99" i="1"/>
  <c r="S100" i="1"/>
  <c r="X99" i="1"/>
  <c r="H100" i="1"/>
  <c r="V100" i="1"/>
  <c r="U101" i="1"/>
  <c r="Y100" i="1"/>
  <c r="AH101" i="1"/>
  <c r="AC101" i="1"/>
  <c r="Q103" i="1"/>
  <c r="W65" i="1"/>
  <c r="O48" i="1"/>
  <c r="M50" i="1"/>
  <c r="W52" i="1"/>
  <c r="M103" i="1"/>
  <c r="I103" i="1"/>
  <c r="P104" i="1"/>
  <c r="AC103" i="1"/>
  <c r="Y103" i="1"/>
  <c r="G104" i="1"/>
  <c r="AH103" i="1"/>
  <c r="AB104" i="1"/>
  <c r="T105" i="1"/>
  <c r="AI104" i="1"/>
  <c r="AD104" i="1"/>
  <c r="S105" i="1"/>
  <c r="AH104" i="1"/>
  <c r="AE105" i="1"/>
  <c r="Y105" i="1"/>
  <c r="AA46" i="1"/>
  <c r="F46" i="1"/>
  <c r="J46" i="1"/>
  <c r="U46" i="1"/>
  <c r="Z46" i="1"/>
  <c r="M65" i="1"/>
  <c r="AD64" i="1"/>
  <c r="AG46" i="1"/>
  <c r="V47" i="1"/>
  <c r="AI46" i="1"/>
  <c r="Q48" i="1"/>
  <c r="AJ47" i="1"/>
  <c r="Z48" i="1"/>
  <c r="M49" i="1"/>
  <c r="AE48" i="1"/>
  <c r="F50" i="1"/>
  <c r="P50" i="1"/>
  <c r="W50" i="1"/>
  <c r="F51" i="1"/>
  <c r="L51" i="1"/>
  <c r="K52" i="1"/>
  <c r="AK51" i="1"/>
  <c r="AB51" i="1"/>
  <c r="R53" i="1"/>
  <c r="AE52" i="1"/>
  <c r="N54" i="1"/>
  <c r="X55" i="1"/>
  <c r="AK54" i="1"/>
  <c r="V56" i="1"/>
  <c r="G56" i="1"/>
  <c r="I57" i="1"/>
  <c r="L57" i="1"/>
  <c r="V58" i="1"/>
  <c r="Z64" i="1"/>
  <c r="AE64" i="1"/>
  <c r="S47" i="1"/>
  <c r="AE46" i="1"/>
  <c r="H47" i="1"/>
  <c r="M47" i="1"/>
  <c r="Y48" i="1"/>
  <c r="AH47" i="1"/>
  <c r="N49" i="1"/>
  <c r="R49" i="1"/>
  <c r="W49" i="1"/>
  <c r="Q50" i="1"/>
  <c r="T50" i="1"/>
  <c r="AF50" i="1"/>
  <c r="R51" i="1"/>
  <c r="W51" i="1"/>
  <c r="G52" i="1"/>
  <c r="AE51" i="1"/>
  <c r="Y52" i="1"/>
  <c r="AF52" i="1"/>
  <c r="I53" i="1"/>
  <c r="P54" i="1"/>
  <c r="AC53" i="1"/>
  <c r="AI54" i="1"/>
  <c r="V55" i="1"/>
  <c r="AK55" i="1"/>
  <c r="U56" i="1"/>
  <c r="AJ56" i="1"/>
  <c r="AI57" i="1"/>
  <c r="F58" i="1"/>
  <c r="AF105" i="1"/>
  <c r="X105" i="1"/>
  <c r="X46" i="1"/>
  <c r="AI45" i="1"/>
  <c r="M46" i="1"/>
  <c r="S46" i="1"/>
  <c r="R65" i="1"/>
  <c r="AI64" i="1"/>
  <c r="S65" i="1"/>
  <c r="W47" i="1"/>
  <c r="U47" i="1"/>
  <c r="I48" i="1"/>
  <c r="L48" i="1"/>
  <c r="AF47" i="1"/>
  <c r="P48" i="1"/>
  <c r="K49" i="1"/>
  <c r="X49" i="1"/>
  <c r="H50" i="1"/>
  <c r="AF49" i="1"/>
  <c r="Y50" i="1"/>
  <c r="AI50" i="1"/>
  <c r="H51" i="1"/>
  <c r="X51" i="1"/>
  <c r="O52" i="1"/>
  <c r="U52" i="1"/>
  <c r="S53" i="1"/>
  <c r="V54" i="1"/>
  <c r="O54" i="1"/>
  <c r="L55" i="1"/>
  <c r="O55" i="1"/>
  <c r="O56" i="1"/>
  <c r="AB56" i="1"/>
  <c r="S57" i="1"/>
  <c r="R58" i="1"/>
  <c r="AG57" i="1"/>
  <c r="AC64" i="1"/>
  <c r="Y65" i="1"/>
  <c r="AJ46" i="1"/>
  <c r="R47" i="1"/>
  <c r="AK46" i="1"/>
  <c r="S48" i="1"/>
  <c r="AA48" i="1"/>
  <c r="N48" i="1"/>
  <c r="AJ48" i="1"/>
  <c r="S49" i="1"/>
  <c r="F49" i="1"/>
  <c r="N50" i="1"/>
  <c r="R50" i="1"/>
  <c r="AD49" i="1"/>
  <c r="U51" i="1"/>
  <c r="AJ50" i="1"/>
  <c r="AJ51" i="1"/>
  <c r="AH51" i="1"/>
  <c r="AG51" i="1"/>
  <c r="G53" i="1"/>
  <c r="N53" i="1"/>
  <c r="R54" i="1"/>
  <c r="T55" i="1"/>
  <c r="AH54" i="1"/>
  <c r="Y56" i="1"/>
  <c r="AG56" i="1"/>
  <c r="G57" i="1"/>
  <c r="Y58" i="1"/>
  <c r="J103" i="1"/>
  <c r="V102" i="1"/>
  <c r="O103" i="1"/>
  <c r="T104" i="1"/>
  <c r="M104" i="1"/>
  <c r="R104" i="1"/>
  <c r="X103" i="1"/>
  <c r="AA103" i="1"/>
  <c r="M105" i="1"/>
  <c r="AJ104" i="1"/>
  <c r="AK104" i="1"/>
  <c r="O105" i="1"/>
  <c r="X104" i="1"/>
  <c r="AK105" i="1"/>
  <c r="AG105" i="1"/>
  <c r="AC105" i="1"/>
  <c r="Y46" i="1"/>
  <c r="K46" i="1"/>
  <c r="N46" i="1"/>
  <c r="T46" i="1"/>
  <c r="K65" i="1"/>
  <c r="AB64" i="1"/>
  <c r="O65" i="1"/>
  <c r="L47" i="1"/>
  <c r="X47" i="1"/>
  <c r="N47" i="1"/>
  <c r="T48" i="1"/>
  <c r="R48" i="1"/>
  <c r="H49" i="1"/>
  <c r="AK48" i="1"/>
  <c r="Z49" i="1"/>
  <c r="AI48" i="1"/>
  <c r="AB49" i="1"/>
  <c r="Z50" i="1"/>
  <c r="K51" i="1"/>
  <c r="AH50" i="1"/>
  <c r="V51" i="1"/>
  <c r="X52" i="1"/>
  <c r="L53" i="1"/>
  <c r="X53" i="1"/>
  <c r="W54" i="1"/>
  <c r="Q58" i="1"/>
  <c r="H65" i="1"/>
  <c r="AG64" i="1"/>
  <c r="G65" i="1"/>
  <c r="AA47" i="1"/>
  <c r="AH46" i="1"/>
  <c r="V48" i="1"/>
  <c r="AC47" i="1"/>
  <c r="AE47" i="1"/>
  <c r="T49" i="1"/>
  <c r="P49" i="1"/>
  <c r="AH49" i="1"/>
  <c r="S50" i="1"/>
  <c r="AE49" i="1"/>
  <c r="AA50" i="1"/>
  <c r="I51" i="1"/>
  <c r="AK50" i="1"/>
  <c r="V52" i="1"/>
  <c r="H52" i="1"/>
  <c r="AD51" i="1"/>
  <c r="O53" i="1"/>
  <c r="I54" i="1"/>
  <c r="AJ53" i="1"/>
  <c r="P55" i="1"/>
  <c r="AA56" i="1"/>
  <c r="Z56" i="1"/>
  <c r="N57" i="1"/>
  <c r="F57" i="1"/>
  <c r="AD57" i="1"/>
  <c r="O58" i="1"/>
  <c r="AI102" i="1"/>
  <c r="Y102" i="1"/>
  <c r="AJ102" i="1"/>
  <c r="AH102" i="1"/>
  <c r="N103" i="1"/>
  <c r="N104" i="1"/>
  <c r="AD103" i="1"/>
  <c r="W103" i="1"/>
  <c r="Z103" i="1"/>
  <c r="AB103" i="1"/>
  <c r="AG103" i="1"/>
  <c r="P105" i="1"/>
  <c r="H105" i="1"/>
  <c r="V104" i="1"/>
  <c r="F105" i="1"/>
  <c r="AA104" i="1"/>
  <c r="AA105" i="1"/>
  <c r="AJ105" i="1"/>
  <c r="AI105" i="1"/>
  <c r="AJ45" i="1"/>
  <c r="I46" i="1"/>
  <c r="P46" i="1"/>
  <c r="R46" i="1"/>
  <c r="AJ64" i="1"/>
  <c r="T65" i="1"/>
  <c r="AB46" i="1"/>
  <c r="G47" i="1"/>
  <c r="J47" i="1"/>
  <c r="AB47" i="1"/>
  <c r="X48" i="1"/>
  <c r="AH48" i="1"/>
  <c r="G49" i="1"/>
  <c r="O49" i="1"/>
  <c r="L50" i="1"/>
  <c r="AG49" i="1"/>
  <c r="Q51" i="1"/>
  <c r="AE50" i="1"/>
  <c r="AG50" i="1"/>
  <c r="AC50" i="1"/>
  <c r="L52" i="1"/>
  <c r="N52" i="1"/>
  <c r="Z53" i="1"/>
  <c r="V53" i="1"/>
  <c r="Q53" i="1"/>
  <c r="Y54" i="1"/>
  <c r="AH53" i="1"/>
  <c r="AG54" i="1"/>
  <c r="AI55" i="1"/>
  <c r="AD55" i="1"/>
  <c r="H57" i="1"/>
  <c r="P57" i="1"/>
  <c r="J58" i="1"/>
  <c r="AK64" i="1"/>
  <c r="AA64" i="1"/>
  <c r="U65" i="1"/>
  <c r="Y47" i="1"/>
  <c r="O47" i="1"/>
  <c r="U48" i="1"/>
  <c r="G48" i="1"/>
  <c r="AI47" i="1"/>
  <c r="U49" i="1"/>
  <c r="L49" i="1"/>
  <c r="V50" i="1"/>
  <c r="AK49" i="1"/>
  <c r="I50" i="1"/>
  <c r="Y51" i="1"/>
  <c r="J51" i="1"/>
  <c r="S51" i="1"/>
  <c r="M52" i="1"/>
  <c r="T52" i="1"/>
  <c r="AI52" i="1"/>
  <c r="W53" i="1"/>
  <c r="J54" i="1"/>
  <c r="Q54" i="1"/>
  <c r="H55" i="1"/>
  <c r="AB55" i="1"/>
  <c r="F56" i="1"/>
  <c r="W57" i="1"/>
  <c r="AK56" i="1"/>
  <c r="AH57" i="1"/>
  <c r="N101" i="1"/>
  <c r="T102" i="1"/>
  <c r="I102" i="1"/>
  <c r="AD101" i="1"/>
  <c r="AK101" i="1"/>
  <c r="Q102" i="1"/>
  <c r="P103" i="1"/>
  <c r="AD102" i="1"/>
  <c r="L103" i="1"/>
  <c r="AK102" i="1"/>
  <c r="T103" i="1"/>
  <c r="O104" i="1"/>
  <c r="K104" i="1"/>
  <c r="F104" i="1"/>
  <c r="U104" i="1"/>
  <c r="AF103" i="1"/>
  <c r="AK103" i="1"/>
  <c r="R105" i="1"/>
  <c r="W104" i="1"/>
  <c r="I105" i="1"/>
  <c r="Q105" i="1"/>
  <c r="Z104" i="1"/>
  <c r="AB105" i="1"/>
  <c r="AH105" i="1"/>
  <c r="W105" i="1"/>
  <c r="AK45" i="1"/>
  <c r="H46" i="1"/>
  <c r="Q46" i="1"/>
  <c r="V46" i="1"/>
  <c r="I65" i="1"/>
  <c r="V65" i="1"/>
  <c r="Z47" i="1"/>
  <c r="Q47" i="1"/>
  <c r="P47" i="1"/>
  <c r="J48" i="1"/>
  <c r="K48" i="1"/>
  <c r="V49" i="1"/>
  <c r="J49" i="1"/>
  <c r="Y49" i="1"/>
  <c r="AJ49" i="1"/>
  <c r="AC49" i="1"/>
  <c r="U50" i="1"/>
  <c r="M51" i="1"/>
  <c r="T51" i="1"/>
  <c r="F52" i="1"/>
  <c r="Z52" i="1"/>
  <c r="P52" i="1"/>
  <c r="AD52" i="1"/>
  <c r="P53" i="1"/>
  <c r="S54" i="1"/>
  <c r="J65" i="1"/>
  <c r="F65" i="1"/>
  <c r="AH64" i="1"/>
  <c r="AD46" i="1"/>
  <c r="F47" i="1"/>
  <c r="AK47" i="1"/>
  <c r="H48" i="1"/>
  <c r="F48" i="1"/>
  <c r="AG48" i="1"/>
  <c r="AB48" i="1"/>
  <c r="AA49" i="1"/>
  <c r="K50" i="1"/>
  <c r="J50" i="1"/>
  <c r="Z51" i="1"/>
  <c r="G51" i="1"/>
  <c r="AB50" i="1"/>
  <c r="J52" i="1"/>
  <c r="S52" i="1"/>
  <c r="U53" i="1"/>
  <c r="AB53" i="1"/>
  <c r="H54" i="1"/>
  <c r="AF54" i="1"/>
  <c r="M55" i="1"/>
  <c r="L56" i="1"/>
  <c r="Q56" i="1"/>
  <c r="Z57" i="1"/>
  <c r="T57" i="1"/>
  <c r="P58" i="1"/>
  <c r="Q52" i="1"/>
  <c r="AC51" i="1"/>
  <c r="J53" i="1"/>
  <c r="F53" i="1"/>
  <c r="M53" i="1"/>
  <c r="AC52" i="1"/>
  <c r="K53" i="1"/>
  <c r="T54" i="1"/>
  <c r="AK53" i="1"/>
  <c r="Z54" i="1"/>
  <c r="G54" i="1"/>
  <c r="AD53" i="1"/>
  <c r="Z55" i="1"/>
  <c r="U55" i="1"/>
  <c r="Y55" i="1"/>
  <c r="AC54" i="1"/>
  <c r="AJ54" i="1"/>
  <c r="R55" i="1"/>
  <c r="K56" i="1"/>
  <c r="N56" i="1"/>
  <c r="S56" i="1"/>
  <c r="H56" i="1"/>
  <c r="AE55" i="1"/>
  <c r="AE56" i="1"/>
  <c r="X57" i="1"/>
  <c r="AD56" i="1"/>
  <c r="AC56" i="1"/>
  <c r="R57" i="1"/>
  <c r="AC57" i="1"/>
  <c r="AA58" i="1"/>
  <c r="H58" i="1"/>
  <c r="W58" i="1"/>
  <c r="U58" i="1"/>
  <c r="M58" i="1"/>
  <c r="S62" i="1"/>
  <c r="AJ58" i="1"/>
  <c r="AK58" i="1"/>
  <c r="AH58" i="1"/>
  <c r="N62" i="1"/>
  <c r="W63" i="1"/>
  <c r="Y63" i="1"/>
  <c r="I63" i="1"/>
  <c r="AI62" i="1"/>
  <c r="AK62" i="1"/>
  <c r="N64" i="1"/>
  <c r="K64" i="1"/>
  <c r="O64" i="1"/>
  <c r="H64" i="1"/>
  <c r="AJ63" i="1"/>
  <c r="AA54" i="1"/>
  <c r="AG53" i="1"/>
  <c r="AF53" i="1"/>
  <c r="AE54" i="1"/>
  <c r="I55" i="1"/>
  <c r="AA55" i="1"/>
  <c r="G55" i="1"/>
  <c r="J55" i="1"/>
  <c r="F55" i="1"/>
  <c r="AJ55" i="1"/>
  <c r="W56" i="1"/>
  <c r="X56" i="1"/>
  <c r="I56" i="1"/>
  <c r="P56" i="1"/>
  <c r="M57" i="1"/>
  <c r="Y57" i="1"/>
  <c r="Q57" i="1"/>
  <c r="AH56" i="1"/>
  <c r="AI56" i="1"/>
  <c r="T58" i="1"/>
  <c r="AB57" i="1"/>
  <c r="N58" i="1"/>
  <c r="X58" i="1"/>
  <c r="Z58" i="1"/>
  <c r="L58" i="1"/>
  <c r="T62" i="1"/>
  <c r="AC58" i="1"/>
  <c r="U62" i="1"/>
  <c r="AA62" i="1"/>
  <c r="J62" i="1"/>
  <c r="X63" i="1"/>
  <c r="AJ62" i="1"/>
  <c r="V63" i="1"/>
  <c r="S63" i="1"/>
  <c r="M63" i="1"/>
  <c r="P64" i="1"/>
  <c r="U64" i="1"/>
  <c r="AD63" i="1"/>
  <c r="S64" i="1"/>
  <c r="AG63" i="1"/>
  <c r="AD58" i="1"/>
  <c r="X62" i="1"/>
  <c r="H62" i="1"/>
  <c r="P62" i="1"/>
  <c r="F62" i="1"/>
  <c r="AB58" i="1"/>
  <c r="J63" i="1"/>
  <c r="H63" i="1"/>
  <c r="Z63" i="1"/>
  <c r="AB62" i="1"/>
  <c r="T63" i="1"/>
  <c r="AI63" i="1"/>
  <c r="AB63" i="1"/>
  <c r="W64" i="1"/>
  <c r="Y64" i="1"/>
  <c r="AF63" i="1"/>
  <c r="AA52" i="1"/>
  <c r="AA53" i="1"/>
  <c r="AB52" i="1"/>
  <c r="AH52" i="1"/>
  <c r="AK52" i="1"/>
  <c r="T53" i="1"/>
  <c r="Y53" i="1"/>
  <c r="AI53" i="1"/>
  <c r="X54" i="1"/>
  <c r="K54" i="1"/>
  <c r="AE53" i="1"/>
  <c r="F54" i="1"/>
  <c r="W55" i="1"/>
  <c r="AB54" i="1"/>
  <c r="K55" i="1"/>
  <c r="Q55" i="1"/>
  <c r="N55" i="1"/>
  <c r="AC55" i="1"/>
  <c r="AF55" i="1"/>
  <c r="M56" i="1"/>
  <c r="R56" i="1"/>
  <c r="AG55" i="1"/>
  <c r="T56" i="1"/>
  <c r="U57" i="1"/>
  <c r="AA57" i="1"/>
  <c r="J57" i="1"/>
  <c r="AF56" i="1"/>
  <c r="V57" i="1"/>
  <c r="S58" i="1"/>
  <c r="AJ57" i="1"/>
  <c r="I58" i="1"/>
  <c r="AF57" i="1"/>
  <c r="G58" i="1"/>
  <c r="I62" i="1"/>
  <c r="AG58" i="1"/>
  <c r="K62" i="1"/>
  <c r="Y62" i="1"/>
  <c r="AI58" i="1"/>
  <c r="M62" i="1"/>
  <c r="AG62" i="1"/>
  <c r="F63" i="1"/>
  <c r="Q63" i="1"/>
  <c r="K63" i="1"/>
  <c r="L63" i="1"/>
  <c r="AH63" i="1"/>
  <c r="V64" i="1"/>
  <c r="X64" i="1"/>
  <c r="AK63" i="1"/>
  <c r="I64" i="1"/>
  <c r="K58" i="1"/>
  <c r="AE57" i="1"/>
  <c r="Q62" i="1"/>
  <c r="O62" i="1"/>
  <c r="R62" i="1"/>
  <c r="Z62" i="1"/>
  <c r="AF58" i="1"/>
  <c r="U63" i="1"/>
  <c r="AE62" i="1"/>
  <c r="AC62" i="1"/>
  <c r="AA63" i="1"/>
  <c r="P63" i="1"/>
  <c r="AF62" i="1"/>
  <c r="Q64" i="1"/>
  <c r="T64" i="1"/>
  <c r="AE63" i="1"/>
  <c r="F64" i="1"/>
  <c r="L64" i="1"/>
  <c r="G62" i="1"/>
  <c r="AE58" i="1"/>
  <c r="V62" i="1"/>
  <c r="W62" i="1"/>
  <c r="L62" i="1"/>
  <c r="G63" i="1"/>
  <c r="O63" i="1"/>
  <c r="N63" i="1"/>
  <c r="AD62" i="1"/>
  <c r="R63" i="1"/>
  <c r="AH62" i="1"/>
  <c r="R64" i="1"/>
  <c r="J64" i="1"/>
  <c r="G64" i="1"/>
  <c r="AC63" i="1"/>
  <c r="M64" i="1"/>
  <c r="I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<sst xmlns="http://schemas.openxmlformats.org/spreadsheetml/2006/main" count="13" uniqueCount="12">
  <si>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Проверка расчета z фактора с использоваием унифлок VBA</t>
  </si>
  <si>
    <t>T</t>
  </si>
  <si>
    <t>T_K</t>
  </si>
  <si>
    <t>P</t>
  </si>
  <si>
    <t>P_Mpa</t>
  </si>
  <si>
    <t>gg</t>
  </si>
  <si>
    <t>zcor</t>
  </si>
  <si>
    <t>Beggs Brill</t>
  </si>
  <si>
    <t>Dranchuk</t>
  </si>
  <si>
    <t>Kareem</t>
  </si>
  <si>
    <t>Упражнения по работе с макросами Unifloc VBA</t>
  </si>
  <si>
    <t>версия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</si>
</sst>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z!$E$38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z!$F$38:$AK$38</c:f>
              <c:numCache>
                <c:formatCode>0.00</c:formatCode>
                <c:ptCount val="32"/>
                <c:pt idx="0">
                  <c:v>0.99606410551854152</c:v>
                </c:pt>
                <c:pt idx="1">
                  <c:v>0.9600366326506875</c:v>
                </c:pt>
                <c:pt idx="2">
                  <c:v>0.92060017984644638</c:v>
                </c:pt>
                <c:pt idx="3">
                  <c:v>0.87618417316362707</c:v>
                </c:pt>
                <c:pt idx="4">
                  <c:v>0.82725351253684032</c:v>
                </c:pt>
                <c:pt idx="5">
                  <c:v>0.77595193543732133</c:v>
                </c:pt>
                <c:pt idx="6">
                  <c:v>0.72537356805933206</c:v>
                </c:pt>
                <c:pt idx="7">
                  <c:v>0.67862129963222062</c:v>
                </c:pt>
                <c:pt idx="8">
                  <c:v>0.63804885265371525</c:v>
                </c:pt>
                <c:pt idx="9">
                  <c:v>0.60495122632795739</c:v>
                </c:pt>
                <c:pt idx="10">
                  <c:v>0.57966536953317216</c:v>
                </c:pt>
                <c:pt idx="11">
                  <c:v>0.56186475288190352</c:v>
                </c:pt>
                <c:pt idx="12">
                  <c:v>0.55085377068346997</c:v>
                </c:pt>
                <c:pt idx="13">
                  <c:v>0.54577782294143973</c:v>
                </c:pt>
                <c:pt idx="14">
                  <c:v>0.54574916004020468</c:v>
                </c:pt>
                <c:pt idx="15">
                  <c:v>0.54991694255853274</c:v>
                </c:pt>
                <c:pt idx="16">
                  <c:v>0.55750539007317679</c:v>
                </c:pt>
                <c:pt idx="17">
                  <c:v>0.56783287577853547</c:v>
                </c:pt>
                <c:pt idx="18">
                  <c:v>0.58031821664212291</c:v>
                </c:pt>
                <c:pt idx="19">
                  <c:v>0.5944780888364859</c:v>
                </c:pt>
                <c:pt idx="20">
                  <c:v>0.60991882867305858</c:v>
                </c:pt>
                <c:pt idx="21">
                  <c:v>0.62632534875557444</c:v>
                </c:pt>
                <c:pt idx="22">
                  <c:v>0.64344919733329153</c:v>
                </c:pt>
                <c:pt idx="23">
                  <c:v>0.66109706059757445</c:v>
                </c:pt>
                <c:pt idx="24">
                  <c:v>0.67912040713782729</c:v>
                </c:pt>
                <c:pt idx="25">
                  <c:v>0.6974065549842392</c:v>
                </c:pt>
                <c:pt idx="26">
                  <c:v>0.71587118684133599</c:v>
                </c:pt>
                <c:pt idx="27">
                  <c:v>0.7344522042539583</c:v>
                </c:pt>
                <c:pt idx="28">
                  <c:v>0.75310475343457328</c:v>
                </c:pt>
                <c:pt idx="29">
                  <c:v>0.77179724179788212</c:v>
                </c:pt>
                <c:pt idx="30">
                  <c:v>0.79050817352644187</c:v>
                </c:pt>
                <c:pt idx="31">
                  <c:v>0.8092236519293341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2-4477-BA89-86098ACA3BE6}"/>
            </c:ext>
          </c:extLst>
        </c:ser>
        <c:ser>
          <c:idx val="1"/>
          <c:order val="1"/>
          <c:tx>
            <c:strRef>
              <c:f>z!$E$39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z!$F$39:$AK$39</c:f>
              <c:numCache>
                <c:formatCode>0.00</c:formatCode>
                <c:ptCount val="32"/>
                <c:pt idx="0">
                  <c:v>0.99653552702445003</c:v>
                </c:pt>
                <c:pt idx="1">
                  <c:v>0.9648168170159841</c:v>
                </c:pt>
                <c:pt idx="2">
                  <c:v>0.93044126269483518</c:v>
                </c:pt>
                <c:pt idx="3">
                  <c:v>0.8922418236589732</c:v>
                </c:pt>
                <c:pt idx="4">
                  <c:v>0.85050145692937917</c:v>
                </c:pt>
                <c:pt idx="5">
                  <c:v>0.80670751816342556</c:v>
                </c:pt>
                <c:pt idx="6">
                  <c:v>0.76308731772373772</c:v>
                </c:pt>
                <c:pt idx="7">
                  <c:v>0.72200134400770999</c:v>
                </c:pt>
                <c:pt idx="8">
                  <c:v>0.68540925764275562</c:v>
                </c:pt>
                <c:pt idx="9">
                  <c:v>0.65458028092827703</c:v>
                </c:pt>
                <c:pt idx="10">
                  <c:v>0.63006868443921615</c:v>
                </c:pt>
                <c:pt idx="11">
                  <c:v>0.6118576737125635</c:v>
                </c:pt>
                <c:pt idx="12">
                  <c:v>0.59955417929674848</c:v>
                </c:pt>
                <c:pt idx="13">
                  <c:v>0.59255978010159638</c:v>
                </c:pt>
                <c:pt idx="14">
                  <c:v>0.59019287716710911</c:v>
                </c:pt>
                <c:pt idx="15">
                  <c:v>0.59176610981213962</c:v>
                </c:pt>
                <c:pt idx="16">
                  <c:v>0.59663149958485195</c:v>
                </c:pt>
                <c:pt idx="17">
                  <c:v>0.60420439543301407</c:v>
                </c:pt>
                <c:pt idx="18">
                  <c:v>0.61397379457054069</c:v>
                </c:pt>
                <c:pt idx="19">
                  <c:v>0.62550396069338943</c:v>
                </c:pt>
                <c:pt idx="20">
                  <c:v>0.63843067576740187</c:v>
                </c:pt>
                <c:pt idx="21">
                  <c:v>0.65245448395356576</c:v>
                </c:pt>
                <c:pt idx="22">
                  <c:v>0.66733258360754932</c:v>
                </c:pt>
                <c:pt idx="23">
                  <c:v>0.68287047003697687</c:v>
                </c:pt>
                <c:pt idx="24">
                  <c:v>0.69891400126905545</c:v>
                </c:pt>
                <c:pt idx="25">
                  <c:v>0.71534224457842932</c:v>
                </c:pt>
                <c:pt idx="26">
                  <c:v>0.73206124892666435</c:v>
                </c:pt>
                <c:pt idx="27">
                  <c:v>0.74899875645128322</c:v>
                </c:pt>
                <c:pt idx="28">
                  <c:v>0.76609979215283619</c:v>
                </c:pt>
                <c:pt idx="29">
                  <c:v>0.78332303552228466</c:v>
                </c:pt>
                <c:pt idx="30">
                  <c:v>0.80063786629001488</c:v>
                </c:pt>
                <c:pt idx="31">
                  <c:v>0.81802197853260483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472-4477-BA89-86098ACA3BE6}"/>
            </c:ext>
          </c:extLst>
        </c:ser>
        <c:ser>
          <c:idx val="2"/>
          <c:order val="2"/>
          <c:tx>
            <c:strRef>
              <c:f>z!$E$40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z!$F$40:$AK$40</c:f>
              <c:numCache>
                <c:formatCode>0.00</c:formatCode>
                <c:ptCount val="32"/>
                <c:pt idx="0">
                  <c:v>0.99693551640595557</c:v>
                </c:pt>
                <c:pt idx="1">
                  <c:v>0.96886647255917158</c:v>
                </c:pt>
                <c:pt idx="2">
                  <c:v>0.9386961444709564</c:v>
                </c:pt>
                <c:pt idx="3">
                  <c:v>0.90557231694514306</c:v>
                </c:pt>
                <c:pt idx="4">
                  <c:v>0.86968587039063161</c:v>
                </c:pt>
                <c:pt idx="5">
                  <c:v>0.83209798721289474</c:v>
                </c:pt>
                <c:pt idx="6">
                  <c:v>0.7944337967323124</c:v>
                </c:pt>
                <c:pt idx="7">
                  <c:v>0.75848339123897912</c:v>
                </c:pt>
                <c:pt idx="8">
                  <c:v>0.72583008888862999</c:v>
                </c:pt>
                <c:pt idx="9">
                  <c:v>0.69761338092089742</c:v>
                </c:pt>
                <c:pt idx="10">
                  <c:v>0.67445863480177204</c:v>
                </c:pt>
                <c:pt idx="11">
                  <c:v>0.65653409413167751</c:v>
                </c:pt>
                <c:pt idx="12">
                  <c:v>0.6436686786515502</c:v>
                </c:pt>
                <c:pt idx="13">
                  <c:v>0.6354763110345788</c:v>
                </c:pt>
                <c:pt idx="14">
                  <c:v>0.63145845743851781</c:v>
                </c:pt>
                <c:pt idx="15">
                  <c:v>0.63107747373651957</c:v>
                </c:pt>
                <c:pt idx="16">
                  <c:v>0.63380403349632952</c:v>
                </c:pt>
                <c:pt idx="17">
                  <c:v>0.63914504478971745</c:v>
                </c:pt>
                <c:pt idx="18">
                  <c:v>0.64665804925638493</c:v>
                </c:pt>
                <c:pt idx="19">
                  <c:v>0.65595670952798724</c:v>
                </c:pt>
                <c:pt idx="20">
                  <c:v>0.66671068035507908</c:v>
                </c:pt>
                <c:pt idx="21">
                  <c:v>0.67864215962502095</c:v>
                </c:pt>
                <c:pt idx="22">
                  <c:v>0.69152069003900274</c:v>
                </c:pt>
                <c:pt idx="23">
                  <c:v>0.70515725546468599</c:v>
                </c:pt>
                <c:pt idx="24">
                  <c:v>0.71939833393251851</c:v>
                </c:pt>
                <c:pt idx="25">
                  <c:v>0.7341202972308013</c:v>
                </c:pt>
                <c:pt idx="26">
                  <c:v>0.74922435997345804</c:v>
                </c:pt>
                <c:pt idx="27">
                  <c:v>0.76463215823849207</c:v>
                </c:pt>
                <c:pt idx="28">
                  <c:v>0.78028196197531152</c:v>
                </c:pt>
                <c:pt idx="29">
                  <c:v>0.79612548215250434</c:v>
                </c:pt>
                <c:pt idx="30">
                  <c:v>0.81212521210914068</c:v>
                </c:pt>
                <c:pt idx="31">
                  <c:v>0.82825223477796028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472-4477-BA89-86098ACA3BE6}"/>
            </c:ext>
          </c:extLst>
        </c:ser>
        <c:ser>
          <c:idx val="3"/>
          <c:order val="3"/>
          <c:tx>
            <c:strRef>
              <c:f>z!$E$41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z!$F$41:$AK$41</c:f>
              <c:numCache>
                <c:formatCode>0.00</c:formatCode>
                <c:ptCount val="32"/>
                <c:pt idx="0">
                  <c:v>0.99727707717172853</c:v>
                </c:pt>
                <c:pt idx="1">
                  <c:v>0.9723211640175069</c:v>
                </c:pt>
                <c:pt idx="2">
                  <c:v>0.94567911193583287</c:v>
                </c:pt>
                <c:pt idx="3">
                  <c:v>0.91674317678871209</c:v>
                </c:pt>
                <c:pt idx="4">
                  <c:v>0.88566140980360653</c:v>
                </c:pt>
                <c:pt idx="5">
                  <c:v>0.8532141825488746</c:v>
                </c:pt>
                <c:pt idx="6">
                  <c:v>0.82060620866235146</c:v>
                </c:pt>
                <c:pt idx="7">
                  <c:v>0.78919876034808722</c:v>
                </c:pt>
                <c:pt idx="8">
                  <c:v>0.76025121857498923</c:v>
                </c:pt>
                <c:pt idx="9">
                  <c:v>0.73473851050973105</c:v>
                </c:pt>
                <c:pt idx="10">
                  <c:v>0.71327267806687689</c:v>
                </c:pt>
                <c:pt idx="11">
                  <c:v>0.69611469884661725</c:v>
                </c:pt>
                <c:pt idx="12">
                  <c:v>0.68324047247908315</c:v>
                </c:pt>
                <c:pt idx="13">
                  <c:v>0.67442511903851232</c:v>
                </c:pt>
                <c:pt idx="14">
                  <c:v>0.66932179925255975</c:v>
                </c:pt>
                <c:pt idx="15">
                  <c:v>0.66752432090845182</c:v>
                </c:pt>
                <c:pt idx="16">
                  <c:v>0.66861166571944641</c:v>
                </c:pt>
                <c:pt idx="17">
                  <c:v>0.67217686553534994</c:v>
                </c:pt>
                <c:pt idx="18">
                  <c:v>0.67784392233380442</c:v>
                </c:pt>
                <c:pt idx="19">
                  <c:v>0.68527627037637096</c:v>
                </c:pt>
                <c:pt idx="20">
                  <c:v>0.69417959457751854</c:v>
                </c:pt>
                <c:pt idx="21">
                  <c:v>0.7043010958402407</c:v>
                </c:pt>
                <c:pt idx="22">
                  <c:v>0.71542668458386227</c:v>
                </c:pt>
                <c:pt idx="23">
                  <c:v>0.72737711338193367</c:v>
                </c:pt>
                <c:pt idx="24">
                  <c:v>0.74000371233267337</c:v>
                </c:pt>
                <c:pt idx="25">
                  <c:v>0.7531841419261015</c:v>
                </c:pt>
                <c:pt idx="26">
                  <c:v>0.76681840485261854</c:v>
                </c:pt>
                <c:pt idx="27">
                  <c:v>0.78082524128139508</c:v>
                </c:pt>
                <c:pt idx="28">
                  <c:v>0.79513895624998621</c:v>
                </c:pt>
                <c:pt idx="29">
                  <c:v>0.80970668093817155</c:v>
                </c:pt>
                <c:pt idx="30">
                  <c:v>0.8244860426345838</c:v>
                </c:pt>
                <c:pt idx="31">
                  <c:v>0.83944320443709497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472-4477-BA89-86098ACA3BE6}"/>
            </c:ext>
          </c:extLst>
        </c:ser>
        <c:ser>
          <c:idx val="4"/>
          <c:order val="4"/>
          <c:tx>
            <c:strRef>
              <c:f>z!$E$42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z!$F$42:$AK$42</c:f>
              <c:numCache>
                <c:formatCode>0.00</c:formatCode>
                <c:ptCount val="32"/>
                <c:pt idx="0">
                  <c:v>0.99757057890414824</c:v>
                </c:pt>
                <c:pt idx="1">
                  <c:v>0.97528811546508876</c:v>
                </c:pt>
                <c:pt idx="2">
                  <c:v>0.95163333587598475</c:v>
                </c:pt>
                <c:pt idx="3">
                  <c:v>0.92618773835431623</c:v>
                </c:pt>
                <c:pt idx="4">
                  <c:v>0.89908304640219017</c:v>
                </c:pt>
                <c:pt idx="5">
                  <c:v>0.8709118286681411</c:v>
                </c:pt>
                <c:pt idx="6">
                  <c:v>0.84258291869600488</c:v>
                </c:pt>
                <c:pt idx="7">
                  <c:v>0.81513822826515447</c:v>
                </c:pt>
                <c:pt idx="8">
                  <c:v>0.78957235431766082</c:v>
                </c:pt>
                <c:pt idx="9">
                  <c:v>0.76669630923674159</c:v>
                </c:pt>
                <c:pt idx="10">
                  <c:v>0.74706660091508559</c:v>
                </c:pt>
                <c:pt idx="11">
                  <c:v>0.73097633305255938</c:v>
                </c:pt>
                <c:pt idx="12">
                  <c:v>0.7184892341677479</c:v>
                </c:pt>
                <c:pt idx="13">
                  <c:v>0.70949409900972649</c:v>
                </c:pt>
                <c:pt idx="14">
                  <c:v>0.70376201324329513</c:v>
                </c:pt>
                <c:pt idx="15">
                  <c:v>0.70099617672842129</c:v>
                </c:pt>
                <c:pt idx="16">
                  <c:v>0.70087039996436873</c:v>
                </c:pt>
                <c:pt idx="17">
                  <c:v>0.7030562248450738</c:v>
                </c:pt>
                <c:pt idx="18">
                  <c:v>0.70724042790676067</c:v>
                </c:pt>
                <c:pt idx="19">
                  <c:v>0.71313516421583534</c:v>
                </c:pt>
                <c:pt idx="20">
                  <c:v>0.72048286038240983</c:v>
                </c:pt>
                <c:pt idx="21">
                  <c:v>0.72905757655619652</c:v>
                </c:pt>
                <c:pt idx="22">
                  <c:v>0.73866413702607536</c:v>
                </c:pt>
                <c:pt idx="23">
                  <c:v>0.74913596168602625</c:v>
                </c:pt>
                <c:pt idx="24">
                  <c:v>0.76033223918920545</c:v>
                </c:pt>
                <c:pt idx="25">
                  <c:v>0.77213486404575871</c:v>
                </c:pt>
                <c:pt idx="26">
                  <c:v>0.78444540233742543</c:v>
                </c:pt>
                <c:pt idx="27">
                  <c:v>0.79718224079502453</c:v>
                </c:pt>
                <c:pt idx="28">
                  <c:v>0.8102779997393752</c:v>
                </c:pt>
                <c:pt idx="29">
                  <c:v>0.82367724201174486</c:v>
                </c:pt>
                <c:pt idx="30">
                  <c:v>0.83733447988594389</c:v>
                </c:pt>
                <c:pt idx="31">
                  <c:v>0.85121246433608477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472-4477-BA89-86098ACA3BE6}"/>
            </c:ext>
          </c:extLst>
        </c:ser>
        <c:ser>
          <c:idx val="5"/>
          <c:order val="5"/>
          <c:tx>
            <c:strRef>
              <c:f>z!$E$43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z!$F$43:$AK$43</c:f>
              <c:numCache>
                <c:formatCode>0.00</c:formatCode>
                <c:ptCount val="32"/>
                <c:pt idx="0">
                  <c:v>0.99782431061305232</c:v>
                </c:pt>
                <c:pt idx="1">
                  <c:v>0.97785249947415231</c:v>
                </c:pt>
                <c:pt idx="2">
                  <c:v>0.95674839440460657</c:v>
                </c:pt>
                <c:pt idx="3">
                  <c:v>0.93423958348858727</c:v>
                </c:pt>
                <c:pt idx="4">
                  <c:v>0.9104551409331747</c:v>
                </c:pt>
                <c:pt idx="5">
                  <c:v>0.88586011184055757</c:v>
                </c:pt>
                <c:pt idx="6">
                  <c:v>0.86115305197967451</c:v>
                </c:pt>
                <c:pt idx="7">
                  <c:v>0.83713860933326578</c:v>
                </c:pt>
                <c:pt idx="8">
                  <c:v>0.8146008720192508</c:v>
                </c:pt>
                <c:pt idx="9">
                  <c:v>0.79420338199028817</c:v>
                </c:pt>
                <c:pt idx="10">
                  <c:v>0.77643069154875943</c:v>
                </c:pt>
                <c:pt idx="11">
                  <c:v>0.76157195908072461</c:v>
                </c:pt>
                <c:pt idx="12">
                  <c:v>0.74973660397896413</c:v>
                </c:pt>
                <c:pt idx="13">
                  <c:v>0.74088824772873041</c:v>
                </c:pt>
                <c:pt idx="14">
                  <c:v>0.73488471240257958</c:v>
                </c:pt>
                <c:pt idx="15">
                  <c:v>0.73151582196624265</c:v>
                </c:pt>
                <c:pt idx="16">
                  <c:v>0.73053478971620955</c:v>
                </c:pt>
                <c:pt idx="17">
                  <c:v>0.73168194180489099</c:v>
                </c:pt>
                <c:pt idx="18">
                  <c:v>0.73470125068655445</c:v>
                </c:pt>
                <c:pt idx="19">
                  <c:v>0.73935091616134074</c:v>
                </c:pt>
                <c:pt idx="20">
                  <c:v>0.74540940527733968</c:v>
                </c:pt>
                <c:pt idx="21">
                  <c:v>0.7526782388876011</c:v>
                </c:pt>
                <c:pt idx="22">
                  <c:v>0.7609825768148758</c:v>
                </c:pt>
                <c:pt idx="23">
                  <c:v>0.77017040356288791</c:v>
                </c:pt>
                <c:pt idx="24">
                  <c:v>0.78011089585296356</c:v>
                </c:pt>
                <c:pt idx="25">
                  <c:v>0.79069237569217465</c:v>
                </c:pt>
                <c:pt idx="26">
                  <c:v>0.80182011773666939</c:v>
                </c:pt>
                <c:pt idx="27">
                  <c:v>0.81341418131125964</c:v>
                </c:pt>
                <c:pt idx="28">
                  <c:v>0.82540736808958082</c:v>
                </c:pt>
                <c:pt idx="29">
                  <c:v>0.83774335909498365</c:v>
                </c:pt>
                <c:pt idx="30">
                  <c:v>0.85037505345142117</c:v>
                </c:pt>
                <c:pt idx="31">
                  <c:v>0.86326311154660074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472-4477-BA89-86098ACA3BE6}"/>
            </c:ext>
          </c:extLst>
        </c:ser>
        <c:ser>
          <c:idx val="6"/>
          <c:order val="6"/>
          <c:tx>
            <c:strRef>
              <c:f>z!$E$44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z!$F$44:$AK$44</c:f>
              <c:numCache>
                <c:formatCode>0.00</c:formatCode>
                <c:ptCount val="32"/>
                <c:pt idx="0">
                  <c:v>0.99804492344172691</c:v>
                </c:pt>
                <c:pt idx="1">
                  <c:v>0.98008232080220292</c:v>
                </c:pt>
                <c:pt idx="2">
                  <c:v>0.96117322422363427</c:v>
                </c:pt>
                <c:pt idx="3">
                  <c:v>0.94115765133916207</c:v>
                </c:pt>
                <c:pt idx="4">
                  <c:v>0.92016848003278018</c:v>
                </c:pt>
                <c:pt idx="5">
                  <c:v>0.89858276978108187</c:v>
                </c:pt>
                <c:pt idx="6">
                  <c:v>0.87694801202352757</c:v>
                </c:pt>
                <c:pt idx="7">
                  <c:v>0.85589227840672177</c:v>
                </c:pt>
                <c:pt idx="8">
                  <c:v>0.83603478380972485</c:v>
                </c:pt>
                <c:pt idx="9">
                  <c:v>0.81791327848032647</c:v>
                </c:pt>
                <c:pt idx="10">
                  <c:v>0.80193831901442492</c:v>
                </c:pt>
                <c:pt idx="11">
                  <c:v>0.78837593168429676</c:v>
                </c:pt>
                <c:pt idx="12">
                  <c:v>0.77735343807656354</c:v>
                </c:pt>
                <c:pt idx="13">
                  <c:v>0.76888010134682694</c:v>
                </c:pt>
                <c:pt idx="14">
                  <c:v>0.76287441672464362</c:v>
                </c:pt>
                <c:pt idx="15">
                  <c:v>0.7591918819736162</c:v>
                </c:pt>
                <c:pt idx="16">
                  <c:v>0.75764954735547452</c:v>
                </c:pt>
                <c:pt idx="17">
                  <c:v>0.7580457186401901</c:v>
                </c:pt>
                <c:pt idx="18">
                  <c:v>0.76017458217703116</c:v>
                </c:pt>
                <c:pt idx="19">
                  <c:v>0.76383628659904945</c:v>
                </c:pt>
                <c:pt idx="20">
                  <c:v>0.76884332827301183</c:v>
                </c:pt>
                <c:pt idx="21">
                  <c:v>0.77502412783934638</c:v>
                </c:pt>
                <c:pt idx="22">
                  <c:v>0.78222458905875691</c:v>
                </c:pt>
                <c:pt idx="23">
                  <c:v>0.79030828446915902</c:v>
                </c:pt>
                <c:pt idx="24">
                  <c:v>0.79915576190527804</c:v>
                </c:pt>
                <c:pt idx="25">
                  <c:v>0.80866333334305684</c:v>
                </c:pt>
                <c:pt idx="26">
                  <c:v>0.818741599972995</c:v>
                </c:pt>
                <c:pt idx="27">
                  <c:v>0.82931388474345447</c:v>
                </c:pt>
                <c:pt idx="28">
                  <c:v>0.84031468257404307</c:v>
                </c:pt>
                <c:pt idx="29">
                  <c:v>0.8516881948344992</c:v>
                </c:pt>
                <c:pt idx="30">
                  <c:v>0.86338698448105211</c:v>
                </c:pt>
                <c:pt idx="31">
                  <c:v>0.8753707679846946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472-4477-BA89-86098ACA3BE6}"/>
            </c:ext>
          </c:extLst>
        </c:ser>
        <c:ser>
          <c:idx val="7"/>
          <c:order val="7"/>
          <c:tx>
            <c:strRef>
              <c:f>z!$E$45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z!$F$45:$AK$45</c:f>
              <c:numCache>
                <c:formatCode>0.00</c:formatCode>
                <c:ptCount val="32"/>
                <c:pt idx="0">
                  <c:v>0.99823777985482409</c:v>
                </c:pt>
                <c:pt idx="1">
                  <c:v>0.98203219026890476</c:v>
                </c:pt>
                <c:pt idx="2">
                  <c:v>0.9650257448144377</c:v>
                </c:pt>
                <c:pt idx="3">
                  <c:v>0.94714463652901648</c:v>
                </c:pt>
                <c:pt idx="4">
                  <c:v>0.92852797194515124</c:v>
                </c:pt>
                <c:pt idx="5">
                  <c:v>0.90949104037619499</c:v>
                </c:pt>
                <c:pt idx="6">
                  <c:v>0.89047155181055038</c:v>
                </c:pt>
                <c:pt idx="7">
                  <c:v>0.87196560184699989</c:v>
                </c:pt>
                <c:pt idx="8">
                  <c:v>0.85446424012380195</c:v>
                </c:pt>
                <c:pt idx="9">
                  <c:v>0.8384011496891508</c:v>
                </c:pt>
                <c:pt idx="10">
                  <c:v>0.82411806924887854</c:v>
                </c:pt>
                <c:pt idx="11">
                  <c:v>0.81184943102226947</c:v>
                </c:pt>
                <c:pt idx="12">
                  <c:v>0.80172341383581891</c:v>
                </c:pt>
                <c:pt idx="13">
                  <c:v>0.79377434536598634</c:v>
                </c:pt>
                <c:pt idx="14">
                  <c:v>0.78796109173815654</c:v>
                </c:pt>
                <c:pt idx="15">
                  <c:v>0.78418704731688094</c:v>
                </c:pt>
                <c:pt idx="16">
                  <c:v>0.78231878994569892</c:v>
                </c:pt>
                <c:pt idx="17">
                  <c:v>0.78220183870416604</c:v>
                </c:pt>
                <c:pt idx="18">
                  <c:v>0.78367298192980828</c:v>
                </c:pt>
                <c:pt idx="19">
                  <c:v>0.78656929080291338</c:v>
                </c:pt>
                <c:pt idx="20">
                  <c:v>0.79073426680396275</c:v>
                </c:pt>
                <c:pt idx="21">
                  <c:v>0.79602168928569084</c:v>
                </c:pt>
                <c:pt idx="22">
                  <c:v>0.802297721054132</c:v>
                </c:pt>
                <c:pt idx="23">
                  <c:v>0.80944175953595832</c:v>
                </c:pt>
                <c:pt idx="24">
                  <c:v>0.81734642925119594</c:v>
                </c:pt>
                <c:pt idx="25">
                  <c:v>0.82591702024594671</c:v>
                </c:pt>
                <c:pt idx="26">
                  <c:v>0.83507059733227718</c:v>
                </c:pt>
                <c:pt idx="27">
                  <c:v>0.8447349399197317</c:v>
                </c:pt>
                <c:pt idx="28">
                  <c:v>0.85484742172690642</c:v>
                </c:pt>
                <c:pt idx="29">
                  <c:v>0.86535390190701666</c:v>
                </c:pt>
                <c:pt idx="30">
                  <c:v>0.8762076717631615</c:v>
                </c:pt>
                <c:pt idx="31">
                  <c:v>0.88736848197138929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472-4477-BA89-86098ACA3BE6}"/>
            </c:ext>
          </c:extLst>
        </c:ser>
        <c:ser>
          <c:idx val="8"/>
          <c:order val="8"/>
          <c:tx>
            <c:strRef>
              <c:f>z!$E$46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z!$F$46:$AK$46</c:f>
              <c:numCache>
                <c:formatCode>0.00</c:formatCode>
                <c:ptCount val="32"/>
                <c:pt idx="0">
                  <c:v>0.99840722685190286</c:v>
                </c:pt>
                <c:pt idx="1">
                  <c:v>0.98374623435669428</c:v>
                </c:pt>
                <c:pt idx="2">
                  <c:v>0.96840004783601497</c:v>
                </c:pt>
                <c:pt idx="3">
                  <c:v>0.95236054361376188</c:v>
                </c:pt>
                <c:pt idx="4">
                  <c:v>0.9357732956160083</c:v>
                </c:pt>
                <c:pt idx="5">
                  <c:v>0.91890937261543626</c:v>
                </c:pt>
                <c:pt idx="6">
                  <c:v>0.90212573133503171</c:v>
                </c:pt>
                <c:pt idx="7">
                  <c:v>0.88581924063995832</c:v>
                </c:pt>
                <c:pt idx="8">
                  <c:v>0.87038160963124866</c:v>
                </c:pt>
                <c:pt idx="9">
                  <c:v>0.85616198187114034</c:v>
                </c:pt>
                <c:pt idx="10">
                  <c:v>0.84344148496250526</c:v>
                </c:pt>
                <c:pt idx="11">
                  <c:v>0.83242084861340726</c:v>
                </c:pt>
                <c:pt idx="12">
                  <c:v>0.82321951880644417</c:v>
                </c:pt>
                <c:pt idx="13">
                  <c:v>0.81588315004375556</c:v>
                </c:pt>
                <c:pt idx="14">
                  <c:v>0.81039598752306286</c:v>
                </c:pt>
                <c:pt idx="15">
                  <c:v>0.80669510819857237</c:v>
                </c:pt>
                <c:pt idx="16">
                  <c:v>0.80468433084032598</c:v>
                </c:pt>
                <c:pt idx="17">
                  <c:v>0.8042464818947529</c:v>
                </c:pt>
                <c:pt idx="18">
                  <c:v>0.80525342243495102</c:v>
                </c:pt>
                <c:pt idx="19">
                  <c:v>0.80757373918501762</c:v>
                </c:pt>
                <c:pt idx="20">
                  <c:v>0.81107829601234127</c:v>
                </c:pt>
                <c:pt idx="21">
                  <c:v>0.81564398074414457</c:v>
                </c:pt>
                <c:pt idx="22">
                  <c:v>0.82115601883317879</c:v>
                </c:pt>
                <c:pt idx="23">
                  <c:v>0.82750920387449411</c:v>
                </c:pt>
                <c:pt idx="24">
                  <c:v>0.83460834591484645</c:v>
                </c:pt>
                <c:pt idx="25">
                  <c:v>0.84236818103226996</c:v>
                </c:pt>
                <c:pt idx="26">
                  <c:v>0.85071293038778251</c:v>
                </c:pt>
                <c:pt idx="27">
                  <c:v>0.859575648828238</c:v>
                </c:pt>
                <c:pt idx="28">
                  <c:v>0.86889746375032195</c:v>
                </c:pt>
                <c:pt idx="29">
                  <c:v>0.87862677411263157</c:v>
                </c:pt>
                <c:pt idx="30">
                  <c:v>0.88871845616039435</c:v>
                </c:pt>
                <c:pt idx="31">
                  <c:v>0.89913310528404655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472-4477-BA89-86098ACA3BE6}"/>
            </c:ext>
          </c:extLst>
        </c:ser>
        <c:ser>
          <c:idx val="9"/>
          <c:order val="9"/>
          <c:tx>
            <c:strRef>
              <c:f>z!$E$47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z!$F$47:$AK$47</c:f>
              <c:numCache>
                <c:formatCode>0.00</c:formatCode>
                <c:ptCount val="32"/>
                <c:pt idx="0">
                  <c:v>0.99855680888647813</c:v>
                </c:pt>
                <c:pt idx="1">
                  <c:v>0.98526033786982703</c:v>
                </c:pt>
                <c:pt idx="2">
                  <c:v>0.97137179634089843</c:v>
                </c:pt>
                <c:pt idx="3">
                  <c:v>0.95693273312416538</c:v>
                </c:pt>
                <c:pt idx="4">
                  <c:v>0.94209430613676237</c:v>
                </c:pt>
                <c:pt idx="5">
                  <c:v>0.92709521141024953</c:v>
                </c:pt>
                <c:pt idx="6">
                  <c:v>0.91223224124292934</c:v>
                </c:pt>
                <c:pt idx="7">
                  <c:v>0.89782713442594964</c:v>
                </c:pt>
                <c:pt idx="8">
                  <c:v>0.88419459855835147</c:v>
                </c:pt>
                <c:pt idx="9">
                  <c:v>0.87161584310632501</c:v>
                </c:pt>
                <c:pt idx="10">
                  <c:v>0.86032032848066475</c:v>
                </c:pt>
                <c:pt idx="11">
                  <c:v>0.85047645234659763</c:v>
                </c:pt>
                <c:pt idx="12">
                  <c:v>0.84219021840813491</c:v>
                </c:pt>
                <c:pt idx="13">
                  <c:v>0.83550992523238954</c:v>
                </c:pt>
                <c:pt idx="14">
                  <c:v>0.83043460621240051</c:v>
                </c:pt>
                <c:pt idx="15">
                  <c:v>0.82692416556198611</c:v>
                </c:pt>
                <c:pt idx="16">
                  <c:v>0.82490964175057613</c:v>
                </c:pt>
                <c:pt idx="17">
                  <c:v>0.82430257925066897</c:v>
                </c:pt>
                <c:pt idx="18">
                  <c:v>0.82500297147105162</c:v>
                </c:pt>
                <c:pt idx="19">
                  <c:v>0.82690559706111422</c:v>
                </c:pt>
                <c:pt idx="20">
                  <c:v>0.82990480434876557</c:v>
                </c:pt>
                <c:pt idx="21">
                  <c:v>0.83389792643354965</c:v>
                </c:pt>
                <c:pt idx="22">
                  <c:v>0.83878756211653027</c:v>
                </c:pt>
                <c:pt idx="23">
                  <c:v>0.84448296288979519</c:v>
                </c:pt>
                <c:pt idx="24">
                  <c:v>0.85090074489830669</c:v>
                </c:pt>
                <c:pt idx="25">
                  <c:v>0.85796511171684109</c:v>
                </c:pt>
                <c:pt idx="26">
                  <c:v>0.86560773797656454</c:v>
                </c:pt>
                <c:pt idx="27">
                  <c:v>0.87376743029898052</c:v>
                </c:pt>
                <c:pt idx="28">
                  <c:v>0.88238965294824578</c:v>
                </c:pt>
                <c:pt idx="29">
                  <c:v>0.89142598178292298</c:v>
                </c:pt>
                <c:pt idx="30">
                  <c:v>0.90083353128093624</c:v>
                </c:pt>
                <c:pt idx="31">
                  <c:v>0.91057438501769539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472-4477-BA89-86098ACA3BE6}"/>
            </c:ext>
          </c:extLst>
        </c:ser>
        <c:ser>
          <c:idx val="10"/>
          <c:order val="10"/>
          <c:tx>
            <c:strRef>
              <c:f>z!$E$48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z!$F$48:$AK$48</c:f>
              <c:numCache>
                <c:formatCode>0.00</c:formatCode>
                <c:ptCount val="32"/>
                <c:pt idx="0">
                  <c:v>0.99868943360251405</c:v>
                </c:pt>
                <c:pt idx="1">
                  <c:v>0.98660387479603884</c:v>
                </c:pt>
                <c:pt idx="2">
                  <c:v>0.9740023019735824</c:v>
                </c:pt>
                <c:pt idx="3">
                  <c:v>0.96096341464500767</c:v>
                </c:pt>
                <c:pt idx="4">
                  <c:v>0.94764256139234349</c:v>
                </c:pt>
                <c:pt idx="5">
                  <c:v>0.934254123697006</c:v>
                </c:pt>
                <c:pt idx="6">
                  <c:v>0.92104945754372247</c:v>
                </c:pt>
                <c:pt idx="7">
                  <c:v>0.90829296819463212</c:v>
                </c:pt>
                <c:pt idx="8">
                  <c:v>0.89623955781954501</c:v>
                </c:pt>
                <c:pt idx="9">
                  <c:v>0.88511618366573741</c:v>
                </c:pt>
                <c:pt idx="10">
                  <c:v>0.87510916517856219</c:v>
                </c:pt>
                <c:pt idx="11">
                  <c:v>0.86635763102900953</c:v>
                </c:pt>
                <c:pt idx="12">
                  <c:v>0.85895246335346642</c:v>
                </c:pt>
                <c:pt idx="13">
                  <c:v>0.8529394668194501</c:v>
                </c:pt>
                <c:pt idx="14">
                  <c:v>0.84832527908735167</c:v>
                </c:pt>
                <c:pt idx="15">
                  <c:v>0.84508464659112292</c:v>
                </c:pt>
                <c:pt idx="16">
                  <c:v>0.8431679758048114</c:v>
                </c:pt>
                <c:pt idx="17">
                  <c:v>0.84250841198367188</c:v>
                </c:pt>
                <c:pt idx="18">
                  <c:v>0.84302801246388115</c:v>
                </c:pt>
                <c:pt idx="19">
                  <c:v>0.84464282964114679</c:v>
                </c:pt>
                <c:pt idx="20">
                  <c:v>0.84726689044974512</c:v>
                </c:pt>
                <c:pt idx="21">
                  <c:v>0.85081516307530003</c:v>
                </c:pt>
                <c:pt idx="22">
                  <c:v>0.85520565353732114</c:v>
                </c:pt>
                <c:pt idx="23">
                  <c:v>0.86036079107586716</c:v>
                </c:pt>
                <c:pt idx="24">
                  <c:v>0.86620825578327387</c:v>
                </c:pt>
                <c:pt idx="25">
                  <c:v>0.87268138487729274</c:v>
                </c:pt>
                <c:pt idx="26">
                  <c:v>0.87971927229475644</c:v>
                </c:pt>
                <c:pt idx="27">
                  <c:v>0.88726665409772787</c:v>
                </c:pt>
                <c:pt idx="28">
                  <c:v>0.89527365181487961</c:v>
                </c:pt>
                <c:pt idx="29">
                  <c:v>0.90369542831771155</c:v>
                </c:pt>
                <c:pt idx="30">
                  <c:v>0.91249179641772038</c:v>
                </c:pt>
                <c:pt idx="31">
                  <c:v>0.92162680890859983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472-4477-BA89-86098ACA3BE6}"/>
            </c:ext>
          </c:extLst>
        </c:ser>
        <c:ser>
          <c:idx val="11"/>
          <c:order val="11"/>
          <c:tx>
            <c:strRef>
              <c:f>z!$E$49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z!$F$49:$AK$49</c:f>
              <c:numCache>
                <c:formatCode>0.00</c:formatCode>
                <c:ptCount val="32"/>
                <c:pt idx="0">
                  <c:v>0.99880750095040405</c:v>
                </c:pt>
                <c:pt idx="1">
                  <c:v>0.98780104756068532</c:v>
                </c:pt>
                <c:pt idx="2">
                  <c:v>0.97634162156103177</c:v>
                </c:pt>
                <c:pt idx="3">
                  <c:v>0.96453527254599691</c:v>
                </c:pt>
                <c:pt idx="4">
                  <c:v>0.95253998369439685</c:v>
                </c:pt>
                <c:pt idx="5">
                  <c:v>0.9405513397705445</c:v>
                </c:pt>
                <c:pt idx="6">
                  <c:v>0.92878588362048298</c:v>
                </c:pt>
                <c:pt idx="7">
                  <c:v>0.91746389234752135</c:v>
                </c:pt>
                <c:pt idx="8">
                  <c:v>0.90679366186927757</c:v>
                </c:pt>
                <c:pt idx="9">
                  <c:v>0.89695895997771069</c:v>
                </c:pt>
                <c:pt idx="10">
                  <c:v>0.88811056686751355</c:v>
                </c:pt>
                <c:pt idx="11">
                  <c:v>0.88036204319416278</c:v>
                </c:pt>
                <c:pt idx="12">
                  <c:v>0.873789243674718</c:v>
                </c:pt>
                <c:pt idx="13">
                  <c:v>0.86843272179545661</c:v>
                </c:pt>
                <c:pt idx="14">
                  <c:v>0.86430204757432749</c:v>
                </c:pt>
                <c:pt idx="15">
                  <c:v>0.86138112579111381</c:v>
                </c:pt>
                <c:pt idx="16">
                  <c:v>0.85963377703147903</c:v>
                </c:pt>
                <c:pt idx="17">
                  <c:v>0.85900905721039822</c:v>
                </c:pt>
                <c:pt idx="18">
                  <c:v>0.85944599366254637</c:v>
                </c:pt>
                <c:pt idx="19">
                  <c:v>0.86087758120822555</c:v>
                </c:pt>
                <c:pt idx="20">
                  <c:v>0.86323400158074548</c:v>
                </c:pt>
                <c:pt idx="21">
                  <c:v>0.8664451071238688</c:v>
                </c:pt>
                <c:pt idx="22">
                  <c:v>0.87044225288806909</c:v>
                </c:pt>
                <c:pt idx="23">
                  <c:v>0.87515957960672985</c:v>
                </c:pt>
                <c:pt idx="24">
                  <c:v>0.88053485204824278</c:v>
                </c:pt>
                <c:pt idx="25">
                  <c:v>0.88650994965320706</c:v>
                </c:pt>
                <c:pt idx="26">
                  <c:v>0.89303109400440583</c:v>
                </c:pt>
                <c:pt idx="27">
                  <c:v>0.90004888371872271</c:v>
                </c:pt>
                <c:pt idx="28">
                  <c:v>0.90751819370654763</c:v>
                </c:pt>
                <c:pt idx="29">
                  <c:v>0.9153979834349012</c:v>
                </c:pt>
                <c:pt idx="30">
                  <c:v>0.92365104828983746</c:v>
                </c:pt>
                <c:pt idx="31">
                  <c:v>0.93224373944023486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472-4477-BA89-86098ACA3BE6}"/>
            </c:ext>
          </c:extLst>
        </c:ser>
        <c:ser>
          <c:idx val="12"/>
          <c:order val="12"/>
          <c:tx>
            <c:strRef>
              <c:f>z!$E$50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z!$F$50:$AK$50</c:f>
              <c:numCache>
                <c:formatCode>0.00</c:formatCode>
                <c:ptCount val="32"/>
                <c:pt idx="0">
                  <c:v>0.9989130040021269</c:v>
                </c:pt>
                <c:pt idx="1">
                  <c:v>0.98887192689144776</c:v>
                </c:pt>
                <c:pt idx="2">
                  <c:v>0.97843092298069267</c:v>
                </c:pt>
                <c:pt idx="3">
                  <c:v>0.96771571823131741</c:v>
                </c:pt>
                <c:pt idx="4">
                  <c:v>0.9568854024661364</c:v>
                </c:pt>
                <c:pt idx="5">
                  <c:v>0.94612056673113509</c:v>
                </c:pt>
                <c:pt idx="6">
                  <c:v>0.93561066467321663</c:v>
                </c:pt>
                <c:pt idx="7">
                  <c:v>0.9255416948000792</c:v>
                </c:pt>
                <c:pt idx="8">
                  <c:v>0.91608547346899094</c:v>
                </c:pt>
                <c:pt idx="9">
                  <c:v>0.90739142253087046</c:v>
                </c:pt>
                <c:pt idx="10">
                  <c:v>0.89958130404757031</c:v>
                </c:pt>
                <c:pt idx="11">
                  <c:v>0.89274686183850382</c:v>
                </c:pt>
                <c:pt idx="12">
                  <c:v>0.88694997408031317</c:v>
                </c:pt>
                <c:pt idx="13">
                  <c:v>0.88222472086037584</c:v>
                </c:pt>
                <c:pt idx="14">
                  <c:v>0.87858071537628213</c:v>
                </c:pt>
                <c:pt idx="15">
                  <c:v>0.87600709945294497</c:v>
                </c:pt>
                <c:pt idx="16">
                  <c:v>0.87447671743028854</c:v>
                </c:pt>
                <c:pt idx="17">
                  <c:v>0.87395011733240835</c:v>
                </c:pt>
                <c:pt idx="18">
                  <c:v>0.87437915671993205</c:v>
                </c:pt>
                <c:pt idx="19">
                  <c:v>0.87571009745731077</c:v>
                </c:pt>
                <c:pt idx="20">
                  <c:v>0.8778861534226684</c:v>
                </c:pt>
                <c:pt idx="21">
                  <c:v>0.88084950897057601</c:v>
                </c:pt>
                <c:pt idx="22">
                  <c:v>0.88454285801858312</c:v>
                </c:pt>
                <c:pt idx="23">
                  <c:v>0.88891052930540271</c:v>
                </c:pt>
                <c:pt idx="24">
                  <c:v>0.89389926773720296</c:v>
                </c:pt>
                <c:pt idx="25">
                  <c:v>0.89945873899647022</c:v>
                </c:pt>
                <c:pt idx="26">
                  <c:v>0.90554181789287791</c:v>
                </c:pt>
                <c:pt idx="27">
                  <c:v>0.91210471248365144</c:v>
                </c:pt>
                <c:pt idx="28">
                  <c:v>0.91910696719686746</c:v>
                </c:pt>
                <c:pt idx="29">
                  <c:v>0.92651137988791299</c:v>
                </c:pt>
                <c:pt idx="30">
                  <c:v>0.93428386037523647</c:v>
                </c:pt>
                <c:pt idx="31">
                  <c:v>0.94239325170122135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472-4477-BA89-86098ACA3BE6}"/>
            </c:ext>
          </c:extLst>
        </c:ser>
        <c:ser>
          <c:idx val="13"/>
          <c:order val="13"/>
          <c:tx>
            <c:strRef>
              <c:f>z!$E$51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z!$F$51:$AK$51</c:f>
              <c:numCache>
                <c:formatCode>0.00</c:formatCode>
                <c:ptCount val="32"/>
                <c:pt idx="0">
                  <c:v>0.99900760793015131</c:v>
                </c:pt>
                <c:pt idx="1">
                  <c:v>0.98983326262933813</c:v>
                </c:pt>
                <c:pt idx="2">
                  <c:v>0.98030430386921175</c:v>
                </c:pt>
                <c:pt idx="3">
                  <c:v>0.9705601262414324</c:v>
                </c:pt>
                <c:pt idx="4">
                  <c:v>0.96075952498932837</c:v>
                </c:pt>
                <c:pt idx="5">
                  <c:v>0.9510707366883262</c:v>
                </c:pt>
                <c:pt idx="6">
                  <c:v>0.94166178580528503</c:v>
                </c:pt>
                <c:pt idx="7">
                  <c:v>0.93269177868399256</c:v>
                </c:pt>
                <c:pt idx="8">
                  <c:v>0.92430382978715242</c:v>
                </c:pt>
                <c:pt idx="9">
                  <c:v>0.91662003635449441</c:v>
                </c:pt>
                <c:pt idx="10">
                  <c:v>0.90973860430030307</c:v>
                </c:pt>
                <c:pt idx="11">
                  <c:v>0.90373296020857075</c:v>
                </c:pt>
                <c:pt idx="12">
                  <c:v>0.89865250320133228</c:v>
                </c:pt>
                <c:pt idx="13">
                  <c:v>0.89452456423515136</c:v>
                </c:pt>
                <c:pt idx="14">
                  <c:v>0.8913571346471808</c:v>
                </c:pt>
                <c:pt idx="15">
                  <c:v>0.88914197550766472</c:v>
                </c:pt>
                <c:pt idx="16">
                  <c:v>0.88785779844607016</c:v>
                </c:pt>
                <c:pt idx="17">
                  <c:v>0.88747329576417078</c:v>
                </c:pt>
                <c:pt idx="18">
                  <c:v>0.88794987847155427</c:v>
                </c:pt>
                <c:pt idx="19">
                  <c:v>0.8892440477079957</c:v>
                </c:pt>
                <c:pt idx="20">
                  <c:v>0.89130937532880139</c:v>
                </c:pt>
                <c:pt idx="21">
                  <c:v>0.89409810400278256</c:v>
                </c:pt>
                <c:pt idx="22">
                  <c:v>0.89756239849879293</c:v>
                </c:pt>
                <c:pt idx="23">
                  <c:v>0.90165529098040742</c:v>
                </c:pt>
                <c:pt idx="24">
                  <c:v>0.90633136703844019</c:v>
                </c:pt>
                <c:pt idx="25">
                  <c:v>0.91154723836149554</c:v>
                </c:pt>
                <c:pt idx="26">
                  <c:v>0.91726184430647029</c:v>
                </c:pt>
                <c:pt idx="27">
                  <c:v>0.92343661957600487</c:v>
                </c:pt>
                <c:pt idx="28">
                  <c:v>0.93003555967705487</c:v>
                </c:pt>
                <c:pt idx="29">
                  <c:v>0.93702521041211384</c:v>
                </c:pt>
                <c:pt idx="30">
                  <c:v>0.94437460267604612</c:v>
                </c:pt>
                <c:pt idx="31">
                  <c:v>0.95205514945693392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472-4477-BA89-86098ACA3BE6}"/>
            </c:ext>
          </c:extLst>
        </c:ser>
        <c:ser>
          <c:idx val="14"/>
          <c:order val="14"/>
          <c:tx>
            <c:strRef>
              <c:f>z!$E$52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z!$F$52:$AK$52</c:f>
              <c:numCache>
                <c:formatCode>0.00</c:formatCode>
                <c:ptCount val="32"/>
                <c:pt idx="0">
                  <c:v>0.99909271213256878</c:v>
                </c:pt>
                <c:pt idx="1">
                  <c:v>0.99069911895747964</c:v>
                </c:pt>
                <c:pt idx="2">
                  <c:v>0.98199019853054925</c:v>
                </c:pt>
                <c:pt idx="3">
                  <c:v>0.97311431402460646</c:v>
                </c:pt>
                <c:pt idx="4">
                  <c:v>0.9642287361386167</c:v>
                </c:pt>
                <c:pt idx="5">
                  <c:v>0.95549119358577073</c:v>
                </c:pt>
                <c:pt idx="6">
                  <c:v>0.94705246158356249</c:v>
                </c:pt>
                <c:pt idx="7">
                  <c:v>0.93905032414231071</c:v>
                </c:pt>
                <c:pt idx="8">
                  <c:v>0.93160517934283293</c:v>
                </c:pt>
                <c:pt idx="9">
                  <c:v>0.92481735269684928</c:v>
                </c:pt>
                <c:pt idx="10">
                  <c:v>0.91876599865715236</c:v>
                </c:pt>
                <c:pt idx="11">
                  <c:v>0.91350934131432515</c:v>
                </c:pt>
                <c:pt idx="12">
                  <c:v>0.909085939397135</c:v>
                </c:pt>
                <c:pt idx="13">
                  <c:v>0.90551664961732248</c:v>
                </c:pt>
                <c:pt idx="14">
                  <c:v>0.90280699072874537</c:v>
                </c:pt>
                <c:pt idx="15">
                  <c:v>0.90094966175044078</c:v>
                </c:pt>
                <c:pt idx="16">
                  <c:v>0.89992702743293795</c:v>
                </c:pt>
                <c:pt idx="17">
                  <c:v>0.8997134420693701</c:v>
                </c:pt>
                <c:pt idx="18">
                  <c:v>0.90027733313683855</c:v>
                </c:pt>
                <c:pt idx="19">
                  <c:v>0.90158300635076083</c:v>
                </c:pt>
                <c:pt idx="20">
                  <c:v>0.90359216323245295</c:v>
                </c:pt>
                <c:pt idx="21">
                  <c:v>0.90626514232177846</c:v>
                </c:pt>
                <c:pt idx="22">
                  <c:v>0.90956190744148813</c:v>
                </c:pt>
                <c:pt idx="23">
                  <c:v>0.913442812798968</c:v>
                </c:pt>
                <c:pt idx="24">
                  <c:v>0.91786917689867531</c:v>
                </c:pt>
                <c:pt idx="25">
                  <c:v>0.92280369664949669</c:v>
                </c:pt>
                <c:pt idx="26">
                  <c:v>0.92821073077930749</c:v>
                </c:pt>
                <c:pt idx="27">
                  <c:v>0.93405647851051221</c:v>
                </c:pt>
                <c:pt idx="28">
                  <c:v>0.94030907595303181</c:v>
                </c:pt>
                <c:pt idx="29">
                  <c:v>0.9469386291889087</c:v>
                </c:pt>
                <c:pt idx="30">
                  <c:v>0.95391719976650824</c:v>
                </c:pt>
                <c:pt idx="31">
                  <c:v>0.96121875540285773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472-4477-BA89-86098ACA3BE6}"/>
            </c:ext>
          </c:extLst>
        </c:ser>
        <c:ser>
          <c:idx val="15"/>
          <c:order val="15"/>
          <c:tx>
            <c:strRef>
              <c:f>z!$E$53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z!$F$53:$AK$53</c:f>
              <c:numCache>
                <c:formatCode>0.00</c:formatCode>
                <c:ptCount val="32"/>
                <c:pt idx="0">
                  <c:v>0.9991694993275928</c:v>
                </c:pt>
                <c:pt idx="1">
                  <c:v>0.99148137464846464</c:v>
                </c:pt>
                <c:pt idx="2">
                  <c:v>0.98351247326308699</c:v>
                </c:pt>
                <c:pt idx="3">
                  <c:v>0.97541645528115184</c:v>
                </c:pt>
                <c:pt idx="4">
                  <c:v>0.9673480214817658</c:v>
                </c:pt>
                <c:pt idx="5">
                  <c:v>0.95945569842112155</c:v>
                </c:pt>
                <c:pt idx="6">
                  <c:v>0.95187612345216188</c:v>
                </c:pt>
                <c:pt idx="7">
                  <c:v>0.94472998156635846</c:v>
                </c:pt>
                <c:pt idx="8">
                  <c:v>0.93811957269098933</c:v>
                </c:pt>
                <c:pt idx="9">
                  <c:v>0.9321278333896259</c:v>
                </c:pt>
                <c:pt idx="10">
                  <c:v>0.92681854393212759</c:v>
                </c:pt>
                <c:pt idx="11">
                  <c:v>0.92223741756917488</c:v>
                </c:pt>
                <c:pt idx="12">
                  <c:v>0.9184137792041146</c:v>
                </c:pt>
                <c:pt idx="13">
                  <c:v>0.91536257867203419</c:v>
                </c:pt>
                <c:pt idx="14">
                  <c:v>0.91308653472538914</c:v>
                </c:pt>
                <c:pt idx="15">
                  <c:v>0.91157825872340092</c:v>
                </c:pt>
                <c:pt idx="16">
                  <c:v>0.91082225517563942</c:v>
                </c:pt>
                <c:pt idx="17">
                  <c:v>0.91079673635216096</c:v>
                </c:pt>
                <c:pt idx="18">
                  <c:v>0.91147521920434693</c:v>
                </c:pt>
                <c:pt idx="19">
                  <c:v>0.91282789536788722</c:v>
                </c:pt>
                <c:pt idx="20">
                  <c:v>0.91482278030065922</c:v>
                </c:pt>
                <c:pt idx="21">
                  <c:v>0.91742665714063276</c:v>
                </c:pt>
                <c:pt idx="22">
                  <c:v>0.92060583609692337</c:v>
                </c:pt>
                <c:pt idx="23">
                  <c:v>0.92432675235920414</c:v>
                </c:pt>
                <c:pt idx="24">
                  <c:v>0.92855642563039131</c:v>
                </c:pt>
                <c:pt idx="25">
                  <c:v>0.93326280321879085</c:v>
                </c:pt>
                <c:pt idx="26">
                  <c:v>0.93841500672407807</c:v>
                </c:pt>
                <c:pt idx="27">
                  <c:v>0.94398350010328413</c:v>
                </c:pt>
                <c:pt idx="28">
                  <c:v>0.94994019456558343</c:v>
                </c:pt>
                <c:pt idx="29">
                  <c:v>0.95625850347988117</c:v>
                </c:pt>
                <c:pt idx="30">
                  <c:v>0.96291335838106107</c:v>
                </c:pt>
                <c:pt idx="31">
                  <c:v>0.96988119527675676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472-4477-BA89-86098ACA3BE6}"/>
            </c:ext>
          </c:extLst>
        </c:ser>
        <c:ser>
          <c:idx val="16"/>
          <c:order val="16"/>
          <c:tx>
            <c:strRef>
              <c:f>z!$E$54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z!$F$54:$AK$54</c:f>
              <c:numCache>
                <c:formatCode>0.00</c:formatCode>
                <c:ptCount val="32"/>
                <c:pt idx="0">
                  <c:v>0.99923897454552091</c:v>
                </c:pt>
                <c:pt idx="1">
                  <c:v>0.99219011916796918</c:v>
                </c:pt>
                <c:pt idx="2">
                  <c:v>0.98489128463089259</c:v>
                </c:pt>
                <c:pt idx="3">
                  <c:v>0.97749856644117739</c:v>
                </c:pt>
                <c:pt idx="4">
                  <c:v>0.97016323057858611</c:v>
                </c:pt>
                <c:pt idx="5">
                  <c:v>0.96302553798115387</c:v>
                </c:pt>
                <c:pt idx="6">
                  <c:v>0.95621032340088841</c:v>
                </c:pt>
                <c:pt idx="7">
                  <c:v>0.94982439304660504</c:v>
                </c:pt>
                <c:pt idx="8">
                  <c:v>0.94395552244633807</c:v>
                </c:pt>
                <c:pt idx="9">
                  <c:v>0.93867271585990031</c:v>
                </c:pt>
                <c:pt idx="10">
                  <c:v>0.93402736057940361</c:v>
                </c:pt>
                <c:pt idx="11">
                  <c:v>0.93005493985085907</c:v>
                </c:pt>
                <c:pt idx="12">
                  <c:v>0.92677702876517931</c:v>
                </c:pt>
                <c:pt idx="13">
                  <c:v>0.92420336710275919</c:v>
                </c:pt>
                <c:pt idx="14">
                  <c:v>0.9223338683533836</c:v>
                </c:pt>
                <c:pt idx="15">
                  <c:v>0.92116047825662528</c:v>
                </c:pt>
                <c:pt idx="16">
                  <c:v>0.92066883725627646</c:v>
                </c:pt>
                <c:pt idx="17">
                  <c:v>0.92083973008440634</c:v>
                </c:pt>
                <c:pt idx="18">
                  <c:v>0.92165032443402028</c:v>
                </c:pt>
                <c:pt idx="19">
                  <c:v>0.92307521181018115</c:v>
                </c:pt>
                <c:pt idx="20">
                  <c:v>0.92508726942089481</c:v>
                </c:pt>
                <c:pt idx="21">
                  <c:v>0.92765836420184689</c:v>
                </c:pt>
                <c:pt idx="22">
                  <c:v>0.93075992011720676</c:v>
                </c:pt>
                <c:pt idx="23">
                  <c:v>0.93436336868592562</c:v>
                </c:pt>
                <c:pt idx="24">
                  <c:v>0.9384405008706912</c:v>
                </c:pt>
                <c:pt idx="25">
                  <c:v>0.94296373642215503</c:v>
                </c:pt>
                <c:pt idx="26">
                  <c:v>0.9479063247208741</c:v>
                </c:pt>
                <c:pt idx="27">
                  <c:v>0.95324248922596777</c:v>
                </c:pt>
                <c:pt idx="28">
                  <c:v>0.95894752588039123</c:v>
                </c:pt>
                <c:pt idx="29">
                  <c:v>0.9649978642576611</c:v>
                </c:pt>
                <c:pt idx="30">
                  <c:v>0.97137109886238882</c:v>
                </c:pt>
                <c:pt idx="31">
                  <c:v>0.97804599680513071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472-4477-BA89-86098ACA3BE6}"/>
            </c:ext>
          </c:extLst>
        </c:ser>
        <c:ser>
          <c:idx val="17"/>
          <c:order val="17"/>
          <c:tx>
            <c:strRef>
              <c:f>z!$E$55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z!$F$55:$AK$55</c:f>
              <c:numCache>
                <c:formatCode>0.00</c:formatCode>
                <c:ptCount val="32"/>
                <c:pt idx="0">
                  <c:v>0.99930199626064975</c:v>
                </c:pt>
                <c:pt idx="1">
                  <c:v>0.99283396809184521</c:v>
                </c:pt>
                <c:pt idx="2">
                  <c:v>0.98614375635256302</c:v>
                </c:pt>
                <c:pt idx="3">
                  <c:v>0.97938766941724231</c:v>
                </c:pt>
                <c:pt idx="4">
                  <c:v>0.97271284084561283</c:v>
                </c:pt>
                <c:pt idx="5">
                  <c:v>0.96625195096638772</c:v>
                </c:pt>
                <c:pt idx="6">
                  <c:v>0.96011980039688682</c:v>
                </c:pt>
                <c:pt idx="7">
                  <c:v>0.95441178594724696</c:v>
                </c:pt>
                <c:pt idx="8">
                  <c:v>0.94920393299384975</c:v>
                </c:pt>
                <c:pt idx="9">
                  <c:v>0.94455403988412412</c:v>
                </c:pt>
                <c:pt idx="10">
                  <c:v>0.94050350651079606</c:v>
                </c:pt>
                <c:pt idx="11">
                  <c:v>0.93707949266831392</c:v>
                </c:pt>
                <c:pt idx="12">
                  <c:v>0.93429714492037919</c:v>
                </c:pt>
                <c:pt idx="13">
                  <c:v>0.93216172014853749</c:v>
                </c:pt>
                <c:pt idx="14">
                  <c:v>0.9306705078089903</c:v>
                </c:pt>
                <c:pt idx="15">
                  <c:v>0.92981450746545369</c:v>
                </c:pt>
                <c:pt idx="16">
                  <c:v>0.92957985455109982</c:v>
                </c:pt>
                <c:pt idx="17">
                  <c:v>0.92994900898187149</c:v>
                </c:pt>
                <c:pt idx="18">
                  <c:v>0.93090173219062566</c:v>
                </c:pt>
                <c:pt idx="19">
                  <c:v>0.93241588198647674</c:v>
                </c:pt>
                <c:pt idx="20">
                  <c:v>0.9344680542110243</c:v>
                </c:pt>
                <c:pt idx="21">
                  <c:v>0.93703409749270083</c:v>
                </c:pt>
                <c:pt idx="22">
                  <c:v>0.94008952381961908</c:v>
                </c:pt>
                <c:pt idx="23">
                  <c:v>0.94360983395117881</c:v>
                </c:pt>
                <c:pt idx="24">
                  <c:v>0.94757077328683459</c:v>
                </c:pt>
                <c:pt idx="25">
                  <c:v>0.95194853088406384</c:v>
                </c:pt>
                <c:pt idx="26">
                  <c:v>0.95671989190269957</c:v>
                </c:pt>
                <c:pt idx="27">
                  <c:v>0.96186235181109636</c:v>
                </c:pt>
                <c:pt idx="28">
                  <c:v>0.96735419915123066</c:v>
                </c:pt>
                <c:pt idx="29">
                  <c:v>0.97317457244776751</c:v>
                </c:pt>
                <c:pt idx="30">
                  <c:v>0.97930349588920607</c:v>
                </c:pt>
                <c:pt idx="31">
                  <c:v>0.98572189764737106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D472-4477-BA89-86098ACA3BE6}"/>
            </c:ext>
          </c:extLst>
        </c:ser>
        <c:ser>
          <c:idx val="18"/>
          <c:order val="18"/>
          <c:tx>
            <c:strRef>
              <c:f>z!$E$56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z!$F$56:$AK$56</c:f>
              <c:numCache>
                <c:formatCode>0.00</c:formatCode>
                <c:ptCount val="32"/>
                <c:pt idx="0">
                  <c:v>0.99935930138281814</c:v>
                </c:pt>
                <c:pt idx="1">
                  <c:v>0.99342031572281919</c:v>
                </c:pt>
                <c:pt idx="2">
                  <c:v>0.98728451659902083</c:v>
                </c:pt>
                <c:pt idx="3">
                  <c:v>0.98110670729538596</c:v>
                </c:pt>
                <c:pt idx="4">
                  <c:v>0.97502934114889717</c:v>
                </c:pt>
                <c:pt idx="5">
                  <c:v>0.96917803212244691</c:v>
                </c:pt>
                <c:pt idx="6">
                  <c:v>0.96365889921279035</c:v>
                </c:pt>
                <c:pt idx="7">
                  <c:v>0.95855783459679422</c:v>
                </c:pt>
                <c:pt idx="8">
                  <c:v>0.95394127425286046</c:v>
                </c:pt>
                <c:pt idx="9">
                  <c:v>0.94985796231150599</c:v>
                </c:pt>
                <c:pt idx="10">
                  <c:v>0.94634124611836468</c:v>
                </c:pt>
                <c:pt idx="11">
                  <c:v>0.94341154015416095</c:v>
                </c:pt>
                <c:pt idx="12">
                  <c:v>0.94107871024449652</c:v>
                </c:pt>
                <c:pt idx="13">
                  <c:v>0.9393442306705887</c:v>
                </c:pt>
                <c:pt idx="14">
                  <c:v>0.93820304531570553</c:v>
                </c:pt>
                <c:pt idx="15">
                  <c:v>0.93764511822275975</c:v>
                </c:pt>
                <c:pt idx="16">
                  <c:v>0.9376566920732845</c:v>
                </c:pt>
                <c:pt idx="17">
                  <c:v>0.93822129014268563</c:v>
                </c:pt>
                <c:pt idx="18">
                  <c:v>0.9393205033065386</c:v>
                </c:pt>
                <c:pt idx="19">
                  <c:v>0.94093460291596476</c:v>
                </c:pt>
                <c:pt idx="20">
                  <c:v>0.94304301599063778</c:v>
                </c:pt>
                <c:pt idx="21">
                  <c:v>0.94562469333483334</c:v>
                </c:pt>
                <c:pt idx="22">
                  <c:v>0.94865839517692718</c:v>
                </c:pt>
                <c:pt idx="23">
                  <c:v>0.95212291347616995</c:v>
                </c:pt>
                <c:pt idx="24">
                  <c:v>0.95599724544198728</c:v>
                </c:pt>
                <c:pt idx="25">
                  <c:v>0.96026072913533034</c:v>
                </c:pt>
                <c:pt idx="26">
                  <c:v>0.96489314920003377</c:v>
                </c:pt>
                <c:pt idx="27">
                  <c:v>0.96987481867548464</c:v>
                </c:pt>
                <c:pt idx="28">
                  <c:v>0.9751866413247624</c:v>
                </c:pt>
                <c:pt idx="29">
                  <c:v>0.98081015783757108</c:v>
                </c:pt>
                <c:pt idx="30">
                  <c:v>0.98672757851717507</c:v>
                </c:pt>
                <c:pt idx="31">
                  <c:v>0.99292180454063406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472-4477-BA89-86098ACA3BE6}"/>
            </c:ext>
          </c:extLst>
        </c:ser>
        <c:ser>
          <c:idx val="19"/>
          <c:order val="19"/>
          <c:tx>
            <c:strRef>
              <c:f>z!$E$57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z!$F$57:$AK$57</c:f>
              <c:numCache>
                <c:formatCode>0.00</c:formatCode>
                <c:ptCount val="32"/>
                <c:pt idx="0">
                  <c:v>0.99941152543038003</c:v>
                </c:pt>
                <c:pt idx="1">
                  <c:v>0.99395553858753305</c:v>
                </c:pt>
                <c:pt idx="2">
                  <c:v>0.98832612722873103</c:v>
                </c:pt>
                <c:pt idx="3">
                  <c:v>0.98267527027855872</c:v>
                </c:pt>
                <c:pt idx="4">
                  <c:v>0.97714032412058216</c:v>
                </c:pt>
                <c:pt idx="5">
                  <c:v>0.9718402353023945</c:v>
                </c:pt>
                <c:pt idx="6">
                  <c:v>0.96687348711743482</c:v>
                </c:pt>
                <c:pt idx="7">
                  <c:v>0.96231794548950855</c:v>
                </c:pt>
                <c:pt idx="8">
                  <c:v>0.95823214575774607</c:v>
                </c:pt>
                <c:pt idx="9">
                  <c:v>0.95465747757613573</c:v>
                </c:pt>
                <c:pt idx="10">
                  <c:v>0.95162078849053777</c:v>
                </c:pt>
                <c:pt idx="11">
                  <c:v>0.9491370444638072</c:v>
                </c:pt>
                <c:pt idx="12">
                  <c:v>0.94721181040587021</c:v>
                </c:pt>
                <c:pt idx="13">
                  <c:v>0.94584342111377206</c:v>
                </c:pt>
                <c:pt idx="14">
                  <c:v>0.94502479349722435</c:v>
                </c:pt>
                <c:pt idx="15">
                  <c:v>0.94474488435545634</c:v>
                </c:pt>
                <c:pt idx="16">
                  <c:v>0.9449898287105083</c:v>
                </c:pt>
                <c:pt idx="17">
                  <c:v>0.94574380771986799</c:v>
                </c:pt>
                <c:pt idx="18">
                  <c:v>0.94698969813254419</c:v>
                </c:pt>
                <c:pt idx="19">
                  <c:v>0.94870955168473403</c:v>
                </c:pt>
                <c:pt idx="20">
                  <c:v>0.95088494606104479</c:v>
                </c:pt>
                <c:pt idx="21">
                  <c:v>0.95349724125019131</c:v>
                </c:pt>
                <c:pt idx="22">
                  <c:v>0.95652776759058433</c:v>
                </c:pt>
                <c:pt idx="23">
                  <c:v>0.95995796519345611</c:v>
                </c:pt>
                <c:pt idx="24">
                  <c:v>0.96376948900124293</c:v>
                </c:pt>
                <c:pt idx="25">
                  <c:v>0.96794428949436884</c:v>
                </c:pt>
                <c:pt idx="26">
                  <c:v>0.97246467587866847</c:v>
                </c:pt>
                <c:pt idx="27">
                  <c:v>0.97731336629235754</c:v>
                </c:pt>
                <c:pt idx="28">
                  <c:v>0.98247352798012832</c:v>
                </c:pt>
                <c:pt idx="29">
                  <c:v>0.98792880932173821</c:v>
                </c:pt>
                <c:pt idx="30">
                  <c:v>0.99366336492820206</c:v>
                </c:pt>
                <c:pt idx="31">
                  <c:v>0.99966187461379008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D472-4477-BA89-86098ACA3BE6}"/>
            </c:ext>
          </c:extLst>
        </c:ser>
        <c:ser>
          <c:idx val="20"/>
          <c:order val="20"/>
          <c:tx>
            <c:strRef>
              <c:f>z!$E$58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z!$F$58:$AK$58</c:f>
              <c:numCache>
                <c:formatCode>0.00</c:formatCode>
                <c:ptCount val="32"/>
                <c:pt idx="0">
                  <c:v>0.99945921890370015</c:v>
                </c:pt>
                <c:pt idx="1">
                  <c:v>0.99444516031648278</c:v>
                </c:pt>
                <c:pt idx="2">
                  <c:v>0.98927942886957076</c:v>
                </c:pt>
                <c:pt idx="3">
                  <c:v>0.98411017498150877</c:v>
                </c:pt>
                <c:pt idx="4">
                  <c:v>0.979069354020634</c:v>
                </c:pt>
                <c:pt idx="5">
                  <c:v>0.97426956681187848</c:v>
                </c:pt>
                <c:pt idx="6">
                  <c:v>0.96980247995937774</c:v>
                </c:pt>
                <c:pt idx="7">
                  <c:v>0.96573908825140908</c:v>
                </c:pt>
                <c:pt idx="8">
                  <c:v>0.96213135105587055</c:v>
                </c:pt>
                <c:pt idx="9">
                  <c:v>0.95901464784300938</c:v>
                </c:pt>
                <c:pt idx="10">
                  <c:v>0.95641057046031097</c:v>
                </c:pt>
                <c:pt idx="11">
                  <c:v>0.95432969597399631</c:v>
                </c:pt>
                <c:pt idx="12">
                  <c:v>0.95277411402700907</c:v>
                </c:pt>
                <c:pt idx="13">
                  <c:v>0.95173959230688543</c:v>
                </c:pt>
                <c:pt idx="14">
                  <c:v>0.95121734426188964</c:v>
                </c:pt>
                <c:pt idx="15">
                  <c:v>0.95119541534907315</c:v>
                </c:pt>
                <c:pt idx="16">
                  <c:v>0.95165973298407647</c:v>
                </c:pt>
                <c:pt idx="17">
                  <c:v>0.95259487738618109</c:v>
                </c:pt>
                <c:pt idx="18">
                  <c:v>0.95398463157930669</c:v>
                </c:pt>
                <c:pt idx="19">
                  <c:v>0.95581236360498334</c:v>
                </c:pt>
                <c:pt idx="20">
                  <c:v>0.95806128586541961</c:v>
                </c:pt>
                <c:pt idx="21">
                  <c:v>0.96071462760708148</c:v>
                </c:pt>
                <c:pt idx="22">
                  <c:v>0.96375574813868503</c:v>
                </c:pt>
                <c:pt idx="23">
                  <c:v>0.96716821108115425</c:v>
                </c:pt>
                <c:pt idx="24">
                  <c:v>0.97093583399202577</c:v>
                </c:pt>
                <c:pt idx="25">
                  <c:v>0.97504272307360484</c:v>
                </c:pt>
                <c:pt idx="26">
                  <c:v>0.9794732992180093</c:v>
                </c:pt>
                <c:pt idx="27">
                  <c:v>0.98421231916706675</c:v>
                </c:pt>
                <c:pt idx="28">
                  <c:v>0.98924489386766368</c:v>
                </c:pt>
                <c:pt idx="29">
                  <c:v>0.99455650499716608</c:v>
                </c:pt>
                <c:pt idx="30">
                  <c:v>1.0001330199599594</c:v>
                </c:pt>
                <c:pt idx="31">
                  <c:v>1.0059607052863262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472-4477-BA89-86098ACA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4687404940370803E-2"/>
          <c:y val="7.5491019220966141E-2"/>
          <c:w val="0.79438565642817582"/>
          <c:h val="0.785640820243057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z!$E$62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z!$F$62:$AK$62</c:f>
              <c:numCache>
                <c:formatCode>0.00</c:formatCode>
                <c:ptCount val="32"/>
                <c:pt idx="0">
                  <c:v>5.118247939250864E-3</c:v>
                </c:pt>
                <c:pt idx="1">
                  <c:v>5.1947722708556299E-2</c:v>
                </c:pt>
                <c:pt idx="2">
                  <c:v>0.10751313197454593</c:v>
                </c:pt>
                <c:pt idx="3">
                  <c:v>0.17635622420419939</c:v>
                </c:pt>
                <c:pt idx="4">
                  <c:v>0.25600983574980418</c:v>
                </c:pt>
                <c:pt idx="5">
                  <c:v>0.33837391678792628</c:v>
                </c:pt>
                <c:pt idx="6">
                  <c:v>0.4131202219013197</c:v>
                </c:pt>
                <c:pt idx="7">
                  <c:v>0.47190831997223626</c:v>
                </c:pt>
                <c:pt idx="8">
                  <c:v>0.51094670226514705</c:v>
                </c:pt>
                <c:pt idx="9">
                  <c:v>0.53083588857849584</c:v>
                </c:pt>
                <c:pt idx="10">
                  <c:v>0.53471723399056703</c:v>
                </c:pt>
                <c:pt idx="11">
                  <c:v>0.52638053744036295</c:v>
                </c:pt>
                <c:pt idx="12">
                  <c:v>0.50921252277946749</c:v>
                </c:pt>
                <c:pt idx="13">
                  <c:v>0.48593128294094345</c:v>
                </c:pt>
                <c:pt idx="14">
                  <c:v>0.45867997879533995</c:v>
                </c:pt>
                <c:pt idx="15">
                  <c:v>0.4291610463562634</c:v>
                </c:pt>
                <c:pt idx="16">
                  <c:v>0.39871129766788638</c:v>
                </c:pt>
                <c:pt idx="17">
                  <c:v>0.36833783979883794</c:v>
                </c:pt>
                <c:pt idx="18">
                  <c:v>0.33875095646351827</c:v>
                </c:pt>
                <c:pt idx="19">
                  <c:v>0.3104084601512902</c:v>
                </c:pt>
                <c:pt idx="20">
                  <c:v>0.28356828534192857</c:v>
                </c:pt>
                <c:pt idx="21">
                  <c:v>0.2583408261499498</c:v>
                </c:pt>
                <c:pt idx="22">
                  <c:v>0.2347345506441556</c:v>
                </c:pt>
                <c:pt idx="23">
                  <c:v>0.21269213994989933</c:v>
                </c:pt>
                <c:pt idx="24">
                  <c:v>0.19211718640144149</c:v>
                </c:pt>
                <c:pt idx="25">
                  <c:v>0.17289288400190728</c:v>
                </c:pt>
                <c:pt idx="26">
                  <c:v>0.1548945374493238</c:v>
                </c:pt>
                <c:pt idx="27">
                  <c:v>0.13799758172794441</c:v>
                </c:pt>
                <c:pt idx="28">
                  <c:v>0.12208247581535492</c:v>
                </c:pt>
                <c:pt idx="29">
                  <c:v>0.10703748714602224</c:v>
                </c:pt>
                <c:pt idx="30">
                  <c:v>9.276008941649927E-2</c:v>
                </c:pt>
                <c:pt idx="31">
                  <c:v>7.9157471483792818E-2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8-4D87-BAFC-1B0E16D841FD}"/>
            </c:ext>
          </c:extLst>
        </c:ser>
        <c:ser>
          <c:idx val="1"/>
          <c:order val="1"/>
          <c:tx>
            <c:strRef>
              <c:f>z!$E$63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z!$F$63:$AK$63</c:f>
              <c:numCache>
                <c:formatCode>0.00</c:formatCode>
                <c:ptCount val="32"/>
                <c:pt idx="0">
                  <c:v>4.3293145660650012E-3</c:v>
                </c:pt>
                <c:pt idx="1">
                  <c:v>4.3859598441109426E-2</c:v>
                </c:pt>
                <c:pt idx="2">
                  <c:v>8.9807223251581192E-2</c:v>
                </c:pt>
                <c:pt idx="3">
                  <c:v>0.14572640137167081</c:v>
                </c:pt>
                <c:pt idx="4">
                  <c:v>0.21033981231832755</c:v>
                </c:pt>
                <c:pt idx="5">
                  <c:v>0.27842335938188523</c:v>
                </c:pt>
                <c:pt idx="6">
                  <c:v>0.34280858620461263</c:v>
                </c:pt>
                <c:pt idx="7">
                  <c:v>0.39698306133006955</c:v>
                </c:pt>
                <c:pt idx="8">
                  <c:v>0.43700242976663084</c:v>
                </c:pt>
                <c:pt idx="9">
                  <c:v>0.46193239022140897</c:v>
                </c:pt>
                <c:pt idx="10">
                  <c:v>0.4730889332600352</c:v>
                </c:pt>
                <c:pt idx="11">
                  <c:v>0.47289189723509484</c:v>
                </c:pt>
                <c:pt idx="12">
                  <c:v>0.46396616923749523</c:v>
                </c:pt>
                <c:pt idx="13">
                  <c:v>0.44867638990064851</c:v>
                </c:pt>
                <c:pt idx="14">
                  <c:v>0.42898495516208168</c:v>
                </c:pt>
                <c:pt idx="15">
                  <c:v>0.40646209347150464</c:v>
                </c:pt>
                <c:pt idx="16">
                  <c:v>0.38233717817126589</c:v>
                </c:pt>
                <c:pt idx="17">
                  <c:v>0.35754942021648528</c:v>
                </c:pt>
                <c:pt idx="18">
                  <c:v>0.33279206234571035</c:v>
                </c:pt>
                <c:pt idx="19">
                  <c:v>0.30855326290868401</c:v>
                </c:pt>
                <c:pt idx="20">
                  <c:v>0.28515530542394529</c:v>
                </c:pt>
                <c:pt idx="21">
                  <c:v>0.26279128641093497</c:v>
                </c:pt>
                <c:pt idx="22">
                  <c:v>0.24155766899636166</c:v>
                </c:pt>
                <c:pt idx="23">
                  <c:v>0.22148158795765038</c:v>
                </c:pt>
                <c:pt idx="24">
                  <c:v>0.2025426363571059</c:v>
                </c:pt>
                <c:pt idx="25">
                  <c:v>0.18468953280581513</c:v>
                </c:pt>
                <c:pt idx="26">
                  <c:v>0.16785242689476565</c:v>
                </c:pt>
                <c:pt idx="27">
                  <c:v>0.15195170346071762</c:v>
                </c:pt>
                <c:pt idx="28">
                  <c:v>0.13690409508637646</c:v>
                </c:pt>
                <c:pt idx="29">
                  <c:v>0.12262679072183591</c:v>
                </c:pt>
                <c:pt idx="30">
                  <c:v>0.10904008972723034</c:v>
                </c:pt>
                <c:pt idx="31">
                  <c:v>9.6069022150868655E-2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8-4D87-BAFC-1B0E16D841FD}"/>
            </c:ext>
          </c:extLst>
        </c:ser>
        <c:ser>
          <c:idx val="2"/>
          <c:order val="2"/>
          <c:tx>
            <c:strRef>
              <c:f>z!$E$64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z!$F$64:$AK$64</c:f>
              <c:numCache>
                <c:formatCode>0.00</c:formatCode>
                <c:ptCount val="32"/>
                <c:pt idx="0">
                  <c:v>3.6855688945180987E-3</c:v>
                </c:pt>
                <c:pt idx="1">
                  <c:v>3.7292161492286091E-2</c:v>
                </c:pt>
                <c:pt idx="2">
                  <c:v>7.5668189137956254E-2</c:v>
                </c:pt>
                <c:pt idx="3">
                  <c:v>0.12157870431184215</c:v>
                </c:pt>
                <c:pt idx="4">
                  <c:v>0.17440087886466671</c:v>
                </c:pt>
                <c:pt idx="5">
                  <c:v>0.23071581570466293</c:v>
                </c:pt>
                <c:pt idx="6">
                  <c:v>0.285533605156707</c:v>
                </c:pt>
                <c:pt idx="7">
                  <c:v>0.33392090088224524</c:v>
                </c:pt>
                <c:pt idx="8">
                  <c:v>0.37235187935125147</c:v>
                </c:pt>
                <c:pt idx="9">
                  <c:v>0.39927178380272377</c:v>
                </c:pt>
                <c:pt idx="10">
                  <c:v>0.41487892469160847</c:v>
                </c:pt>
                <c:pt idx="11">
                  <c:v>0.42050042010355337</c:v>
                </c:pt>
                <c:pt idx="12">
                  <c:v>0.41795528116284064</c:v>
                </c:pt>
                <c:pt idx="13">
                  <c:v>0.40910957557027672</c:v>
                </c:pt>
                <c:pt idx="14">
                  <c:v>0.39564475588949044</c:v>
                </c:pt>
                <c:pt idx="15">
                  <c:v>0.37897430526256937</c:v>
                </c:pt>
                <c:pt idx="16">
                  <c:v>0.36023776106530736</c:v>
                </c:pt>
                <c:pt idx="17">
                  <c:v>0.34032604911105047</c:v>
                </c:pt>
                <c:pt idx="18">
                  <c:v>0.31991598797498355</c:v>
                </c:pt>
                <c:pt idx="19">
                  <c:v>0.29950551700153039</c:v>
                </c:pt>
                <c:pt idx="20">
                  <c:v>0.27944682683878064</c:v>
                </c:pt>
                <c:pt idx="21">
                  <c:v>0.25997631101348784</c:v>
                </c:pt>
                <c:pt idx="22">
                  <c:v>0.24124076184472987</c:v>
                </c:pt>
                <c:pt idx="23">
                  <c:v>0.22331953564813656</c:v>
                </c:pt>
                <c:pt idx="24">
                  <c:v>0.20624271452218679</c:v>
                </c:pt>
                <c:pt idx="25">
                  <c:v>0.19000555210146874</c:v>
                </c:pt>
                <c:pt idx="26">
                  <c:v>0.17457965934120079</c:v>
                </c:pt>
                <c:pt idx="27">
                  <c:v>0.1599214578044128</c:v>
                </c:pt>
                <c:pt idx="28">
                  <c:v>0.14597842421082419</c:v>
                </c:pt>
                <c:pt idx="29">
                  <c:v>0.13269360065892855</c:v>
                </c:pt>
                <c:pt idx="30">
                  <c:v>0.12000877464568571</c:v>
                </c:pt>
                <c:pt idx="31">
                  <c:v>0.10786665865569756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E8-4D87-BAFC-1B0E16D841FD}"/>
            </c:ext>
          </c:extLst>
        </c:ser>
        <c:ser>
          <c:idx val="3"/>
          <c:order val="3"/>
          <c:tx>
            <c:strRef>
              <c:f>z!$E$65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z!$F$65:$AK$65</c:f>
              <c:numCache>
                <c:formatCode>0.00</c:formatCode>
                <c:ptCount val="32"/>
                <c:pt idx="0">
                  <c:v>3.1575357277713323E-3</c:v>
                </c:pt>
                <c:pt idx="1">
                  <c:v>3.1925443162217348E-2</c:v>
                </c:pt>
                <c:pt idx="2">
                  <c:v>6.4279126944288834E-2</c:v>
                </c:pt>
                <c:pt idx="3">
                  <c:v>0.10236187407308694</c:v>
                </c:pt>
                <c:pt idx="4">
                  <c:v>0.14590694013394412</c:v>
                </c:pt>
                <c:pt idx="5">
                  <c:v>0.19264350119851947</c:v>
                </c:pt>
                <c:pt idx="6">
                  <c:v>0.23907413957668933</c:v>
                </c:pt>
                <c:pt idx="7">
                  <c:v>0.28151388781783027</c:v>
                </c:pt>
                <c:pt idx="8">
                  <c:v>0.31702424159207876</c:v>
                </c:pt>
                <c:pt idx="9">
                  <c:v>0.34392399444005406</c:v>
                </c:pt>
                <c:pt idx="10">
                  <c:v>0.36181182147043689</c:v>
                </c:pt>
                <c:pt idx="11">
                  <c:v>0.3712614102582279</c:v>
                </c:pt>
                <c:pt idx="12">
                  <c:v>0.3734144937396211</c:v>
                </c:pt>
                <c:pt idx="13">
                  <c:v>0.36963104853415807</c:v>
                </c:pt>
                <c:pt idx="14">
                  <c:v>0.36125650171148216</c:v>
                </c:pt>
                <c:pt idx="15">
                  <c:v>0.34949776631176821</c:v>
                </c:pt>
                <c:pt idx="16">
                  <c:v>0.33537457554622119</c:v>
                </c:pt>
                <c:pt idx="17">
                  <c:v>0.31971381661322074</c:v>
                </c:pt>
                <c:pt idx="18">
                  <c:v>0.30316473500835439</c:v>
                </c:pt>
                <c:pt idx="19">
                  <c:v>0.28622240479247996</c:v>
                </c:pt>
                <c:pt idx="20">
                  <c:v>0.26925306251168735</c:v>
                </c:pt>
                <c:pt idx="21">
                  <c:v>0.25251827479355615</c:v>
                </c:pt>
                <c:pt idx="22">
                  <c:v>0.23619659332807519</c:v>
                </c:pt>
                <c:pt idx="23">
                  <c:v>0.22040219056640442</c:v>
                </c:pt>
                <c:pt idx="24">
                  <c:v>0.2052004135220109</c:v>
                </c:pt>
                <c:pt idx="25">
                  <c:v>0.19062043943041118</c:v>
                </c:pt>
                <c:pt idx="26">
                  <c:v>0.17666534818117086</c:v>
                </c:pt>
                <c:pt idx="27">
                  <c:v>0.16331998188834351</c:v>
                </c:pt>
                <c:pt idx="28">
                  <c:v>0.15055696719601386</c:v>
                </c:pt>
                <c:pt idx="29">
                  <c:v>0.13834125027767374</c:v>
                </c:pt>
                <c:pt idx="30">
                  <c:v>0.12663345271690662</c:v>
                </c:pt>
                <c:pt idx="31">
                  <c:v>0.11539230886326024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E8-4D87-BAFC-1B0E16D841FD}"/>
            </c:ext>
          </c:extLst>
        </c:ser>
        <c:ser>
          <c:idx val="4"/>
          <c:order val="4"/>
          <c:tx>
            <c:strRef>
              <c:f>z!$E$66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z!$F$66:$AK$66</c:f>
              <c:numCache>
                <c:formatCode>0.00</c:formatCode>
                <c:ptCount val="32"/>
                <c:pt idx="0">
                  <c:v>2.7218672687956413E-3</c:v>
                </c:pt>
                <c:pt idx="1">
                  <c:v>2.7510408217468196E-2</c:v>
                </c:pt>
                <c:pt idx="2">
                  <c:v>5.5026241901123818E-2</c:v>
                </c:pt>
                <c:pt idx="3">
                  <c:v>8.6926081259708354E-2</c:v>
                </c:pt>
                <c:pt idx="4">
                  <c:v>0.12313137086117365</c:v>
                </c:pt>
                <c:pt idx="5">
                  <c:v>0.16211107876640263</c:v>
                </c:pt>
                <c:pt idx="6">
                  <c:v>0.20139145554864957</c:v>
                </c:pt>
                <c:pt idx="7">
                  <c:v>0.23823404796807779</c:v>
                </c:pt>
                <c:pt idx="8">
                  <c:v>0.27027805962154261</c:v>
                </c:pt>
                <c:pt idx="9">
                  <c:v>0.29595221931622007</c:v>
                </c:pt>
                <c:pt idx="10">
                  <c:v>0.31458645563720022</c:v>
                </c:pt>
                <c:pt idx="11">
                  <c:v>0.32628573206894274</c:v>
                </c:pt>
                <c:pt idx="12">
                  <c:v>0.3316887753606057</c:v>
                </c:pt>
                <c:pt idx="13">
                  <c:v>0.33171989295244231</c:v>
                </c:pt>
                <c:pt idx="14">
                  <c:v>0.32739362319078591</c:v>
                </c:pt>
                <c:pt idx="15">
                  <c:v>0.31968759078837561</c:v>
                </c:pt>
                <c:pt idx="16">
                  <c:v>0.30947386688107148</c:v>
                </c:pt>
                <c:pt idx="17">
                  <c:v>0.29749122422617624</c:v>
                </c:pt>
                <c:pt idx="18">
                  <c:v>0.28434215397654672</c:v>
                </c:pt>
                <c:pt idx="19">
                  <c:v>0.27050302092601619</c:v>
                </c:pt>
                <c:pt idx="20">
                  <c:v>0.25634004056007687</c:v>
                </c:pt>
                <c:pt idx="21">
                  <c:v>0.24212687304470126</c:v>
                </c:pt>
                <c:pt idx="22">
                  <c:v>0.22806159812482907</c:v>
                </c:pt>
                <c:pt idx="23">
                  <c:v>0.21428199595030506</c:v>
                </c:pt>
                <c:pt idx="24">
                  <c:v>0.20087871819263192</c:v>
                </c:pt>
                <c:pt idx="25">
                  <c:v>0.18790629770903955</c:v>
                </c:pt>
                <c:pt idx="26">
                  <c:v>0.17539213670048071</c:v>
                </c:pt>
                <c:pt idx="27">
                  <c:v>0.16334370383397356</c:v>
                </c:pt>
                <c:pt idx="28">
                  <c:v>0.15175420183521915</c:v>
                </c:pt>
                <c:pt idx="29">
                  <c:v>0.14060696386331006</c:v>
                </c:pt>
                <c:pt idx="30">
                  <c:v>0.12987881553905289</c:v>
                </c:pt>
                <c:pt idx="31">
                  <c:v>0.11954260969471164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E8-4D87-BAFC-1B0E16D841FD}"/>
            </c:ext>
          </c:extLst>
        </c:ser>
        <c:ser>
          <c:idx val="5"/>
          <c:order val="5"/>
          <c:tx>
            <c:strRef>
              <c:f>z!$E$67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z!$F$67:$AK$67</c:f>
              <c:numCache>
                <c:formatCode>0.00</c:formatCode>
                <c:ptCount val="32"/>
                <c:pt idx="0">
                  <c:v>2.3601642469284201E-3</c:v>
                </c:pt>
                <c:pt idx="1">
                  <c:v>2.3853282484220806E-2</c:v>
                </c:pt>
                <c:pt idx="2">
                  <c:v>4.7445448657312816E-2</c:v>
                </c:pt>
                <c:pt idx="3">
                  <c:v>7.441366460358978E-2</c:v>
                </c:pt>
                <c:pt idx="4">
                  <c:v>0.104772806999609</c:v>
                </c:pt>
                <c:pt idx="5">
                  <c:v>0.13747450609058465</c:v>
                </c:pt>
                <c:pt idx="6">
                  <c:v>0.1707507916022255</c:v>
                </c:pt>
                <c:pt idx="7">
                  <c:v>0.20256637694582302</c:v>
                </c:pt>
                <c:pt idx="8">
                  <c:v>0.23106196043942706</c:v>
                </c:pt>
                <c:pt idx="9">
                  <c:v>0.25486923660056338</c:v>
                </c:pt>
                <c:pt idx="10">
                  <c:v>0.27324157830121987</c:v>
                </c:pt>
                <c:pt idx="11">
                  <c:v>0.28602027368740401</c:v>
                </c:pt>
                <c:pt idx="12">
                  <c:v>0.29350098519886902</c:v>
                </c:pt>
                <c:pt idx="13">
                  <c:v>0.29626897002010821</c:v>
                </c:pt>
                <c:pt idx="14">
                  <c:v>0.29505040776134361</c:v>
                </c:pt>
                <c:pt idx="15">
                  <c:v>0.29060119488510949</c:v>
                </c:pt>
                <c:pt idx="16">
                  <c:v>0.28363560607214122</c:v>
                </c:pt>
                <c:pt idx="17">
                  <c:v>0.27478771781797029</c:v>
                </c:pt>
                <c:pt idx="18">
                  <c:v>0.26459594197225655</c:v>
                </c:pt>
                <c:pt idx="19">
                  <c:v>0.2535020517070441</c:v>
                </c:pt>
                <c:pt idx="20">
                  <c:v>0.24185828307088375</c:v>
                </c:pt>
                <c:pt idx="21">
                  <c:v>0.22993823329875429</c:v>
                </c:pt>
                <c:pt idx="22">
                  <c:v>0.21794892896842555</c:v>
                </c:pt>
                <c:pt idx="23">
                  <c:v>0.20604257402045967</c:v>
                </c:pt>
                <c:pt idx="24">
                  <c:v>0.19432721679712994</c:v>
                </c:pt>
                <c:pt idx="25">
                  <c:v>0.18287601917721386</c:v>
                </c:pt>
                <c:pt idx="26">
                  <c:v>0.1717350681398333</c:v>
                </c:pt>
                <c:pt idx="27">
                  <c:v>0.16092980958748448</c:v>
                </c:pt>
                <c:pt idx="28">
                  <c:v>0.15047025160741523</c:v>
                </c:pt>
                <c:pt idx="29">
                  <c:v>0.14035510872201229</c:v>
                </c:pt>
                <c:pt idx="30">
                  <c:v>0.13057505861679974</c:v>
                </c:pt>
                <c:pt idx="31">
                  <c:v>0.12111526978775267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E8-4D87-BAFC-1B0E16D841FD}"/>
            </c:ext>
          </c:extLst>
        </c:ser>
        <c:ser>
          <c:idx val="6"/>
          <c:order val="6"/>
          <c:tx>
            <c:strRef>
              <c:f>z!$E$68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z!$F$68:$AK$68</c:f>
              <c:numCache>
                <c:formatCode>0.00</c:formatCode>
                <c:ptCount val="32"/>
                <c:pt idx="0">
                  <c:v>2.057952154799203E-3</c:v>
                </c:pt>
                <c:pt idx="1">
                  <c:v>2.0803072965702718E-2</c:v>
                </c:pt>
                <c:pt idx="2">
                  <c:v>4.1183635629882254E-2</c:v>
                </c:pt>
                <c:pt idx="3">
                  <c:v>6.4180521089363118E-2</c:v>
                </c:pt>
                <c:pt idx="4">
                  <c:v>8.9848850850615669E-2</c:v>
                </c:pt>
                <c:pt idx="5">
                  <c:v>0.11745875622160007</c:v>
                </c:pt>
                <c:pt idx="6">
                  <c:v>0.145732452156766</c:v>
                </c:pt>
                <c:pt idx="7">
                  <c:v>0.1731522967226562</c:v>
                </c:pt>
                <c:pt idx="8">
                  <c:v>0.19826916068799161</c:v>
                </c:pt>
                <c:pt idx="9">
                  <c:v>0.21993732340497285</c:v>
                </c:pt>
                <c:pt idx="10">
                  <c:v>0.23743524359021162</c:v>
                </c:pt>
                <c:pt idx="11">
                  <c:v>0.25047522074861384</c:v>
                </c:pt>
                <c:pt idx="12">
                  <c:v>0.25913526191978509</c:v>
                </c:pt>
                <c:pt idx="13">
                  <c:v>0.26375492098762443</c:v>
                </c:pt>
                <c:pt idx="14">
                  <c:v>0.26482894185442252</c:v>
                </c:pt>
                <c:pt idx="15">
                  <c:v>0.26291841365766455</c:v>
                </c:pt>
                <c:pt idx="16">
                  <c:v>0.25858650453924881</c:v>
                </c:pt>
                <c:pt idx="17">
                  <c:v>0.25235776371035357</c:v>
                </c:pt>
                <c:pt idx="18">
                  <c:v>0.24469628627010742</c:v>
                </c:pt>
                <c:pt idx="19">
                  <c:v>0.23599725646383796</c:v>
                </c:pt>
                <c:pt idx="20">
                  <c:v>0.22658706495748415</c:v>
                </c:pt>
                <c:pt idx="21">
                  <c:v>0.21672835340913466</c:v>
                </c:pt>
                <c:pt idx="22">
                  <c:v>0.20662746787036834</c:v>
                </c:pt>
                <c:pt idx="23">
                  <c:v>0.19644270880536663</c:v>
                </c:pt>
                <c:pt idx="24">
                  <c:v>0.18629242132717216</c:v>
                </c:pt>
                <c:pt idx="25">
                  <c:v>0.17626241197354897</c:v>
                </c:pt>
                <c:pt idx="26">
                  <c:v>0.16641246127202525</c:v>
                </c:pt>
                <c:pt idx="27">
                  <c:v>0.15678187268075572</c:v>
                </c:pt>
                <c:pt idx="28">
                  <c:v>0.14739409559993977</c:v>
                </c:pt>
                <c:pt idx="29">
                  <c:v>0.13826050969778514</c:v>
                </c:pt>
                <c:pt idx="30">
                  <c:v>0.12938347813251649</c:v>
                </c:pt>
                <c:pt idx="31">
                  <c:v>0.12075878031492238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E8-4D87-BAFC-1B0E16D841FD}"/>
            </c:ext>
          </c:extLst>
        </c:ser>
        <c:ser>
          <c:idx val="7"/>
          <c:order val="7"/>
          <c:tx>
            <c:strRef>
              <c:f>z!$E$69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z!$F$69:$AK$69</c:f>
              <c:numCache>
                <c:formatCode>0.00</c:formatCode>
                <c:ptCount val="32"/>
                <c:pt idx="0">
                  <c:v>1.8038366041972509E-3</c:v>
                </c:pt>
                <c:pt idx="1">
                  <c:v>1.8241793609763413E-2</c:v>
                </c:pt>
                <c:pt idx="2">
                  <c:v>3.597038607494607E-2</c:v>
                </c:pt>
                <c:pt idx="3">
                  <c:v>5.5739460793291506E-2</c:v>
                </c:pt>
                <c:pt idx="4">
                  <c:v>7.7615070324110746E-2</c:v>
                </c:pt>
                <c:pt idx="5">
                  <c:v>0.10107966393091417</c:v>
                </c:pt>
                <c:pt idx="6">
                  <c:v>0.12519874893202054</c:v>
                </c:pt>
                <c:pt idx="7">
                  <c:v>0.14883470303972413</c:v>
                </c:pt>
                <c:pt idx="8">
                  <c:v>0.17086342859862214</c:v>
                </c:pt>
                <c:pt idx="9">
                  <c:v>0.19034747585999767</c:v>
                </c:pt>
                <c:pt idx="10">
                  <c:v>0.20663746472093791</c:v>
                </c:pt>
                <c:pt idx="11">
                  <c:v>0.21939905592760489</c:v>
                </c:pt>
                <c:pt idx="12">
                  <c:v>0.22858237986611574</c:v>
                </c:pt>
                <c:pt idx="13">
                  <c:v>0.23435886723888188</c:v>
                </c:pt>
                <c:pt idx="14">
                  <c:v>0.23704835618798548</c:v>
                </c:pt>
                <c:pt idx="15">
                  <c:v>0.23705212653535312</c:v>
                </c:pt>
                <c:pt idx="16">
                  <c:v>0.23479968842110566</c:v>
                </c:pt>
                <c:pt idx="17">
                  <c:v>0.23071121801621075</c:v>
                </c:pt>
                <c:pt idx="18">
                  <c:v>0.22517407295241654</c:v>
                </c:pt>
                <c:pt idx="19">
                  <c:v>0.2185303757791246</c:v>
                </c:pt>
                <c:pt idx="20">
                  <c:v>0.21107247346374702</c:v>
                </c:pt>
                <c:pt idx="21">
                  <c:v>0.20304352060496189</c:v>
                </c:pt>
                <c:pt idx="22">
                  <c:v>0.19464107387801022</c:v>
                </c:pt>
                <c:pt idx="23">
                  <c:v>0.18602220398611369</c:v>
                </c:pt>
                <c:pt idx="24">
                  <c:v>0.17730913950120275</c:v>
                </c:pt>
                <c:pt idx="25">
                  <c:v>0.16859483670994546</c:v>
                </c:pt>
                <c:pt idx="26">
                  <c:v>0.15994813542474784</c:v>
                </c:pt>
                <c:pt idx="27">
                  <c:v>0.15141833706711072</c:v>
                </c:pt>
                <c:pt idx="28">
                  <c:v>0.14303915242552812</c:v>
                </c:pt>
                <c:pt idx="29">
                  <c:v>0.13483203228370488</c:v>
                </c:pt>
                <c:pt idx="30">
                  <c:v>0.12680892975458491</c:v>
                </c:pt>
                <c:pt idx="31">
                  <c:v>0.11897455957743386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E8-4D87-BAFC-1B0E16D841FD}"/>
            </c:ext>
          </c:extLst>
        </c:ser>
        <c:ser>
          <c:idx val="8"/>
          <c:order val="8"/>
          <c:tx>
            <c:strRef>
              <c:f>z!$E$70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z!$F$70:$AK$70</c:f>
              <c:numCache>
                <c:formatCode>0.00</c:formatCode>
                <c:ptCount val="32"/>
                <c:pt idx="0">
                  <c:v>1.5888268005692652E-3</c:v>
                </c:pt>
                <c:pt idx="1">
                  <c:v>1.6076895140160197E-2</c:v>
                </c:pt>
                <c:pt idx="2">
                  <c:v>3.1597229829039009E-2</c:v>
                </c:pt>
                <c:pt idx="3">
                  <c:v>4.8719256669049749E-2</c:v>
                </c:pt>
                <c:pt idx="4">
                  <c:v>6.7504433595377833E-2</c:v>
                </c:pt>
                <c:pt idx="5">
                  <c:v>8.7578015278366728E-2</c:v>
                </c:pt>
                <c:pt idx="6">
                  <c:v>0.10824801669240269</c:v>
                </c:pt>
                <c:pt idx="7">
                  <c:v>0.12865606177026034</c:v>
                </c:pt>
                <c:pt idx="8">
                  <c:v>0.14793118724332199</c:v>
                </c:pt>
                <c:pt idx="9">
                  <c:v>0.16531687845711129</c:v>
                </c:pt>
                <c:pt idx="10">
                  <c:v>0.18025221047290874</c:v>
                </c:pt>
                <c:pt idx="11">
                  <c:v>0.19240307409307267</c:v>
                </c:pt>
                <c:pt idx="12">
                  <c:v>0.20165199804089706</c:v>
                </c:pt>
                <c:pt idx="13">
                  <c:v>0.20806135693707262</c:v>
                </c:pt>
                <c:pt idx="14">
                  <c:v>0.21182496909688542</c:v>
                </c:pt>
                <c:pt idx="15">
                  <c:v>0.21321959966624782</c:v>
                </c:pt>
                <c:pt idx="16">
                  <c:v>0.21256327333618596</c:v>
                </c:pt>
                <c:pt idx="17">
                  <c:v>0.21018327958399752</c:v>
                </c:pt>
                <c:pt idx="18">
                  <c:v>0.20639400882804804</c:v>
                </c:pt>
                <c:pt idx="19">
                  <c:v>0.20148327359736928</c:v>
                </c:pt>
                <c:pt idx="20">
                  <c:v>0.19570521738521141</c:v>
                </c:pt>
                <c:pt idx="21">
                  <c:v>0.1892779243333198</c:v>
                </c:pt>
                <c:pt idx="22">
                  <c:v>0.18238412365267909</c:v>
                </c:pt>
                <c:pt idx="23">
                  <c:v>0.1751737469729564</c:v>
                </c:pt>
                <c:pt idx="24">
                  <c:v>0.16776744483415484</c:v>
                </c:pt>
                <c:pt idx="25">
                  <c:v>0.16026045793859911</c:v>
                </c:pt>
                <c:pt idx="26">
                  <c:v>0.15272646019104386</c:v>
                </c:pt>
                <c:pt idx="27">
                  <c:v>0.14522114986736945</c:v>
                </c:pt>
                <c:pt idx="28">
                  <c:v>0.13778547438059174</c:v>
                </c:pt>
                <c:pt idx="29">
                  <c:v>0.13044844522935861</c:v>
                </c:pt>
                <c:pt idx="30">
                  <c:v>0.12322954365806549</c:v>
                </c:pt>
                <c:pt idx="31">
                  <c:v>0.11614074270505093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E8-4D87-BAFC-1B0E16D841FD}"/>
            </c:ext>
          </c:extLst>
        </c:ser>
        <c:ser>
          <c:idx val="9"/>
          <c:order val="9"/>
          <c:tx>
            <c:strRef>
              <c:f>z!$E$71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z!$F$71:$AK$71</c:f>
              <c:numCache>
                <c:formatCode>0.00</c:formatCode>
                <c:ptCount val="32"/>
                <c:pt idx="0">
                  <c:v>1.40580322915973E-3</c:v>
                </c:pt>
                <c:pt idx="1">
                  <c:v>1.4235443456578345E-2</c:v>
                </c:pt>
                <c:pt idx="2">
                  <c:v>2.7902352408570863E-2</c:v>
                </c:pt>
                <c:pt idx="3">
                  <c:v>4.2834913920763995E-2</c:v>
                </c:pt>
                <c:pt idx="4">
                  <c:v>5.9082424575196413E-2</c:v>
                </c:pt>
                <c:pt idx="5">
                  <c:v>7.6366947156736309E-2</c:v>
                </c:pt>
                <c:pt idx="6">
                  <c:v>9.4169290380863302E-2</c:v>
                </c:pt>
                <c:pt idx="7">
                  <c:v>0.11183691087601755</c:v>
                </c:pt>
                <c:pt idx="8">
                  <c:v>0.12869417012772999</c:v>
                </c:pt>
                <c:pt idx="9">
                  <c:v>0.14413549391378844</c:v>
                </c:pt>
                <c:pt idx="10">
                  <c:v>0.15768854356423834</c:v>
                </c:pt>
                <c:pt idx="11">
                  <c:v>0.16904372250714506</c:v>
                </c:pt>
                <c:pt idx="12">
                  <c:v>0.17805430176742743</c:v>
                </c:pt>
                <c:pt idx="13">
                  <c:v>0.18471595749791625</c:v>
                </c:pt>
                <c:pt idx="14">
                  <c:v>0.18913541472320716</c:v>
                </c:pt>
                <c:pt idx="15">
                  <c:v>0.19149631205450657</c:v>
                </c:pt>
                <c:pt idx="16">
                  <c:v>0.19202777146132277</c:v>
                </c:pt>
                <c:pt idx="17">
                  <c:v>0.19097856534189273</c:v>
                </c:pt>
                <c:pt idx="18">
                  <c:v>0.18859778200086552</c:v>
                </c:pt>
                <c:pt idx="19">
                  <c:v>0.18512163314843288</c:v>
                </c:pt>
                <c:pt idx="20">
                  <c:v>0.18076541515954503</c:v>
                </c:pt>
                <c:pt idx="21">
                  <c:v>0.17571943916860899</c:v>
                </c:pt>
                <c:pt idx="22">
                  <c:v>0.17014780259794193</c:v>
                </c:pt>
                <c:pt idx="23">
                  <c:v>0.16418905177306709</c:v>
                </c:pt>
                <c:pt idx="24">
                  <c:v>0.15795799641249442</c:v>
                </c:pt>
                <c:pt idx="25">
                  <c:v>0.15154813592743732</c:v>
                </c:pt>
                <c:pt idx="26">
                  <c:v>0.14503432450529985</c:v>
                </c:pt>
                <c:pt idx="27">
                  <c:v>0.13847543199874135</c:v>
                </c:pt>
                <c:pt idx="28">
                  <c:v>0.13191685348290516</c:v>
                </c:pt>
                <c:pt idx="29">
                  <c:v>0.12539278775947071</c:v>
                </c:pt>
                <c:pt idx="30">
                  <c:v>0.11892825047710165</c:v>
                </c:pt>
                <c:pt idx="31">
                  <c:v>0.11254081662748217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1E8-4D87-BAFC-1B0E16D841FD}"/>
            </c:ext>
          </c:extLst>
        </c:ser>
        <c:ser>
          <c:idx val="10"/>
          <c:order val="10"/>
          <c:tx>
            <c:strRef>
              <c:f>z!$E$72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z!$F$72:$AK$72</c:f>
              <c:numCache>
                <c:formatCode>0.00</c:formatCode>
                <c:ptCount val="32"/>
                <c:pt idx="0">
                  <c:v>1.2491032072015074E-3</c:v>
                </c:pt>
                <c:pt idx="1">
                  <c:v>1.2659660786895621E-2</c:v>
                </c:pt>
                <c:pt idx="2">
                  <c:v>2.4759276742614134E-2</c:v>
                </c:pt>
                <c:pt idx="3">
                  <c:v>3.7865978078532869E-2</c:v>
                </c:pt>
                <c:pt idx="4">
                  <c:v>5.2013885646462477E-2</c:v>
                </c:pt>
                <c:pt idx="5">
                  <c:v>6.699114981856269E-2</c:v>
                </c:pt>
                <c:pt idx="6">
                  <c:v>8.2402737679010407E-2</c:v>
                </c:pt>
                <c:pt idx="7">
                  <c:v>9.7748484485959963E-2</c:v>
                </c:pt>
                <c:pt idx="8">
                  <c:v>0.11250280637697951</c:v>
                </c:pt>
                <c:pt idx="9">
                  <c:v>0.12618308786127574</c:v>
                </c:pt>
                <c:pt idx="10">
                  <c:v>0.13839806045978786</c:v>
                </c:pt>
                <c:pt idx="11">
                  <c:v>0.14887327329748956</c:v>
                </c:pt>
                <c:pt idx="12">
                  <c:v>0.15745583680537578</c:v>
                </c:pt>
                <c:pt idx="13">
                  <c:v>0.16410372523167904</c:v>
                </c:pt>
                <c:pt idx="14">
                  <c:v>0.16886587145403809</c:v>
                </c:pt>
                <c:pt idx="15">
                  <c:v>0.17185863201141238</c:v>
                </c:pt>
                <c:pt idx="16">
                  <c:v>0.17324273030216997</c:v>
                </c:pt>
                <c:pt idx="17">
                  <c:v>0.17320316693647531</c:v>
                </c:pt>
                <c:pt idx="18">
                  <c:v>0.17193321849329202</c:v>
                </c:pt>
                <c:pt idx="19">
                  <c:v>0.16962268183917661</c:v>
                </c:pt>
                <c:pt idx="20">
                  <c:v>0.16644995048331612</c:v>
                </c:pt>
                <c:pt idx="21">
                  <c:v>0.16257724574497701</c:v>
                </c:pt>
                <c:pt idx="22">
                  <c:v>0.15814826627558176</c:v>
                </c:pt>
                <c:pt idx="23">
                  <c:v>0.1532875766665498</c:v>
                </c:pt>
                <c:pt idx="24">
                  <c:v>0.14810116624219827</c:v>
                </c:pt>
                <c:pt idx="25">
                  <c:v>0.14267773290110863</c:v>
                </c:pt>
                <c:pt idx="26">
                  <c:v>0.13709036228870541</c:v>
                </c:pt>
                <c:pt idx="27">
                  <c:v>0.13139837006626021</c:v>
                </c:pt>
                <c:pt idx="28">
                  <c:v>0.12564915207002869</c:v>
                </c:pt>
                <c:pt idx="29">
                  <c:v>0.11987994513318334</c:v>
                </c:pt>
                <c:pt idx="30">
                  <c:v>0.11411944310779631</c:v>
                </c:pt>
                <c:pt idx="31">
                  <c:v>0.10838924161216124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E8-4D87-BAFC-1B0E16D841FD}"/>
            </c:ext>
          </c:extLst>
        </c:ser>
        <c:ser>
          <c:idx val="11"/>
          <c:order val="11"/>
          <c:tx>
            <c:strRef>
              <c:f>z!$E$73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z!$F$73:$AK$73</c:f>
              <c:numCache>
                <c:formatCode>0.00</c:formatCode>
                <c:ptCount val="32"/>
                <c:pt idx="0">
                  <c:v>1.1142001127284473E-3</c:v>
                </c:pt>
                <c:pt idx="1">
                  <c:v>1.130351647893324E-2</c:v>
                </c:pt>
                <c:pt idx="2">
                  <c:v>2.2068447665835045E-2</c:v>
                </c:pt>
                <c:pt idx="3">
                  <c:v>3.3640622498665174E-2</c:v>
                </c:pt>
                <c:pt idx="4">
                  <c:v>4.6038518362156999E-2</c:v>
                </c:pt>
                <c:pt idx="5">
                  <c:v>5.9095696840372192E-2</c:v>
                </c:pt>
                <c:pt idx="6">
                  <c:v>7.2507064388771525E-2</c:v>
                </c:pt>
                <c:pt idx="7">
                  <c:v>8.5885828740028813E-2</c:v>
                </c:pt>
                <c:pt idx="8">
                  <c:v>9.8821520092329251E-2</c:v>
                </c:pt>
                <c:pt idx="9">
                  <c:v>0.11093025901254272</c:v>
                </c:pt>
                <c:pt idx="10">
                  <c:v>0.12189140632035134</c:v>
                </c:pt>
                <c:pt idx="11">
                  <c:v>0.13146846626299613</c:v>
                </c:pt>
                <c:pt idx="12">
                  <c:v>0.13951538723966372</c:v>
                </c:pt>
                <c:pt idx="13">
                  <c:v>0.14597149441741841</c:v>
                </c:pt>
                <c:pt idx="14">
                  <c:v>0.15084907215223708</c:v>
                </c:pt>
                <c:pt idx="15">
                  <c:v>0.15421737887388876</c:v>
                </c:pt>
                <c:pt idx="16">
                  <c:v>0.15618606386780254</c:v>
                </c:pt>
                <c:pt idx="17">
                  <c:v>0.15688996249418885</c:v>
                </c:pt>
                <c:pt idx="18">
                  <c:v>0.15647633902082791</c:v>
                </c:pt>
                <c:pt idx="19">
                  <c:v>0.15509495076371227</c:v>
                </c:pt>
                <c:pt idx="20">
                  <c:v>0.15289084793201901</c:v>
                </c:pt>
                <c:pt idx="21">
                  <c:v>0.14999956779060408</c:v>
                </c:pt>
                <c:pt idx="22">
                  <c:v>0.14654427579852136</c:v>
                </c:pt>
                <c:pt idx="23">
                  <c:v>0.14263439701212022</c:v>
                </c:pt>
                <c:pt idx="24">
                  <c:v>0.13836532548827662</c:v>
                </c:pt>
                <c:pt idx="25">
                  <c:v>0.13381886758234707</c:v>
                </c:pt>
                <c:pt idx="26">
                  <c:v>0.1290641481085375</c:v>
                </c:pt>
                <c:pt idx="27">
                  <c:v>0.12415877591298585</c:v>
                </c:pt>
                <c:pt idx="28">
                  <c:v>0.11915012283303383</c:v>
                </c:pt>
                <c:pt idx="29">
                  <c:v>0.11407661605933317</c:v>
                </c:pt>
                <c:pt idx="30">
                  <c:v>0.10896897917722637</c:v>
                </c:pt>
                <c:pt idx="31">
                  <c:v>0.10385138322988041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E8-4D87-BAFC-1B0E16D841FD}"/>
            </c:ext>
          </c:extLst>
        </c:ser>
        <c:ser>
          <c:idx val="12"/>
          <c:order val="12"/>
          <c:tx>
            <c:strRef>
              <c:f>z!$E$74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z!$F$74:$AK$74</c:f>
              <c:numCache>
                <c:formatCode>0.00</c:formatCode>
                <c:ptCount val="32"/>
                <c:pt idx="0">
                  <c:v>9.9745578618914976E-4</c:v>
                </c:pt>
                <c:pt idx="1">
                  <c:v>1.0130120207452187E-2</c:v>
                </c:pt>
                <c:pt idx="2">
                  <c:v>1.9750945072005699E-2</c:v>
                </c:pt>
                <c:pt idx="3">
                  <c:v>3.0023908464293925E-2</c:v>
                </c:pt>
                <c:pt idx="4">
                  <c:v>4.0952738779465037E-2</c:v>
                </c:pt>
                <c:pt idx="5">
                  <c:v>5.2402407670126827E-2</c:v>
                </c:pt>
                <c:pt idx="6">
                  <c:v>6.4133488530071503E-2</c:v>
                </c:pt>
                <c:pt idx="7">
                  <c:v>7.5843991541701961E-2</c:v>
                </c:pt>
                <c:pt idx="8">
                  <c:v>8.7211797135333669E-2</c:v>
                </c:pt>
                <c:pt idx="9">
                  <c:v>9.7931626277913963E-2</c:v>
                </c:pt>
                <c:pt idx="10">
                  <c:v>0.10774257610801641</c:v>
                </c:pt>
                <c:pt idx="11">
                  <c:v>0.1164447234687227</c:v>
                </c:pt>
                <c:pt idx="12">
                  <c:v>0.12390543096185702</c:v>
                </c:pt>
                <c:pt idx="13">
                  <c:v>0.13005738050930749</c:v>
                </c:pt>
                <c:pt idx="14">
                  <c:v>0.13489094332808094</c:v>
                </c:pt>
                <c:pt idx="15">
                  <c:v>0.13844343555913241</c:v>
                </c:pt>
                <c:pt idx="16">
                  <c:v>0.14078735833422673</c:v>
                </c:pt>
                <c:pt idx="17">
                  <c:v>0.14201911704481152</c:v>
                </c:pt>
                <c:pt idx="18">
                  <c:v>0.14224912566807024</c:v>
                </c:pt>
                <c:pt idx="19">
                  <c:v>0.14159371998589965</c:v>
                </c:pt>
                <c:pt idx="20">
                  <c:v>0.14016895856405753</c:v>
                </c:pt>
                <c:pt idx="21">
                  <c:v>0.1380861746111961</c:v>
                </c:pt>
                <c:pt idx="22">
                  <c:v>0.13544902919393476</c:v>
                </c:pt>
                <c:pt idx="23">
                  <c:v>0.13235177654791208</c:v>
                </c:pt>
                <c:pt idx="24">
                  <c:v>0.12887845836551115</c:v>
                </c:pt>
                <c:pt idx="25">
                  <c:v>0.12510277510935364</c:v>
                </c:pt>
                <c:pt idx="26">
                  <c:v>0.12108842420099908</c:v>
                </c:pt>
                <c:pt idx="27">
                  <c:v>0.11688973826096127</c:v>
                </c:pt>
                <c:pt idx="28">
                  <c:v>0.11255249649444465</c:v>
                </c:pt>
                <c:pt idx="29">
                  <c:v>0.10811481642902798</c:v>
                </c:pt>
                <c:pt idx="30">
                  <c:v>0.10360806093334674</c:v>
                </c:pt>
                <c:pt idx="31">
                  <c:v>9.9057717108053112E-2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1E8-4D87-BAFC-1B0E16D841FD}"/>
            </c:ext>
          </c:extLst>
        </c:ser>
        <c:ser>
          <c:idx val="13"/>
          <c:order val="13"/>
          <c:tx>
            <c:strRef>
              <c:f>z!$E$75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z!$F$75:$AK$75</c:f>
              <c:numCache>
                <c:formatCode>0.00</c:formatCode>
                <c:ptCount val="32"/>
                <c:pt idx="0">
                  <c:v>8.9592951224570783E-4</c:v>
                </c:pt>
                <c:pt idx="1">
                  <c:v>9.1097259068417813E-3</c:v>
                </c:pt>
                <c:pt idx="2">
                  <c:v>1.7743763863764528E-2</c:v>
                </c:pt>
                <c:pt idx="3">
                  <c:v>2.6909072026071179E-2</c:v>
                </c:pt>
                <c:pt idx="4">
                  <c:v>3.6596189107562793E-2</c:v>
                </c:pt>
                <c:pt idx="5">
                  <c:v>4.6691973875745418E-2</c:v>
                </c:pt>
                <c:pt idx="6">
                  <c:v>5.7005318064629051E-2</c:v>
                </c:pt>
                <c:pt idx="7">
                  <c:v>6.7298012104699545E-2</c:v>
                </c:pt>
                <c:pt idx="8">
                  <c:v>7.7315856137682992E-2</c:v>
                </c:pt>
                <c:pt idx="9">
                  <c:v>8.6815824577368694E-2</c:v>
                </c:pt>
                <c:pt idx="10">
                  <c:v>9.5586594749397236E-2</c:v>
                </c:pt>
                <c:pt idx="11">
                  <c:v>0.10346141973804901</c:v>
                </c:pt>
                <c:pt idx="12">
                  <c:v>0.11032372844865801</c:v>
                </c:pt>
                <c:pt idx="13">
                  <c:v>0.11610675420381522</c:v>
                </c:pt>
                <c:pt idx="14">
                  <c:v>0.12078890338562687</c:v>
                </c:pt>
                <c:pt idx="15">
                  <c:v>0.1243865791207277</c:v>
                </c:pt>
                <c:pt idx="16">
                  <c:v>0.1269459219467306</c:v>
                </c:pt>
                <c:pt idx="17">
                  <c:v>0.12853456175854205</c:v>
                </c:pt>
                <c:pt idx="18">
                  <c:v>0.12923409802767516</c:v>
                </c:pt>
                <c:pt idx="19">
                  <c:v>0.12913370013156733</c:v>
                </c:pt>
                <c:pt idx="20">
                  <c:v>0.12832497233095097</c:v>
                </c:pt>
                <c:pt idx="21">
                  <c:v>0.12689806006604964</c:v>
                </c:pt>
                <c:pt idx="22">
                  <c:v>0.12493887428532968</c:v>
                </c:pt>
                <c:pt idx="23">
                  <c:v>0.12252726212935716</c:v>
                </c:pt>
                <c:pt idx="24">
                  <c:v>0.11973593934366811</c:v>
                </c:pt>
                <c:pt idx="25">
                  <c:v>0.11663000873651796</c:v>
                </c:pt>
                <c:pt idx="26">
                  <c:v>0.11326690967572439</c:v>
                </c:pt>
                <c:pt idx="27">
                  <c:v>0.10969666906079922</c:v>
                </c:pt>
                <c:pt idx="28">
                  <c:v>0.10596235001281151</c:v>
                </c:pt>
                <c:pt idx="29">
                  <c:v>0.10210061822846228</c:v>
                </c:pt>
                <c:pt idx="30">
                  <c:v>9.8142366371845036E-2</c:v>
                </c:pt>
                <c:pt idx="31">
                  <c:v>9.411335372622176E-2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1E8-4D87-BAFC-1B0E16D841FD}"/>
            </c:ext>
          </c:extLst>
        </c:ser>
        <c:ser>
          <c:idx val="14"/>
          <c:order val="14"/>
          <c:tx>
            <c:strRef>
              <c:f>z!$E$76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z!$F$76:$AK$76</c:f>
              <c:numCache>
                <c:formatCode>0.00</c:formatCode>
                <c:ptCount val="32"/>
                <c:pt idx="0">
                  <c:v>8.0723047812814031E-4</c:v>
                </c:pt>
                <c:pt idx="1">
                  <c:v>8.2181995597618851E-3</c:v>
                </c:pt>
                <c:pt idx="2">
                  <c:v>1.5996251693128904E-2</c:v>
                </c:pt>
                <c:pt idx="3">
                  <c:v>2.4211017615960451E-2</c:v>
                </c:pt>
                <c:pt idx="4">
                  <c:v>3.2841664422966765E-2</c:v>
                </c:pt>
                <c:pt idx="5">
                  <c:v>4.1790443325750992E-2</c:v>
                </c:pt>
                <c:pt idx="6">
                  <c:v>5.0902077475933893E-2</c:v>
                </c:pt>
                <c:pt idx="7">
                  <c:v>5.9986592217287082E-2</c:v>
                </c:pt>
                <c:pt idx="8">
                  <c:v>6.8842124477663802E-2</c:v>
                </c:pt>
                <c:pt idx="9">
                  <c:v>7.7274818422790048E-2</c:v>
                </c:pt>
                <c:pt idx="10">
                  <c:v>8.5113996280306026E-2</c:v>
                </c:pt>
                <c:pt idx="11">
                  <c:v>9.2221932204927803E-2</c:v>
                </c:pt>
                <c:pt idx="12">
                  <c:v>9.8498485835984972E-2</c:v>
                </c:pt>
                <c:pt idx="13">
                  <c:v>0.10388145477324695</c:v>
                </c:pt>
                <c:pt idx="14">
                  <c:v>0.10834378157320579</c:v>
                </c:pt>
                <c:pt idx="15">
                  <c:v>0.11188876963719174</c:v>
                </c:pt>
                <c:pt idx="16">
                  <c:v>0.11454431601909398</c:v>
                </c:pt>
                <c:pt idx="17">
                  <c:v>0.1163569437085954</c:v>
                </c:pt>
                <c:pt idx="18">
                  <c:v>0.11738617577072841</c:v>
                </c:pt>
                <c:pt idx="19">
                  <c:v>0.11769957851970325</c:v>
                </c:pt>
                <c:pt idx="20">
                  <c:v>0.11736862945965765</c:v>
                </c:pt>
                <c:pt idx="21">
                  <c:v>0.11646544207111198</c:v>
                </c:pt>
                <c:pt idx="22">
                  <c:v>0.11506029909669202</c:v>
                </c:pt>
                <c:pt idx="23">
                  <c:v>0.11321990034884877</c:v>
                </c:pt>
                <c:pt idx="24">
                  <c:v>0.11100621100124108</c:v>
                </c:pt>
                <c:pt idx="25">
                  <c:v>0.10847579346351388</c:v>
                </c:pt>
                <c:pt idx="26">
                  <c:v>0.10567951360596073</c:v>
                </c:pt>
                <c:pt idx="27">
                  <c:v>0.10266252534918419</c:v>
                </c:pt>
                <c:pt idx="28">
                  <c:v>9.946445298669726E-2</c:v>
                </c:pt>
                <c:pt idx="29">
                  <c:v>9.6119706034847319E-2</c:v>
                </c:pt>
                <c:pt idx="30">
                  <c:v>9.2657875540247403E-2</c:v>
                </c:pt>
                <c:pt idx="31">
                  <c:v>8.9104173092491301E-2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1E8-4D87-BAFC-1B0E16D841FD}"/>
            </c:ext>
          </c:extLst>
        </c:ser>
        <c:ser>
          <c:idx val="15"/>
          <c:order val="15"/>
          <c:tx>
            <c:strRef>
              <c:f>z!$E$77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z!$F$77:$AK$77</c:f>
              <c:numCache>
                <c:formatCode>0.00</c:formatCode>
                <c:ptCount val="32"/>
                <c:pt idx="0">
                  <c:v>7.2940355388961819E-4</c:v>
                </c:pt>
                <c:pt idx="1">
                  <c:v>7.4358391759510312E-3</c:v>
                </c:pt>
                <c:pt idx="2">
                  <c:v>1.4467405866525063E-2</c:v>
                </c:pt>
                <c:pt idx="3">
                  <c:v>2.1861429226444073E-2</c:v>
                </c:pt>
                <c:pt idx="4">
                  <c:v>2.9587550664844642E-2</c:v>
                </c:pt>
                <c:pt idx="5">
                  <c:v>3.7558980177432311E-2</c:v>
                </c:pt>
                <c:pt idx="6">
                  <c:v>4.5647227388423417E-2</c:v>
                </c:pt>
                <c:pt idx="7">
                  <c:v>5.369899913743037E-2</c:v>
                </c:pt>
                <c:pt idx="8">
                  <c:v>6.1552874390025103E-2</c:v>
                </c:pt>
                <c:pt idx="9">
                  <c:v>6.9053784339745405E-2</c:v>
                </c:pt>
                <c:pt idx="10">
                  <c:v>7.6064096596661912E-2</c:v>
                </c:pt>
                <c:pt idx="11">
                  <c:v>8.247087999069258E-2</c:v>
                </c:pt>
                <c:pt idx="12">
                  <c:v>8.8189541007532846E-2</c:v>
                </c:pt>
                <c:pt idx="13">
                  <c:v>9.316441415485599E-2</c:v>
                </c:pt>
                <c:pt idx="14">
                  <c:v>9.736706784657656E-2</c:v>
                </c:pt>
                <c:pt idx="15">
                  <c:v>0.1007931034169296</c:v>
                </c:pt>
                <c:pt idx="16">
                  <c:v>0.10345813645562529</c:v>
                </c:pt>
                <c:pt idx="17">
                  <c:v>0.10539350957172733</c:v>
                </c:pt>
                <c:pt idx="18">
                  <c:v>0.10664213314126592</c:v>
                </c:pt>
                <c:pt idx="19">
                  <c:v>0.10725471019867872</c:v>
                </c:pt>
                <c:pt idx="20">
                  <c:v>0.10728648585600631</c:v>
                </c:pt>
                <c:pt idx="21">
                  <c:v>0.10679457421403082</c:v>
                </c:pt>
                <c:pt idx="22">
                  <c:v>0.10583585515056004</c:v>
                </c:pt>
                <c:pt idx="23">
                  <c:v>0.10446539534636479</c:v>
                </c:pt>
                <c:pt idx="24">
                  <c:v>0.10273532741778002</c:v>
                </c:pt>
                <c:pt idx="25">
                  <c:v>0.10069411306046216</c:v>
                </c:pt>
                <c:pt idx="26">
                  <c:v>9.8386116576865135E-2</c:v>
                </c:pt>
                <c:pt idx="27">
                  <c:v>9.5851420700121537E-2</c:v>
                </c:pt>
                <c:pt idx="28">
                  <c:v>9.3125824857764883E-2</c:v>
                </c:pt>
                <c:pt idx="29">
                  <c:v>9.0240975268440771E-2</c:v>
                </c:pt>
                <c:pt idx="30">
                  <c:v>8.7224585433198776E-2</c:v>
                </c:pt>
                <c:pt idx="31">
                  <c:v>8.4100714076495997E-2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1E8-4D87-BAFC-1B0E16D841FD}"/>
            </c:ext>
          </c:extLst>
        </c:ser>
        <c:ser>
          <c:idx val="16"/>
          <c:order val="16"/>
          <c:tx>
            <c:strRef>
              <c:f>z!$E$78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z!$F$78:$AK$78</c:f>
              <c:numCache>
                <c:formatCode>0.00</c:formatCode>
                <c:ptCount val="32"/>
                <c:pt idx="0">
                  <c:v>6.6084058436555182E-4</c:v>
                </c:pt>
                <c:pt idx="1">
                  <c:v>6.7464624269319984E-3</c:v>
                </c:pt>
                <c:pt idx="2">
                  <c:v>1.3123810665316427E-2</c:v>
                </c:pt>
                <c:pt idx="3">
                  <c:v>1.9805073880108104E-2</c:v>
                </c:pt>
                <c:pt idx="4">
                  <c:v>2.67521161555484E-2</c:v>
                </c:pt>
                <c:pt idx="5">
                  <c:v>3.3886082114853444E-2</c:v>
                </c:pt>
                <c:pt idx="6">
                  <c:v>4.1098678541073852E-2</c:v>
                </c:pt>
                <c:pt idx="7">
                  <c:v>4.8264664779140709E-2</c:v>
                </c:pt>
                <c:pt idx="8">
                  <c:v>5.5253966443569169E-2</c:v>
                </c:pt>
                <c:pt idx="9">
                  <c:v>6.1942103341872112E-2</c:v>
                </c:pt>
                <c:pt idx="10">
                  <c:v>6.8218159813504542E-2</c:v>
                </c:pt>
                <c:pt idx="11">
                  <c:v>7.3990050623029546E-2</c:v>
                </c:pt>
                <c:pt idx="12">
                  <c:v>7.9187237506328501E-2</c:v>
                </c:pt>
                <c:pt idx="13">
                  <c:v>8.3761300433637942E-2</c:v>
                </c:pt>
                <c:pt idx="14">
                  <c:v>8.7684878716687287E-2</c:v>
                </c:pt>
                <c:pt idx="15">
                  <c:v>9.0949505243465012E-2</c:v>
                </c:pt>
                <c:pt idx="16">
                  <c:v>9.3562800690061287E-2</c:v>
                </c:pt>
                <c:pt idx="17">
                  <c:v>9.5545406087360618E-2</c:v>
                </c:pt>
                <c:pt idx="18">
                  <c:v>9.6927935286594824E-2</c:v>
                </c:pt>
                <c:pt idx="19">
                  <c:v>9.7748138410791441E-2</c:v>
                </c:pt>
                <c:pt idx="20">
                  <c:v>9.8048391015570502E-2</c:v>
                </c:pt>
                <c:pt idx="21">
                  <c:v>9.7873564007033842E-2</c:v>
                </c:pt>
                <c:pt idx="22">
                  <c:v>9.7269286002177324E-2</c:v>
                </c:pt>
                <c:pt idx="23">
                  <c:v>9.6280580597185583E-2</c:v>
                </c:pt>
                <c:pt idx="24">
                  <c:v>9.4950843244512306E-2</c:v>
                </c:pt>
                <c:pt idx="25">
                  <c:v>9.3321113315392168E-2</c:v>
                </c:pt>
                <c:pt idx="26">
                  <c:v>9.1429593973568757E-2</c:v>
                </c:pt>
                <c:pt idx="27">
                  <c:v>8.9311373623002233E-2</c:v>
                </c:pt>
                <c:pt idx="28">
                  <c:v>8.6998306377483736E-2</c:v>
                </c:pt>
                <c:pt idx="29">
                  <c:v>8.4519013966777301E-2</c:v>
                </c:pt>
                <c:pt idx="30">
                  <c:v>8.1898977020933295E-2</c:v>
                </c:pt>
                <c:pt idx="31">
                  <c:v>7.9160689127166783E-2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1E8-4D87-BAFC-1B0E16D841FD}"/>
            </c:ext>
          </c:extLst>
        </c:ser>
        <c:ser>
          <c:idx val="17"/>
          <c:order val="17"/>
          <c:tx>
            <c:strRef>
              <c:f>z!$E$79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z!$F$79:$AK$79</c:f>
              <c:numCache>
                <c:formatCode>0.00</c:formatCode>
                <c:ptCount val="32"/>
                <c:pt idx="0">
                  <c:v>6.0021122838538332E-4</c:v>
                </c:pt>
                <c:pt idx="1">
                  <c:v>6.1366981199961756E-3</c:v>
                </c:pt>
                <c:pt idx="2">
                  <c:v>1.1938054295446143E-2</c:v>
                </c:pt>
                <c:pt idx="3">
                  <c:v>1.799698890070367E-2</c:v>
                </c:pt>
                <c:pt idx="4">
                  <c:v>2.4269177266500463E-2</c:v>
                </c:pt>
                <c:pt idx="5">
                  <c:v>3.0681641452812158E-2</c:v>
                </c:pt>
                <c:pt idx="6">
                  <c:v>3.7141460367373647E-2</c:v>
                </c:pt>
                <c:pt idx="7">
                  <c:v>4.3544970725117871E-2</c:v>
                </c:pt>
                <c:pt idx="8">
                  <c:v>4.9786473920065966E-2</c:v>
                </c:pt>
                <c:pt idx="9">
                  <c:v>5.5765622075987231E-2</c:v>
                </c:pt>
                <c:pt idx="10">
                  <c:v>6.13930171364796E-2</c:v>
                </c:pt>
                <c:pt idx="11">
                  <c:v>6.659390156749101E-2</c:v>
                </c:pt>
                <c:pt idx="12">
                  <c:v>7.1310074736152806E-2</c:v>
                </c:pt>
                <c:pt idx="13">
                  <c:v>7.5500321287336192E-2</c:v>
                </c:pt>
                <c:pt idx="14">
                  <c:v>7.9139701635644322E-2</c:v>
                </c:pt>
                <c:pt idx="15">
                  <c:v>8.2218054992977407E-2</c:v>
                </c:pt>
                <c:pt idx="16">
                  <c:v>8.4738027050001996E-2</c:v>
                </c:pt>
                <c:pt idx="17">
                  <c:v>8.671287764794311E-2</c:v>
                </c:pt>
                <c:pt idx="18">
                  <c:v>8.816426240432218E-2</c:v>
                </c:pt>
                <c:pt idx="19">
                  <c:v>8.9120124822761326E-2</c:v>
                </c:pt>
                <c:pt idx="20">
                  <c:v>8.9612786279169576E-2</c:v>
                </c:pt>
                <c:pt idx="21">
                  <c:v>8.967728195008462E-2</c:v>
                </c:pt>
                <c:pt idx="22">
                  <c:v>8.9349961107987319E-2</c:v>
                </c:pt>
                <c:pt idx="23">
                  <c:v>8.8667349167015352E-2</c:v>
                </c:pt>
                <c:pt idx="24">
                  <c:v>8.7665254927871139E-2</c:v>
                </c:pt>
                <c:pt idx="25">
                  <c:v>8.6378098207773313E-2</c:v>
                </c:pt>
                <c:pt idx="26">
                  <c:v>8.4838428956568457E-2</c:v>
                </c:pt>
                <c:pt idx="27">
                  <c:v>8.3076607927390356E-2</c:v>
                </c:pt>
                <c:pt idx="28">
                  <c:v>8.1120619943697569E-2</c:v>
                </c:pt>
                <c:pt idx="29">
                  <c:v>7.8995993062713765E-2</c:v>
                </c:pt>
                <c:pt idx="30">
                  <c:v>7.6725799891708135E-2</c:v>
                </c:pt>
                <c:pt idx="31">
                  <c:v>7.4330720555071395E-2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1E8-4D87-BAFC-1B0E16D841FD}"/>
            </c:ext>
          </c:extLst>
        </c:ser>
        <c:ser>
          <c:idx val="18"/>
          <c:order val="18"/>
          <c:tx>
            <c:strRef>
              <c:f>z!$E$80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z!$F$80:$AK$80</c:f>
              <c:numCache>
                <c:formatCode>0.00</c:formatCode>
                <c:ptCount val="32"/>
                <c:pt idx="0">
                  <c:v>5.4640880320366847E-4</c:v>
                </c:pt>
                <c:pt idx="1">
                  <c:v>5.5954333324503835E-3</c:v>
                </c:pt>
                <c:pt idx="2">
                  <c:v>1.0887506809109659E-2</c:v>
                </c:pt>
                <c:pt idx="3">
                  <c:v>1.6400328128551855E-2</c:v>
                </c:pt>
                <c:pt idx="4">
                  <c:v>2.2084787856813115E-2</c:v>
                </c:pt>
                <c:pt idx="5">
                  <c:v>2.7872392549643799E-2</c:v>
                </c:pt>
                <c:pt idx="6">
                  <c:v>3.368204379872175E-2</c:v>
                </c:pt>
                <c:pt idx="7">
                  <c:v>3.9426775369943989E-2</c:v>
                </c:pt>
                <c:pt idx="8">
                  <c:v>4.5019908077259529E-2</c:v>
                </c:pt>
                <c:pt idx="9">
                  <c:v>5.0380148059359087E-2</c:v>
                </c:pt>
                <c:pt idx="10">
                  <c:v>5.5435381711599341E-2</c:v>
                </c:pt>
                <c:pt idx="11">
                  <c:v>6.0125135196043011E-2</c:v>
                </c:pt>
                <c:pt idx="12">
                  <c:v>6.4401819373283153E-2</c:v>
                </c:pt>
                <c:pt idx="13">
                  <c:v>6.8230966900451051E-2</c:v>
                </c:pt>
                <c:pt idx="14">
                  <c:v>7.1590699470602814E-2</c:v>
                </c:pt>
                <c:pt idx="15">
                  <c:v>7.4470657103531401E-2</c:v>
                </c:pt>
                <c:pt idx="16">
                  <c:v>7.6870593906597229E-2</c:v>
                </c:pt>
                <c:pt idx="17">
                  <c:v>7.8798807686686345E-2</c:v>
                </c:pt>
                <c:pt idx="18">
                  <c:v>8.0270532227255664E-2</c:v>
                </c:pt>
                <c:pt idx="19">
                  <c:v>8.1306385313895113E-2</c:v>
                </c:pt>
                <c:pt idx="20">
                  <c:v>8.193093500141746E-2</c:v>
                </c:pt>
                <c:pt idx="21">
                  <c:v>8.2171421771581876E-2</c:v>
                </c:pt>
                <c:pt idx="22">
                  <c:v>8.2056654977180621E-2</c:v>
                </c:pt>
                <c:pt idx="23">
                  <c:v>8.1616087708513696E-2</c:v>
                </c:pt>
                <c:pt idx="24">
                  <c:v>8.0879064187300287E-2</c:v>
                </c:pt>
                <c:pt idx="25">
                  <c:v>7.987422717126158E-2</c:v>
                </c:pt>
                <c:pt idx="26">
                  <c:v>7.8629068939517488E-2</c:v>
                </c:pt>
                <c:pt idx="27">
                  <c:v>7.7169607530791495E-2</c:v>
                </c:pt>
                <c:pt idx="28">
                  <c:v>7.5520169517839797E-2</c:v>
                </c:pt>
                <c:pt idx="29">
                  <c:v>7.3703261202817671E-2</c:v>
                </c:pt>
                <c:pt idx="30">
                  <c:v>7.1739511444790516E-2</c:v>
                </c:pt>
                <c:pt idx="31">
                  <c:v>6.9647670992045718E-2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1E8-4D87-BAFC-1B0E16D841FD}"/>
            </c:ext>
          </c:extLst>
        </c:ser>
        <c:ser>
          <c:idx val="19"/>
          <c:order val="19"/>
          <c:tx>
            <c:strRef>
              <c:f>z!$E$81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z!$F$81:$AK$81</c:f>
              <c:numCache>
                <c:formatCode>0.00</c:formatCode>
                <c:ptCount val="32"/>
                <c:pt idx="0">
                  <c:v>4.9850768646386712E-4</c:v>
                </c:pt>
                <c:pt idx="1">
                  <c:v>5.1133798296687516E-3</c:v>
                </c:pt>
                <c:pt idx="2">
                  <c:v>9.9533710981036805E-3</c:v>
                </c:pt>
                <c:pt idx="3">
                  <c:v>1.498470227523363E-2</c:v>
                </c:pt>
                <c:pt idx="4">
                  <c:v>2.0154695440921522E-2</c:v>
                </c:pt>
                <c:pt idx="5">
                  <c:v>2.5398404686405307E-2</c:v>
                </c:pt>
                <c:pt idx="6">
                  <c:v>3.0643932287244269E-2</c:v>
                </c:pt>
                <c:pt idx="7">
                  <c:v>3.5817315715447329E-2</c:v>
                </c:pt>
                <c:pt idx="8">
                  <c:v>4.0846768500357733E-2</c:v>
                </c:pt>
                <c:pt idx="9">
                  <c:v>4.5666057364557311E-2</c:v>
                </c:pt>
                <c:pt idx="10">
                  <c:v>5.0216926912094451E-2</c:v>
                </c:pt>
                <c:pt idx="11">
                  <c:v>5.4450603540923126E-2</c:v>
                </c:pt>
                <c:pt idx="12">
                  <c:v>5.8328490676440303E-2</c:v>
                </c:pt>
                <c:pt idx="13">
                  <c:v>6.1822207259365491E-2</c:v>
                </c:pt>
                <c:pt idx="14">
                  <c:v>6.4913130268573482E-2</c:v>
                </c:pt>
                <c:pt idx="15">
                  <c:v>6.7591591336957357E-2</c:v>
                </c:pt>
                <c:pt idx="16">
                  <c:v>6.9855856689282625E-2</c:v>
                </c:pt>
                <c:pt idx="17">
                  <c:v>7.1710995299123503E-2</c:v>
                </c:pt>
                <c:pt idx="18">
                  <c:v>7.3167716304833874E-2</c:v>
                </c:pt>
                <c:pt idx="19">
                  <c:v>7.4241235340166689E-2</c:v>
                </c:pt>
                <c:pt idx="20">
                  <c:v>7.4950211341628936E-2</c:v>
                </c:pt>
                <c:pt idx="21">
                  <c:v>7.5315780627360773E-2</c:v>
                </c:pt>
                <c:pt idx="22">
                  <c:v>7.5360703387317152E-2</c:v>
                </c:pt>
                <c:pt idx="23">
                  <c:v>7.5108628774689379E-2</c:v>
                </c:pt>
                <c:pt idx="24">
                  <c:v>7.4583478123391167E-2</c:v>
                </c:pt>
                <c:pt idx="25">
                  <c:v>7.380894107589242E-2</c:v>
                </c:pt>
                <c:pt idx="26">
                  <c:v>7.2808076193142668E-2</c:v>
                </c:pt>
                <c:pt idx="27">
                  <c:v>7.1603005672438158E-2</c:v>
                </c:pt>
                <c:pt idx="28">
                  <c:v>7.0214692817316404E-2</c:v>
                </c:pt>
                <c:pt idx="29">
                  <c:v>6.8662790653872818E-2</c:v>
                </c:pt>
                <c:pt idx="30">
                  <c:v>6.6965550405195806E-2</c:v>
                </c:pt>
                <c:pt idx="31">
                  <c:v>6.5139779202194603E-2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1E8-4D87-BAFC-1B0E16D841FD}"/>
            </c:ext>
          </c:extLst>
        </c:ser>
        <c:ser>
          <c:idx val="20"/>
          <c:order val="20"/>
          <c:tx>
            <c:strRef>
              <c:f>z!$E$82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z!$F$82:$AK$82</c:f>
              <c:numCache>
                <c:formatCode>0.00</c:formatCode>
                <c:ptCount val="32"/>
                <c:pt idx="0">
                  <c:v>4.5572963192075377E-4</c:v>
                </c:pt>
                <c:pt idx="1">
                  <c:v>4.6827322484066514E-3</c:v>
                </c:pt>
                <c:pt idx="2">
                  <c:v>9.1199415405140982E-3</c:v>
                </c:pt>
                <c:pt idx="3">
                  <c:v>1.3724892019562063E-2</c:v>
                </c:pt>
                <c:pt idx="4">
                  <c:v>1.8442374710603282E-2</c:v>
                </c:pt>
                <c:pt idx="5">
                  <c:v>2.3210366367210078E-2</c:v>
                </c:pt>
                <c:pt idx="6">
                  <c:v>2.7964225528087638E-2</c:v>
                </c:pt>
                <c:pt idx="7">
                  <c:v>3.2640187776933338E-2</c:v>
                </c:pt>
                <c:pt idx="8">
                  <c:v>3.7178171735097187E-2</c:v>
                </c:pt>
                <c:pt idx="9">
                  <c:v>4.1523863347658896E-2</c:v>
                </c:pt>
                <c:pt idx="10">
                  <c:v>4.5630103216232065E-2</c:v>
                </c:pt>
                <c:pt idx="11">
                  <c:v>4.9457654064055667E-2</c:v>
                </c:pt>
                <c:pt idx="12">
                  <c:v>5.2975454378767495E-2</c:v>
                </c:pt>
                <c:pt idx="13">
                  <c:v>5.6160471964550318E-2</c:v>
                </c:pt>
                <c:pt idx="14">
                  <c:v>5.8997264544946582E-2</c:v>
                </c:pt>
                <c:pt idx="15">
                  <c:v>6.1477340579929596E-2</c:v>
                </c:pt>
                <c:pt idx="16">
                  <c:v>6.3598396949582359E-2</c:v>
                </c:pt>
                <c:pt idx="17">
                  <c:v>6.5363494127446131E-2</c:v>
                </c:pt>
                <c:pt idx="18">
                  <c:v>6.6780215277173482E-2</c:v>
                </c:pt>
                <c:pt idx="19">
                  <c:v>6.7859843789874752E-2</c:v>
                </c:pt>
                <c:pt idx="20">
                  <c:v>6.8616584051883756E-2</c:v>
                </c:pt>
                <c:pt idx="21">
                  <c:v>6.9066842420362207E-2</c:v>
                </c:pt>
                <c:pt idx="22">
                  <c:v>6.9228579097413423E-2</c:v>
                </c:pt>
                <c:pt idx="23">
                  <c:v>6.9120736630123858E-2</c:v>
                </c:pt>
                <c:pt idx="24">
                  <c:v>6.8762746829320598E-2</c:v>
                </c:pt>
                <c:pt idx="25">
                  <c:v>6.8174114847607825E-2</c:v>
                </c:pt>
                <c:pt idx="26">
                  <c:v>6.7374076881066003E-2</c:v>
                </c:pt>
                <c:pt idx="27">
                  <c:v>6.6381326317976885E-2</c:v>
                </c:pt>
                <c:pt idx="28">
                  <c:v>6.5213802073138538E-2</c:v>
                </c:pt>
                <c:pt idx="29">
                  <c:v>6.3888532229272599E-2</c:v>
                </c:pt>
                <c:pt idx="30">
                  <c:v>6.2421525881983797E-2</c:v>
                </c:pt>
                <c:pt idx="31">
                  <c:v>6.0827706143795623E-2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1E8-4D87-BAFC-1B0E16D84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dz/dt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dz/dp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z!$E$85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z!$F$85:$AK$85</c:f>
              <c:numCache>
                <c:formatCode>0.00</c:formatCode>
                <c:ptCount val="32"/>
                <c:pt idx="0">
                  <c:v>-3.9331589516478083</c:v>
                </c:pt>
                <c:pt idx="1">
                  <c:v>-4.1456414872564906</c:v>
                </c:pt>
                <c:pt idx="2">
                  <c:v>-4.6521741350902257</c:v>
                </c:pt>
                <c:pt idx="3">
                  <c:v>-5.2149171747351009</c:v>
                </c:pt>
                <c:pt idx="4">
                  <c:v>-5.6218431520060896</c:v>
                </c:pt>
                <c:pt idx="5">
                  <c:v>-5.7203921576920447</c:v>
                </c:pt>
                <c:pt idx="6">
                  <c:v>-5.4574368151749653</c:v>
                </c:pt>
                <c:pt idx="7">
                  <c:v>-4.8815268858526384</c:v>
                </c:pt>
                <c:pt idx="8">
                  <c:v>-4.1023024606301473</c:v>
                </c:pt>
                <c:pt idx="9">
                  <c:v>-3.237564016663752</c:v>
                </c:pt>
                <c:pt idx="10">
                  <c:v>-2.3786341721854232</c:v>
                </c:pt>
                <c:pt idx="11">
                  <c:v>-1.5814917746670432</c:v>
                </c:pt>
                <c:pt idx="12">
                  <c:v>-0.87358345362553713</c:v>
                </c:pt>
                <c:pt idx="13">
                  <c:v>-0.26419366686569745</c:v>
                </c:pt>
                <c:pt idx="14">
                  <c:v>0.24769634854648892</c:v>
                </c:pt>
                <c:pt idx="15">
                  <c:v>0.66876679437943842</c:v>
                </c:pt>
                <c:pt idx="16">
                  <c:v>1.0087105036893362</c:v>
                </c:pt>
                <c:pt idx="17">
                  <c:v>1.2785391420777614</c:v>
                </c:pt>
                <c:pt idx="18">
                  <c:v>1.4894002834653364</c:v>
                </c:pt>
                <c:pt idx="19">
                  <c:v>1.6517828197104567</c:v>
                </c:pt>
                <c:pt idx="20">
                  <c:v>1.7750581060682613</c:v>
                </c:pt>
                <c:pt idx="21">
                  <c:v>1.8672873243508192</c:v>
                </c:pt>
                <c:pt idx="22">
                  <c:v>1.9352119742754859</c:v>
                </c:pt>
                <c:pt idx="23">
                  <c:v>1.9843518195250542</c:v>
                </c:pt>
                <c:pt idx="24">
                  <c:v>2.0191536299885016</c:v>
                </c:pt>
                <c:pt idx="25">
                  <c:v>2.0431541123722141</c:v>
                </c:pt>
                <c:pt idx="26">
                  <c:v>2.0591363220245906</c:v>
                </c:pt>
                <c:pt idx="27">
                  <c:v>2.0692696004243061</c:v>
                </c:pt>
                <c:pt idx="28">
                  <c:v>2.0752295739301374</c:v>
                </c:pt>
                <c:pt idx="29">
                  <c:v>2.0782982876776934</c:v>
                </c:pt>
                <c:pt idx="30">
                  <c:v>2.0794462506279476</c:v>
                </c:pt>
                <c:pt idx="31">
                  <c:v>2.079398815669764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F-454D-9965-B3EC0196B4B1}"/>
            </c:ext>
          </c:extLst>
        </c:ser>
        <c:ser>
          <c:idx val="1"/>
          <c:order val="1"/>
          <c:tx>
            <c:strRef>
              <c:f>z!$E$86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z!$F$86:$AK$86</c:f>
              <c:numCache>
                <c:formatCode>0.00</c:formatCode>
                <c:ptCount val="32"/>
                <c:pt idx="0">
                  <c:v>-3.4637637142598265</c:v>
                </c:pt>
                <c:pt idx="1">
                  <c:v>-3.6377635240514294</c:v>
                </c:pt>
                <c:pt idx="2">
                  <c:v>-4.0267744958688567</c:v>
                </c:pt>
                <c:pt idx="3">
                  <c:v>-4.4610243480380785</c:v>
                </c:pt>
                <c:pt idx="4">
                  <c:v>-4.789733406024288</c:v>
                </c:pt>
                <c:pt idx="5">
                  <c:v>-4.9010118980674644</c:v>
                </c:pt>
                <c:pt idx="6">
                  <c:v>-4.7459149880968443</c:v>
                </c:pt>
                <c:pt idx="7">
                  <c:v>-4.3430647269671052</c:v>
                </c:pt>
                <c:pt idx="8">
                  <c:v>-3.7585785803939675</c:v>
                </c:pt>
                <c:pt idx="9">
                  <c:v>-3.074814085506361</c:v>
                </c:pt>
                <c:pt idx="10">
                  <c:v>-2.365061277168623</c:v>
                </c:pt>
                <c:pt idx="11">
                  <c:v>-1.6818675907659397</c:v>
                </c:pt>
                <c:pt idx="12">
                  <c:v>-1.0566131248002097</c:v>
                </c:pt>
                <c:pt idx="13">
                  <c:v>-0.5043250493996787</c:v>
                </c:pt>
                <c:pt idx="14">
                  <c:v>-2.9179475253826581E-2</c:v>
                </c:pt>
                <c:pt idx="15">
                  <c:v>0.37120063296924855</c:v>
                </c:pt>
                <c:pt idx="16">
                  <c:v>0.70284599065995046</c:v>
                </c:pt>
                <c:pt idx="17">
                  <c:v>0.97357167654354981</c:v>
                </c:pt>
                <c:pt idx="18">
                  <c:v>1.1917774351577481</c:v>
                </c:pt>
                <c:pt idx="19">
                  <c:v>1.3656901253422671</c:v>
                </c:pt>
                <c:pt idx="20">
                  <c:v>1.5029147082457062</c:v>
                </c:pt>
                <c:pt idx="21">
                  <c:v>1.6102044852905895</c:v>
                </c:pt>
                <c:pt idx="22">
                  <c:v>1.6933819021547336</c:v>
                </c:pt>
                <c:pt idx="23">
                  <c:v>1.7573554752337017</c:v>
                </c:pt>
                <c:pt idx="24">
                  <c:v>1.8061916932010647</c:v>
                </c:pt>
                <c:pt idx="25">
                  <c:v>1.8432130221102128</c:v>
                </c:pt>
                <c:pt idx="26">
                  <c:v>1.8711033466722871</c:v>
                </c:pt>
                <c:pt idx="27">
                  <c:v>1.892009838139197</c:v>
                </c:pt>
                <c:pt idx="28">
                  <c:v>1.9076355127833899</c:v>
                </c:pt>
                <c:pt idx="29">
                  <c:v>1.9193201146050498</c:v>
                </c:pt>
                <c:pt idx="30">
                  <c:v>1.9281089546552277</c:v>
                </c:pt>
                <c:pt idx="31">
                  <c:v>1.9348104225758167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3F-454D-9965-B3EC0196B4B1}"/>
            </c:ext>
          </c:extLst>
        </c:ser>
        <c:ser>
          <c:idx val="2"/>
          <c:order val="2"/>
          <c:tx>
            <c:strRef>
              <c:f>z!$E$87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z!$F$87:$AK$87</c:f>
              <c:numCache>
                <c:formatCode>0.00</c:formatCode>
                <c:ptCount val="32"/>
                <c:pt idx="0">
                  <c:v>-3.0652120293672702</c:v>
                </c:pt>
                <c:pt idx="1">
                  <c:v>-3.2108279793163774</c:v>
                </c:pt>
                <c:pt idx="2">
                  <c:v>-3.5125294626447978</c:v>
                </c:pt>
                <c:pt idx="3">
                  <c:v>-3.8481180419291938</c:v>
                </c:pt>
                <c:pt idx="4">
                  <c:v>-4.109242116757672</c:v>
                </c:pt>
                <c:pt idx="5">
                  <c:v>-4.2138784371203997</c:v>
                </c:pt>
                <c:pt idx="6">
                  <c:v>-4.121049495424689</c:v>
                </c:pt>
                <c:pt idx="7">
                  <c:v>-3.8350257135577603</c:v>
                </c:pt>
                <c:pt idx="8">
                  <c:v>-3.395214180713646</c:v>
                </c:pt>
                <c:pt idx="9">
                  <c:v>-2.8577920983596794</c:v>
                </c:pt>
                <c:pt idx="10">
                  <c:v>-2.2784290991129108</c:v>
                </c:pt>
                <c:pt idx="11">
                  <c:v>-1.7018286803327509</c:v>
                </c:pt>
                <c:pt idx="12">
                  <c:v>-1.158471249218529</c:v>
                </c:pt>
                <c:pt idx="13">
                  <c:v>-0.66595503685817903</c:v>
                </c:pt>
                <c:pt idx="14">
                  <c:v>-0.2321230305113442</c:v>
                </c:pt>
                <c:pt idx="15">
                  <c:v>0.14176584431591088</c:v>
                </c:pt>
                <c:pt idx="16">
                  <c:v>0.45850475906550336</c:v>
                </c:pt>
                <c:pt idx="17">
                  <c:v>0.72313064504170299</c:v>
                </c:pt>
                <c:pt idx="18">
                  <c:v>0.94170774219359821</c:v>
                </c:pt>
                <c:pt idx="19">
                  <c:v>1.1205439666450712</c:v>
                </c:pt>
                <c:pt idx="20">
                  <c:v>1.2657115143577258</c:v>
                </c:pt>
                <c:pt idx="21">
                  <c:v>1.3827775303920653</c:v>
                </c:pt>
                <c:pt idx="22">
                  <c:v>1.4766766343587978</c:v>
                </c:pt>
                <c:pt idx="23">
                  <c:v>1.5516756809430543</c:v>
                </c:pt>
                <c:pt idx="24">
                  <c:v>1.6113950107943253</c:v>
                </c:pt>
                <c:pt idx="25">
                  <c:v>1.6588611525458763</c:v>
                </c:pt>
                <c:pt idx="26">
                  <c:v>1.6965741529617606</c:v>
                </c:pt>
                <c:pt idx="27">
                  <c:v>1.7265788198439491</c:v>
                </c:pt>
                <c:pt idx="28">
                  <c:v>1.7505335118761511</c:v>
                </c:pt>
                <c:pt idx="29">
                  <c:v>1.7697730663379652</c:v>
                </c:pt>
                <c:pt idx="30">
                  <c:v>1.7853643684484499</c:v>
                </c:pt>
                <c:pt idx="31">
                  <c:v>1.7981542375333781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3F-454D-9965-B3EC0196B4B1}"/>
            </c:ext>
          </c:extLst>
        </c:ser>
        <c:ser>
          <c:idx val="3"/>
          <c:order val="3"/>
          <c:tx>
            <c:strRef>
              <c:f>z!$E$88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z!$F$88:$AK$88</c:f>
              <c:numCache>
                <c:formatCode>0.00</c:formatCode>
                <c:ptCount val="32"/>
                <c:pt idx="0">
                  <c:v>-2.7246613826970023</c:v>
                </c:pt>
                <c:pt idx="1">
                  <c:v>-2.8489410249143976</c:v>
                </c:pt>
                <c:pt idx="2">
                  <c:v>-3.0851852761959453</c:v>
                </c:pt>
                <c:pt idx="3">
                  <c:v>-3.3448769158428426</c:v>
                </c:pt>
                <c:pt idx="4">
                  <c:v>-3.5495575662225498</c:v>
                </c:pt>
                <c:pt idx="5">
                  <c:v>-3.639078137884777</c:v>
                </c:pt>
                <c:pt idx="6">
                  <c:v>-3.5807856590586162</c:v>
                </c:pt>
                <c:pt idx="7">
                  <c:v>-3.3726933228517275</c:v>
                </c:pt>
                <c:pt idx="8">
                  <c:v>-3.0382211565549433</c:v>
                </c:pt>
                <c:pt idx="9">
                  <c:v>-2.615309079799788</c:v>
                </c:pt>
                <c:pt idx="10">
                  <c:v>-2.1449835467501899</c:v>
                </c:pt>
                <c:pt idx="11">
                  <c:v>-1.6631810188894036</c:v>
                </c:pt>
                <c:pt idx="12">
                  <c:v>-1.1969060286720623</c:v>
                </c:pt>
                <c:pt idx="13">
                  <c:v>-0.76379622212074949</c:v>
                </c:pt>
                <c:pt idx="14">
                  <c:v>-0.37354485966201167</c:v>
                </c:pt>
                <c:pt idx="15">
                  <c:v>-2.9924523040625317E-2</c:v>
                </c:pt>
                <c:pt idx="16">
                  <c:v>0.26729584532647621</c:v>
                </c:pt>
                <c:pt idx="17">
                  <c:v>0.52081447465934794</c:v>
                </c:pt>
                <c:pt idx="18">
                  <c:v>0.73467543641236865</c:v>
                </c:pt>
                <c:pt idx="19">
                  <c:v>0.91350093284203737</c:v>
                </c:pt>
                <c:pt idx="20">
                  <c:v>1.0619942189704634</c:v>
                </c:pt>
                <c:pt idx="21">
                  <c:v>1.1846379919155936</c:v>
                </c:pt>
                <c:pt idx="22">
                  <c:v>1.2855284503887621</c:v>
                </c:pt>
                <c:pt idx="23">
                  <c:v>1.3683001187037025</c:v>
                </c:pt>
                <c:pt idx="24">
                  <c:v>1.4361088309999825</c:v>
                </c:pt>
                <c:pt idx="25">
                  <c:v>1.4916498584849336</c:v>
                </c:pt>
                <c:pt idx="26">
                  <c:v>1.5371954083676087</c:v>
                </c:pt>
                <c:pt idx="27">
                  <c:v>1.574641060247961</c:v>
                </c:pt>
                <c:pt idx="28">
                  <c:v>1.6055545316895348</c:v>
                </c:pt>
                <c:pt idx="29">
                  <c:v>1.6312228280346286</c:v>
                </c:pt>
                <c:pt idx="30">
                  <c:v>1.6526956262596926</c:v>
                </c:pt>
                <c:pt idx="31">
                  <c:v>1.6708239089313626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3F-454D-9965-B3EC0196B4B1}"/>
            </c:ext>
          </c:extLst>
        </c:ser>
        <c:ser>
          <c:idx val="4"/>
          <c:order val="4"/>
          <c:tx>
            <c:strRef>
              <c:f>z!$E$89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z!$F$89:$AK$89</c:f>
              <c:numCache>
                <c:formatCode>0.00</c:formatCode>
                <c:ptCount val="32"/>
                <c:pt idx="0">
                  <c:v>-2.4318576706483519</c:v>
                </c:pt>
                <c:pt idx="1">
                  <c:v>-2.5397799155757461</c:v>
                </c:pt>
                <c:pt idx="2">
                  <c:v>-2.7265138440346615</c:v>
                </c:pt>
                <c:pt idx="3">
                  <c:v>-2.9276462483851518</c:v>
                </c:pt>
                <c:pt idx="4">
                  <c:v>-3.086092805406615</c:v>
                </c:pt>
                <c:pt idx="5">
                  <c:v>-3.1577710291408323</c:v>
                </c:pt>
                <c:pt idx="6">
                  <c:v>-3.1174524823374128</c:v>
                </c:pt>
                <c:pt idx="7">
                  <c:v>-2.9609682127429426</c:v>
                </c:pt>
                <c:pt idx="8">
                  <c:v>-2.702341078653081</c:v>
                </c:pt>
                <c:pt idx="9">
                  <c:v>-2.3672137493757628</c:v>
                </c:pt>
                <c:pt idx="10">
                  <c:v>-1.9853692895999142</c:v>
                </c:pt>
                <c:pt idx="11">
                  <c:v>-1.584740956670494</c:v>
                </c:pt>
                <c:pt idx="12">
                  <c:v>-1.1879436469086624</c:v>
                </c:pt>
                <c:pt idx="13">
                  <c:v>-0.81112949769757137</c:v>
                </c:pt>
                <c:pt idx="14">
                  <c:v>-0.46438611639998406</c:v>
                </c:pt>
                <c:pt idx="15">
                  <c:v>-0.15287379377837418</c:v>
                </c:pt>
                <c:pt idx="16">
                  <c:v>0.12186335034081175</c:v>
                </c:pt>
                <c:pt idx="17">
                  <c:v>0.36071373368806725</c:v>
                </c:pt>
                <c:pt idx="18">
                  <c:v>0.56605531519648977</c:v>
                </c:pt>
                <c:pt idx="19">
                  <c:v>0.74106240114168997</c:v>
                </c:pt>
                <c:pt idx="20">
                  <c:v>0.88922679360114998</c:v>
                </c:pt>
                <c:pt idx="21">
                  <c:v>1.0140459087670806</c:v>
                </c:pt>
                <c:pt idx="22">
                  <c:v>1.1188333249301241</c:v>
                </c:pt>
                <c:pt idx="23">
                  <c:v>1.2066151127410052</c:v>
                </c:pt>
                <c:pt idx="24">
                  <c:v>1.2800838379445345</c:v>
                </c:pt>
                <c:pt idx="25">
                  <c:v>1.3415896265334126</c:v>
                </c:pt>
                <c:pt idx="26">
                  <c:v>1.3931536996847349</c:v>
                </c:pt>
                <c:pt idx="27">
                  <c:v>1.4364943711164813</c:v>
                </c:pt>
                <c:pt idx="28">
                  <c:v>1.4730588713218751</c:v>
                </c:pt>
                <c:pt idx="29">
                  <c:v>1.5040567706159358</c:v>
                </c:pt>
                <c:pt idx="30">
                  <c:v>1.530492446059073</c:v>
                </c:pt>
                <c:pt idx="31">
                  <c:v>1.5531951681602152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3F-454D-9965-B3EC0196B4B1}"/>
            </c:ext>
          </c:extLst>
        </c:ser>
        <c:ser>
          <c:idx val="5"/>
          <c:order val="5"/>
          <c:tx>
            <c:strRef>
              <c:f>z!$E$90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z!$F$90:$AK$90</c:f>
              <c:numCache>
                <c:formatCode>0.00</c:formatCode>
                <c:ptCount val="32"/>
                <c:pt idx="0">
                  <c:v>-2.1785952217601157</c:v>
                </c:pt>
                <c:pt idx="1">
                  <c:v>-2.2737178657761259</c:v>
                </c:pt>
                <c:pt idx="2">
                  <c:v>-2.4226760999701558</c:v>
                </c:pt>
                <c:pt idx="3">
                  <c:v>-2.5784653245819467</c:v>
                </c:pt>
                <c:pt idx="4">
                  <c:v>-2.6994765281229682</c:v>
                </c:pt>
                <c:pt idx="5">
                  <c:v>-2.7534898066183811</c:v>
                </c:pt>
                <c:pt idx="6">
                  <c:v>-2.7214672464115353</c:v>
                </c:pt>
                <c:pt idx="7">
                  <c:v>-2.5990157498700928</c:v>
                </c:pt>
                <c:pt idx="8">
                  <c:v>-2.3947226324017024</c:v>
                </c:pt>
                <c:pt idx="9">
                  <c:v>-2.1260889491114821</c:v>
                </c:pt>
                <c:pt idx="10">
                  <c:v>-1.8146359615123231</c:v>
                </c:pt>
                <c:pt idx="11">
                  <c:v>-1.4816620652702284</c:v>
                </c:pt>
                <c:pt idx="12">
                  <c:v>-1.1454438687186208</c:v>
                </c:pt>
                <c:pt idx="13">
                  <c:v>-0.81995339672680245</c:v>
                </c:pt>
                <c:pt idx="14">
                  <c:v>-0.51472940680752366</c:v>
                </c:pt>
                <c:pt idx="15">
                  <c:v>-0.23542517742836111</c:v>
                </c:pt>
                <c:pt idx="16">
                  <c:v>1.5365848409221172E-2</c:v>
                </c:pt>
                <c:pt idx="17">
                  <c:v>0.23726356253250813</c:v>
                </c:pt>
                <c:pt idx="18">
                  <c:v>0.43136445764035969</c:v>
                </c:pt>
                <c:pt idx="19">
                  <c:v>0.5996599520752266</c:v>
                </c:pt>
                <c:pt idx="20">
                  <c:v>0.744607986967738</c:v>
                </c:pt>
                <c:pt idx="21">
                  <c:v>0.86883537190995952</c:v>
                </c:pt>
                <c:pt idx="22">
                  <c:v>0.97494267904729703</c:v>
                </c:pt>
                <c:pt idx="23">
                  <c:v>1.0653851004127635</c:v>
                </c:pt>
                <c:pt idx="24">
                  <c:v>1.1424070912557927</c:v>
                </c:pt>
                <c:pt idx="25">
                  <c:v>1.2080135463876651</c:v>
                </c:pt>
                <c:pt idx="26">
                  <c:v>1.2639647042633761</c:v>
                </c:pt>
                <c:pt idx="27">
                  <c:v>1.3117856154398755</c:v>
                </c:pt>
                <c:pt idx="28">
                  <c:v>1.3527838262061831</c:v>
                </c:pt>
                <c:pt idx="29">
                  <c:v>1.3880710196356727</c:v>
                </c:pt>
                <c:pt idx="30">
                  <c:v>1.4185858626925008</c:v>
                </c:pt>
                <c:pt idx="31">
                  <c:v>1.4451163651651999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3F-454D-9965-B3EC0196B4B1}"/>
            </c:ext>
          </c:extLst>
        </c:ser>
        <c:ser>
          <c:idx val="6"/>
          <c:order val="6"/>
          <c:tx>
            <c:strRef>
              <c:f>z!$E$91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z!$F$91:$AK$91</c:f>
              <c:numCache>
                <c:formatCode>0.00</c:formatCode>
                <c:ptCount val="32"/>
                <c:pt idx="0">
                  <c:v>-1.9582834355635903</c:v>
                </c:pt>
                <c:pt idx="1">
                  <c:v>-2.0431764867867575</c:v>
                </c:pt>
                <c:pt idx="2">
                  <c:v>-2.1630611773859609</c:v>
                </c:pt>
                <c:pt idx="3">
                  <c:v>-2.2836054151487151</c:v>
                </c:pt>
                <c:pt idx="4">
                  <c:v>-2.3745222241200459</c:v>
                </c:pt>
                <c:pt idx="5">
                  <c:v>-2.4124014445403574</c:v>
                </c:pt>
                <c:pt idx="6">
                  <c:v>-2.3831948225594424</c:v>
                </c:pt>
                <c:pt idx="7">
                  <c:v>-2.2831480689655681</c:v>
                </c:pt>
                <c:pt idx="8">
                  <c:v>-2.1177603461208783</c:v>
                </c:pt>
                <c:pt idx="9">
                  <c:v>-1.8991945520874243</c:v>
                </c:pt>
                <c:pt idx="10">
                  <c:v>-1.6430528576016901</c:v>
                </c:pt>
                <c:pt idx="11">
                  <c:v>-1.3654226526838009</c:v>
                </c:pt>
                <c:pt idx="12">
                  <c:v>-1.0807487987318787</c:v>
                </c:pt>
                <c:pt idx="13">
                  <c:v>-0.80067234258796027</c:v>
                </c:pt>
                <c:pt idx="14">
                  <c:v>-0.53368428507005738</c:v>
                </c:pt>
                <c:pt idx="15">
                  <c:v>-0.28532405933145988</c:v>
                </c:pt>
                <c:pt idx="16">
                  <c:v>-5.8661061007603266E-2</c:v>
                </c:pt>
                <c:pt idx="17">
                  <c:v>0.14513440522723187</c:v>
                </c:pt>
                <c:pt idx="18">
                  <c:v>0.32624770602618369</c:v>
                </c:pt>
                <c:pt idx="19">
                  <c:v>0.48575999511468737</c:v>
                </c:pt>
                <c:pt idx="20">
                  <c:v>0.62528829186114798</c:v>
                </c:pt>
                <c:pt idx="21">
                  <c:v>0.74672030975553305</c:v>
                </c:pt>
                <c:pt idx="22">
                  <c:v>0.85202933970296435</c:v>
                </c:pt>
                <c:pt idx="23">
                  <c:v>0.94315209137052491</c:v>
                </c:pt>
                <c:pt idx="24">
                  <c:v>1.0219135462929962</c:v>
                </c:pt>
                <c:pt idx="25">
                  <c:v>1.0899854520773911</c:v>
                </c:pt>
                <c:pt idx="26">
                  <c:v>1.1488679478588448</c:v>
                </c:pt>
                <c:pt idx="27">
                  <c:v>1.1998864256590469</c:v>
                </c:pt>
                <c:pt idx="28">
                  <c:v>1.2441979031729833</c:v>
                </c:pt>
                <c:pt idx="29">
                  <c:v>1.2828028859634966</c:v>
                </c:pt>
                <c:pt idx="30">
                  <c:v>1.3165599794806582</c:v>
                </c:pt>
                <c:pt idx="31">
                  <c:v>1.346201448078066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3F-454D-9965-B3EC0196B4B1}"/>
            </c:ext>
          </c:extLst>
        </c:ser>
        <c:ser>
          <c:idx val="7"/>
          <c:order val="7"/>
          <c:tx>
            <c:strRef>
              <c:f>z!$E$92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z!$F$92:$AK$92</c:f>
              <c:numCache>
                <c:formatCode>0.00</c:formatCode>
                <c:ptCount val="32"/>
                <c:pt idx="0">
                  <c:v>-1.7656041177016579</c:v>
                </c:pt>
                <c:pt idx="1">
                  <c:v>-1.8421437592086587</c:v>
                </c:pt>
                <c:pt idx="2">
                  <c:v>-1.9394549294615704</c:v>
                </c:pt>
                <c:pt idx="3">
                  <c:v>-2.0324944448224525</c:v>
                </c:pt>
                <c:pt idx="4">
                  <c:v>-2.0993295013083113</c:v>
                </c:pt>
                <c:pt idx="5">
                  <c:v>-2.123128347597536</c:v>
                </c:pt>
                <c:pt idx="6">
                  <c:v>-2.0937899225448309</c:v>
                </c:pt>
                <c:pt idx="7">
                  <c:v>-2.0085084115806229</c:v>
                </c:pt>
                <c:pt idx="8">
                  <c:v>-1.8710696764101531</c:v>
                </c:pt>
                <c:pt idx="9">
                  <c:v>-1.6901512163625121</c:v>
                </c:pt>
                <c:pt idx="10">
                  <c:v>-1.4771742006969291</c:v>
                </c:pt>
                <c:pt idx="11">
                  <c:v>-1.2442635249265699</c:v>
                </c:pt>
                <c:pt idx="12">
                  <c:v>-1.0026867373347237</c:v>
                </c:pt>
                <c:pt idx="13">
                  <c:v>-0.76190370473572244</c:v>
                </c:pt>
                <c:pt idx="14">
                  <c:v>-0.52917292275633798</c:v>
                </c:pt>
                <c:pt idx="15">
                  <c:v>-0.30956619574862287</c:v>
                </c:pt>
                <c:pt idx="16">
                  <c:v>-0.10622740839627554</c:v>
                </c:pt>
                <c:pt idx="17">
                  <c:v>7.9260245317014366E-2</c:v>
                </c:pt>
                <c:pt idx="18">
                  <c:v>0.24649095340723015</c:v>
                </c:pt>
                <c:pt idx="19">
                  <c:v>0.39588940203838519</c:v>
                </c:pt>
                <c:pt idx="20">
                  <c:v>0.528423402756939</c:v>
                </c:pt>
                <c:pt idx="21">
                  <c:v>0.64538060967844757</c:v>
                </c:pt>
                <c:pt idx="22">
                  <c:v>0.74820396691266389</c:v>
                </c:pt>
                <c:pt idx="23">
                  <c:v>0.83837630752148229</c:v>
                </c:pt>
                <c:pt idx="24">
                  <c:v>0.91734366022389047</c:v>
                </c:pt>
                <c:pt idx="25">
                  <c:v>0.98646766425791732</c:v>
                </c:pt>
                <c:pt idx="26">
                  <c:v>1.0469990321304579</c:v>
                </c:pt>
                <c:pt idx="27">
                  <c:v>1.1000656735593584</c:v>
                </c:pt>
                <c:pt idx="28">
                  <c:v>1.1466706271179294</c:v>
                </c:pt>
                <c:pt idx="29">
                  <c:v>1.1876962330803487</c:v>
                </c:pt>
                <c:pt idx="30">
                  <c:v>1.2239120027479622</c:v>
                </c:pt>
                <c:pt idx="31">
                  <c:v>1.2559844211834648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3F-454D-9965-B3EC0196B4B1}"/>
            </c:ext>
          </c:extLst>
        </c:ser>
        <c:ser>
          <c:idx val="8"/>
          <c:order val="8"/>
          <c:tx>
            <c:strRef>
              <c:f>z!$E$93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z!$F$93:$AK$93</c:f>
              <c:numCache>
                <c:formatCode>0.00</c:formatCode>
                <c:ptCount val="32"/>
                <c:pt idx="0">
                  <c:v>-1.5962428347271462</c:v>
                </c:pt>
                <c:pt idx="1">
                  <c:v>-1.6658132673297299</c:v>
                </c:pt>
                <c:pt idx="2">
                  <c:v>-1.7454388185511593</c:v>
                </c:pt>
                <c:pt idx="3">
                  <c:v>-1.8169273221280147</c:v>
                </c:pt>
                <c:pt idx="4">
                  <c:v>-1.8645518422855112</c:v>
                </c:pt>
                <c:pt idx="5">
                  <c:v>-1.8764152112193955</c:v>
                </c:pt>
                <c:pt idx="6">
                  <c:v>-1.8455038968967497</c:v>
                </c:pt>
                <c:pt idx="7">
                  <c:v>-1.7700011374444102</c:v>
                </c:pt>
                <c:pt idx="8">
                  <c:v>-1.6527748619810101</c:v>
                </c:pt>
                <c:pt idx="9">
                  <c:v>-1.5002275579412139</c:v>
                </c:pt>
                <c:pt idx="10">
                  <c:v>-1.3208474972614681</c:v>
                </c:pt>
                <c:pt idx="11">
                  <c:v>-1.1238047357886582</c:v>
                </c:pt>
                <c:pt idx="12">
                  <c:v>-0.91783206867757094</c:v>
                </c:pt>
                <c:pt idx="13">
                  <c:v>-0.71049259136035658</c:v>
                </c:pt>
                <c:pt idx="14">
                  <c:v>-0.5078202350905503</c:v>
                </c:pt>
                <c:pt idx="15">
                  <c:v>-0.31425314866218024</c:v>
                </c:pt>
                <c:pt idx="16">
                  <c:v>-0.13275943776314136</c:v>
                </c:pt>
                <c:pt idx="17">
                  <c:v>3.4935449313433509E-2</c:v>
                </c:pt>
                <c:pt idx="18">
                  <c:v>0.18808734302822039</c:v>
                </c:pt>
                <c:pt idx="19">
                  <c:v>0.32668105256705715</c:v>
                </c:pt>
                <c:pt idx="20">
                  <c:v>0.45121001844394826</c:v>
                </c:pt>
                <c:pt idx="21">
                  <c:v>0.56249666274710286</c:v>
                </c:pt>
                <c:pt idx="22">
                  <c:v>0.66155355563091156</c:v>
                </c:pt>
                <c:pt idx="23">
                  <c:v>0.74948100925453787</c:v>
                </c:pt>
                <c:pt idx="24">
                  <c:v>0.82739491303995827</c:v>
                </c:pt>
                <c:pt idx="25">
                  <c:v>0.89637841413470198</c:v>
                </c:pt>
                <c:pt idx="26">
                  <c:v>0.95745164969240903</c:v>
                </c:pt>
                <c:pt idx="27">
                  <c:v>1.0115546673417075</c:v>
                </c:pt>
                <c:pt idx="28">
                  <c:v>1.0595396539048174</c:v>
                </c:pt>
                <c:pt idx="29">
                  <c:v>1.1021694923674108</c:v>
                </c:pt>
                <c:pt idx="30">
                  <c:v>1.1401204278782551</c:v>
                </c:pt>
                <c:pt idx="31">
                  <c:v>1.1739872347049651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3F-454D-9965-B3EC0196B4B1}"/>
            </c:ext>
          </c:extLst>
        </c:ser>
        <c:ser>
          <c:idx val="9"/>
          <c:order val="9"/>
          <c:tx>
            <c:strRef>
              <c:f>z!$E$94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z!$F$94:$AK$94</c:f>
              <c:numCache>
                <c:formatCode>0.00</c:formatCode>
                <c:ptCount val="32"/>
                <c:pt idx="0">
                  <c:v>-1.4466792132095119</c:v>
                </c:pt>
                <c:pt idx="1">
                  <c:v>-1.5103127408477857</c:v>
                </c:pt>
                <c:pt idx="2">
                  <c:v>-1.5759514982338629</c:v>
                </c:pt>
                <c:pt idx="3">
                  <c:v>-1.6304849434334301</c:v>
                </c:pt>
                <c:pt idx="4">
                  <c:v>-1.6628195518464395</c:v>
                </c:pt>
                <c:pt idx="5">
                  <c:v>-1.6647717833906395</c:v>
                </c:pt>
                <c:pt idx="6">
                  <c:v>-1.6317246772024063</c:v>
                </c:pt>
                <c:pt idx="7">
                  <c:v>-1.5627693600417381</c:v>
                </c:pt>
                <c:pt idx="8">
                  <c:v>-1.4603083301267805</c:v>
                </c:pt>
                <c:pt idx="9">
                  <c:v>-1.3292548533283544</c:v>
                </c:pt>
                <c:pt idx="10">
                  <c:v>-1.1760437048180528</c:v>
                </c:pt>
                <c:pt idx="11">
                  <c:v>-1.0076662904456857</c:v>
                </c:pt>
                <c:pt idx="12">
                  <c:v>-0.83088220788840594</c:v>
                </c:pt>
                <c:pt idx="13">
                  <c:v>-0.65167787462461213</c:v>
                </c:pt>
                <c:pt idx="14">
                  <c:v>-0.47497257679940397</c:v>
                </c:pt>
                <c:pt idx="15">
                  <c:v>-0.30452836733307898</c:v>
                </c:pt>
                <c:pt idx="16">
                  <c:v>-0.14300302689007616</c:v>
                </c:pt>
                <c:pt idx="17">
                  <c:v>7.9128175833886871E-3</c:v>
                </c:pt>
                <c:pt idx="18">
                  <c:v>0.14732152520680053</c:v>
                </c:pt>
                <c:pt idx="19">
                  <c:v>0.27493977898807032</c:v>
                </c:pt>
                <c:pt idx="20">
                  <c:v>0.39093485344587897</c:v>
                </c:pt>
                <c:pt idx="21">
                  <c:v>0.4957852358533632</c:v>
                </c:pt>
                <c:pt idx="22">
                  <c:v>0.59016831985170271</c:v>
                </c:pt>
                <c:pt idx="23">
                  <c:v>0.67487392227172371</c:v>
                </c:pt>
                <c:pt idx="24">
                  <c:v>0.75074038188627235</c:v>
                </c:pt>
                <c:pt idx="25">
                  <c:v>0.81860928809573963</c:v>
                </c:pt>
                <c:pt idx="26">
                  <c:v>0.87929492368021833</c:v>
                </c:pt>
                <c:pt idx="27">
                  <c:v>0.93356492102292243</c:v>
                </c:pt>
                <c:pt idx="28">
                  <c:v>0.98212919505291651</c:v>
                </c:pt>
                <c:pt idx="29">
                  <c:v>1.0256347960424517</c:v>
                </c:pt>
                <c:pt idx="30">
                  <c:v>1.064664853879238</c:v>
                </c:pt>
                <c:pt idx="31">
                  <c:v>1.0997402343637663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3F-454D-9965-B3EC0196B4B1}"/>
            </c:ext>
          </c:extLst>
        </c:ser>
        <c:ser>
          <c:idx val="10"/>
          <c:order val="10"/>
          <c:tx>
            <c:strRef>
              <c:f>z!$E$95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z!$F$95:$AK$95</c:f>
              <c:numCache>
                <c:formatCode>0.00</c:formatCode>
                <c:ptCount val="32"/>
                <c:pt idx="0">
                  <c:v>-1.3140234873199041</c:v>
                </c:pt>
                <c:pt idx="1">
                  <c:v>-1.3724986780339066</c:v>
                </c:pt>
                <c:pt idx="2">
                  <c:v>-1.4269663269328436</c:v>
                </c:pt>
                <c:pt idx="3">
                  <c:v>-1.4681050312970179</c:v>
                </c:pt>
                <c:pt idx="4">
                  <c:v>-1.488292702239713</c:v>
                </c:pt>
                <c:pt idx="5">
                  <c:v>-1.4821454313629356</c:v>
                </c:pt>
                <c:pt idx="6">
                  <c:v>-1.4468947590418058</c:v>
                </c:pt>
                <c:pt idx="7">
                  <c:v>-1.3824118368588323</c:v>
                </c:pt>
                <c:pt idx="8">
                  <c:v>-1.2908845470804842</c:v>
                </c:pt>
                <c:pt idx="9">
                  <c:v>-1.1762454142305589</c:v>
                </c:pt>
                <c:pt idx="10">
                  <c:v>-1.0434887045829289</c:v>
                </c:pt>
                <c:pt idx="11">
                  <c:v>-0.89800859066402339</c:v>
                </c:pt>
                <c:pt idx="12">
                  <c:v>-0.74505228309984517</c:v>
                </c:pt>
                <c:pt idx="13">
                  <c:v>-0.58933349051049078</c:v>
                </c:pt>
                <c:pt idx="14">
                  <c:v>-0.43480928941019847</c:v>
                </c:pt>
                <c:pt idx="15">
                  <c:v>-0.2845958472386112</c:v>
                </c:pt>
                <c:pt idx="16">
                  <c:v>-0.14098613189572617</c:v>
                </c:pt>
                <c:pt idx="17">
                  <c:v>-5.5320235958777886E-3</c:v>
                </c:pt>
                <c:pt idx="18">
                  <c:v>0.12084082199770307</c:v>
                </c:pt>
                <c:pt idx="19">
                  <c:v>0.23770859043259485</c:v>
                </c:pt>
                <c:pt idx="20">
                  <c:v>0.3450304175878216</c:v>
                </c:pt>
                <c:pt idx="21">
                  <c:v>0.44304330014344195</c:v>
                </c:pt>
                <c:pt idx="22">
                  <c:v>0.53217428801821676</c:v>
                </c:pt>
                <c:pt idx="23">
                  <c:v>0.61297032224905124</c:v>
                </c:pt>
                <c:pt idx="24">
                  <c:v>0.68604430300989172</c:v>
                </c:pt>
                <c:pt idx="25">
                  <c:v>0.75203513174693093</c:v>
                </c:pt>
                <c:pt idx="26">
                  <c:v>0.81157923077945782</c:v>
                </c:pt>
                <c:pt idx="27">
                  <c:v>0.86529114877831326</c:v>
                </c:pt>
                <c:pt idx="28">
                  <c:v>0.9137511382673047</c:v>
                </c:pt>
                <c:pt idx="29">
                  <c:v>0.95749793296295849</c:v>
                </c:pt>
                <c:pt idx="30">
                  <c:v>0.99702529462120104</c:v>
                </c:pt>
                <c:pt idx="31">
                  <c:v>1.0327812091381894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3F-454D-9965-B3EC0196B4B1}"/>
            </c:ext>
          </c:extLst>
        </c:ser>
        <c:ser>
          <c:idx val="11"/>
          <c:order val="11"/>
          <c:tx>
            <c:strRef>
              <c:f>z!$E$96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z!$F$96:$AK$96</c:f>
              <c:numCache>
                <c:formatCode>0.00</c:formatCode>
                <c:ptCount val="32"/>
                <c:pt idx="0">
                  <c:v>-1.1958890176155812</c:v>
                </c:pt>
                <c:pt idx="1">
                  <c:v>-1.2498000840666101</c:v>
                </c:pt>
                <c:pt idx="2">
                  <c:v>-1.2952521950793106</c:v>
                </c:pt>
                <c:pt idx="3">
                  <c:v>-1.3257634729024748</c:v>
                </c:pt>
                <c:pt idx="4">
                  <c:v>-1.3363176396929966</c:v>
                </c:pt>
                <c:pt idx="5">
                  <c:v>-1.3236413261341617</c:v>
                </c:pt>
                <c:pt idx="6">
                  <c:v>-1.2863827453846177</c:v>
                </c:pt>
                <c:pt idx="7">
                  <c:v>-1.2250555572546062</c:v>
                </c:pt>
                <c:pt idx="8">
                  <c:v>-1.1417660320256484</c:v>
                </c:pt>
                <c:pt idx="9">
                  <c:v>-1.0397944065276832</c:v>
                </c:pt>
                <c:pt idx="10">
                  <c:v>-0.92311935180222626</c:v>
                </c:pt>
                <c:pt idx="11">
                  <c:v>-0.79596597893472065</c:v>
                </c:pt>
                <c:pt idx="12">
                  <c:v>-0.66243322929038229</c:v>
                </c:pt>
                <c:pt idx="13">
                  <c:v>-0.52622733836105162</c:v>
                </c:pt>
                <c:pt idx="14">
                  <c:v>-0.39050306339549756</c:v>
                </c:pt>
                <c:pt idx="15">
                  <c:v>-0.25779778036971734</c:v>
                </c:pt>
                <c:pt idx="16">
                  <c:v>-0.13003572134850927</c:v>
                </c:pt>
                <c:pt idx="17">
                  <c:v>-8.5785760073342487E-3</c:v>
                </c:pt>
                <c:pt idx="18">
                  <c:v>0.10569824277051332</c:v>
                </c:pt>
                <c:pt idx="19">
                  <c:v>0.21231951539912863</c:v>
                </c:pt>
                <c:pt idx="20">
                  <c:v>0.31112513919406837</c:v>
                </c:pt>
                <c:pt idx="21">
                  <c:v>0.40219257198548242</c:v>
                </c:pt>
                <c:pt idx="22">
                  <c:v>0.48577002949135029</c:v>
                </c:pt>
                <c:pt idx="23">
                  <c:v>0.56222141514572499</c:v>
                </c:pt>
                <c:pt idx="24">
                  <c:v>0.63198256057717117</c:v>
                </c:pt>
                <c:pt idx="25">
                  <c:v>0.69552759272117903</c:v>
                </c:pt>
                <c:pt idx="26">
                  <c:v>0.75334391890558017</c:v>
                </c:pt>
                <c:pt idx="27">
                  <c:v>0.80591427076726063</c:v>
                </c:pt>
                <c:pt idx="28">
                  <c:v>0.85370435355280883</c:v>
                </c:pt>
                <c:pt idx="29">
                  <c:v>0.89715482848196082</c:v>
                </c:pt>
                <c:pt idx="30">
                  <c:v>0.93667656153595402</c:v>
                </c:pt>
                <c:pt idx="31">
                  <c:v>0.97264827327858683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3F-454D-9965-B3EC0196B4B1}"/>
            </c:ext>
          </c:extLst>
        </c:ser>
        <c:ser>
          <c:idx val="12"/>
          <c:order val="12"/>
          <c:tx>
            <c:strRef>
              <c:f>z!$E$97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z!$F$97:$AK$97</c:f>
              <c:numCache>
                <c:formatCode>0.00</c:formatCode>
                <c:ptCount val="32"/>
                <c:pt idx="0">
                  <c:v>-1.0902926561373594</c:v>
                </c:pt>
                <c:pt idx="1">
                  <c:v>-1.1400988807253043</c:v>
                </c:pt>
                <c:pt idx="2">
                  <c:v>-1.1781947123734593</c:v>
                </c:pt>
                <c:pt idx="3">
                  <c:v>-1.2002362941865297</c:v>
                </c:pt>
                <c:pt idx="4">
                  <c:v>-1.2031638823828406</c:v>
                </c:pt>
                <c:pt idx="5">
                  <c:v>-1.1852918844845739</c:v>
                </c:pt>
                <c:pt idx="6">
                  <c:v>-1.1463460407679094</c:v>
                </c:pt>
                <c:pt idx="7">
                  <c:v>-1.0873525887244995</c:v>
                </c:pt>
                <c:pt idx="8">
                  <c:v>-1.0104011095801724</c:v>
                </c:pt>
                <c:pt idx="9">
                  <c:v>-0.91833142743191765</c:v>
                </c:pt>
                <c:pt idx="10">
                  <c:v>-0.81440050821335319</c:v>
                </c:pt>
                <c:pt idx="11">
                  <c:v>-0.70197653523229597</c:v>
                </c:pt>
                <c:pt idx="12">
                  <c:v>-0.5842911361553238</c:v>
                </c:pt>
                <c:pt idx="13">
                  <c:v>-0.46426334078475406</c:v>
                </c:pt>
                <c:pt idx="14">
                  <c:v>-0.34439454247636725</c:v>
                </c:pt>
                <c:pt idx="15">
                  <c:v>-0.22672440896376322</c:v>
                </c:pt>
                <c:pt idx="16">
                  <c:v>-0.11283330135891667</c:v>
                </c:pt>
                <c:pt idx="17">
                  <c:v>-3.87618201314055E-3</c:v>
                </c:pt>
                <c:pt idx="18">
                  <c:v>9.936522670228598E-2</c:v>
                </c:pt>
                <c:pt idx="19">
                  <c:v>0.19642241117168169</c:v>
                </c:pt>
                <c:pt idx="20">
                  <c:v>0.2870795084031208</c:v>
                </c:pt>
                <c:pt idx="21">
                  <c:v>0.37131688107594485</c:v>
                </c:pt>
                <c:pt idx="22">
                  <c:v>0.44926136794298799</c:v>
                </c:pt>
                <c:pt idx="23">
                  <c:v>0.5211442292252233</c:v>
                </c:pt>
                <c:pt idx="24">
                  <c:v>0.58726680494225469</c:v>
                </c:pt>
                <c:pt idx="25">
                  <c:v>0.64797331041144268</c:v>
                </c:pt>
                <c:pt idx="26">
                  <c:v>0.70362989384564756</c:v>
                </c:pt>
                <c:pt idx="27">
                  <c:v>0.75460897748902411</c:v>
                </c:pt>
                <c:pt idx="28">
                  <c:v>0.80127792185580304</c:v>
                </c:pt>
                <c:pt idx="29">
                  <c:v>0.84399113695177164</c:v>
                </c:pt>
                <c:pt idx="30">
                  <c:v>0.88308487973143279</c:v>
                </c:pt>
                <c:pt idx="31">
                  <c:v>0.9188740998933298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3F-454D-9965-B3EC0196B4B1}"/>
            </c:ext>
          </c:extLst>
        </c:ser>
        <c:ser>
          <c:idx val="13"/>
          <c:order val="13"/>
          <c:tx>
            <c:strRef>
              <c:f>z!$E$98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z!$F$98:$AK$98</c:f>
              <c:numCache>
                <c:formatCode>0.00</c:formatCode>
                <c:ptCount val="32"/>
                <c:pt idx="0">
                  <c:v>-0.9955766271085853</c:v>
                </c:pt>
                <c:pt idx="1">
                  <c:v>-1.0416378262756432</c:v>
                </c:pt>
                <c:pt idx="2">
                  <c:v>-1.0736614689377255</c:v>
                </c:pt>
                <c:pt idx="3">
                  <c:v>-1.0889207257591682</c:v>
                </c:pt>
                <c:pt idx="4">
                  <c:v>-1.0858225862708792</c:v>
                </c:pt>
                <c:pt idx="5">
                  <c:v>-1.0638705888643685</c:v>
                </c:pt>
                <c:pt idx="6">
                  <c:v>-1.0236020336629181</c:v>
                </c:pt>
                <c:pt idx="7">
                  <c:v>-0.96644044779381488</c:v>
                </c:pt>
                <c:pt idx="8">
                  <c:v>-0.89448500527389285</c:v>
                </c:pt>
                <c:pt idx="9">
                  <c:v>-0.81027154368973342</c:v>
                </c:pt>
                <c:pt idx="10">
                  <c:v>-0.71653857794173881</c:v>
                </c:pt>
                <c:pt idx="11">
                  <c:v>-0.61602362288026846</c:v>
                </c:pt>
                <c:pt idx="12">
                  <c:v>-0.51130451150571687</c:v>
                </c:pt>
                <c:pt idx="13">
                  <c:v>-0.40469036113877088</c:v>
                </c:pt>
                <c:pt idx="14">
                  <c:v>-0.29815920640996474</c:v>
                </c:pt>
                <c:pt idx="15">
                  <c:v>-0.19333466975468561</c:v>
                </c:pt>
                <c:pt idx="16">
                  <c:v>-9.1492095298795206E-2</c:v>
                </c:pt>
                <c:pt idx="17">
                  <c:v>6.4153807732836299E-3</c:v>
                </c:pt>
                <c:pt idx="18">
                  <c:v>9.9719104847961759E-2</c:v>
                </c:pt>
                <c:pt idx="19">
                  <c:v>0.18799203246988583</c:v>
                </c:pt>
                <c:pt idx="20">
                  <c:v>0.27100537751567622</c:v>
                </c:pt>
                <c:pt idx="21">
                  <c:v>0.34868782658570296</c:v>
                </c:pt>
                <c:pt idx="22">
                  <c:v>0.42108905871307556</c:v>
                </c:pt>
                <c:pt idx="23">
                  <c:v>0.48834835112976371</c:v>
                </c:pt>
                <c:pt idx="24">
                  <c:v>0.55066839832917935</c:v>
                </c:pt>
                <c:pt idx="25">
                  <c:v>0.60829406389517615</c:v>
                </c:pt>
                <c:pt idx="26">
                  <c:v>0.66149556026240397</c:v>
                </c:pt>
                <c:pt idx="27">
                  <c:v>0.71055545393217123</c:v>
                </c:pt>
                <c:pt idx="28">
                  <c:v>0.75575887961143451</c:v>
                </c:pt>
                <c:pt idx="29">
                  <c:v>0.79738638125492756</c:v>
                </c:pt>
                <c:pt idx="30">
                  <c:v>0.83570885907491288</c:v>
                </c:pt>
                <c:pt idx="31">
                  <c:v>0.87098417302589048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33F-454D-9965-B3EC0196B4B1}"/>
            </c:ext>
          </c:extLst>
        </c:ser>
        <c:ser>
          <c:idx val="14"/>
          <c:order val="14"/>
          <c:tx>
            <c:strRef>
              <c:f>z!$E$99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z!$F$99:$AK$99</c:f>
              <c:numCache>
                <c:formatCode>0.00</c:formatCode>
                <c:ptCount val="32"/>
                <c:pt idx="0">
                  <c:v>-0.91034703329717637</c:v>
                </c:pt>
                <c:pt idx="1">
                  <c:v>-0.95294917567323445</c:v>
                </c:pt>
                <c:pt idx="2">
                  <c:v>-0.97989972361212097</c:v>
                </c:pt>
                <c:pt idx="3">
                  <c:v>-0.98969979682062004</c:v>
                </c:pt>
                <c:pt idx="4">
                  <c:v>-0.98185185679611209</c:v>
                </c:pt>
                <c:pt idx="5">
                  <c:v>-0.95674331041517569</c:v>
                </c:pt>
                <c:pt idx="6">
                  <c:v>-0.91551458818561748</c:v>
                </c:pt>
                <c:pt idx="7">
                  <c:v>-0.85988781604262599</c:v>
                </c:pt>
                <c:pt idx="8">
                  <c:v>-0.79197678582332287</c:v>
                </c:pt>
                <c:pt idx="9">
                  <c:v>-0.71410093547830122</c:v>
                </c:pt>
                <c:pt idx="10">
                  <c:v>-0.62862108108796555</c:v>
                </c:pt>
                <c:pt idx="11">
                  <c:v>-0.53780764567967765</c:v>
                </c:pt>
                <c:pt idx="12">
                  <c:v>-0.44374538284985832</c:v>
                </c:pt>
                <c:pt idx="13">
                  <c:v>-0.34827329708497778</c:v>
                </c:pt>
                <c:pt idx="14">
                  <c:v>-0.25295504040845351</c:v>
                </c:pt>
                <c:pt idx="15">
                  <c:v>-0.15907340165433048</c:v>
                </c:pt>
                <c:pt idx="16">
                  <c:v>-6.7642205179296866E-2</c:v>
                </c:pt>
                <c:pt idx="17">
                  <c:v>2.0570475274261923E-2</c:v>
                </c:pt>
                <c:pt idx="18">
                  <c:v>0.10501283130404104</c:v>
                </c:pt>
                <c:pt idx="19">
                  <c:v>0.18531741328153828</c:v>
                </c:pt>
                <c:pt idx="20">
                  <c:v>0.26126952094251976</c:v>
                </c:pt>
                <c:pt idx="21">
                  <c:v>0.33277764645900376</c:v>
                </c:pt>
                <c:pt idx="22">
                  <c:v>0.39984696895700722</c:v>
                </c:pt>
                <c:pt idx="23">
                  <c:v>0.46255634467029516</c:v>
                </c:pt>
                <c:pt idx="24">
                  <c:v>0.52103885669230188</c:v>
                </c:pt>
                <c:pt idx="25">
                  <c:v>0.57546574692257657</c:v>
                </c:pt>
                <c:pt idx="26">
                  <c:v>0.62603341579037242</c:v>
                </c:pt>
                <c:pt idx="27">
                  <c:v>0.67295311169002225</c:v>
                </c:pt>
                <c:pt idx="28">
                  <c:v>0.7164429172201725</c:v>
                </c:pt>
                <c:pt idx="29">
                  <c:v>0.75672165525286772</c:v>
                </c:pt>
                <c:pt idx="30">
                  <c:v>0.79400437066889928</c:v>
                </c:pt>
                <c:pt idx="31">
                  <c:v>0.82849908427329311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33F-454D-9965-B3EC0196B4B1}"/>
            </c:ext>
          </c:extLst>
        </c:ser>
        <c:ser>
          <c:idx val="15"/>
          <c:order val="15"/>
          <c:tx>
            <c:strRef>
              <c:f>z!$E$100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z!$F$100:$AK$100</c:f>
              <c:numCache>
                <c:formatCode>0.00</c:formatCode>
                <c:ptCount val="32"/>
                <c:pt idx="0">
                  <c:v>-0.83342522912976946</c:v>
                </c:pt>
                <c:pt idx="1">
                  <c:v>-0.87279905853443474</c:v>
                </c:pt>
                <c:pt idx="2">
                  <c:v>-0.8954581275011364</c:v>
                </c:pt>
                <c:pt idx="3">
                  <c:v>-0.90083917693606352</c:v>
                </c:pt>
                <c:pt idx="4">
                  <c:v>-0.88925762312785928</c:v>
                </c:pt>
                <c:pt idx="5">
                  <c:v>-0.86175026344226247</c:v>
                </c:pt>
                <c:pt idx="6">
                  <c:v>-0.81989742188093295</c:v>
                </c:pt>
                <c:pt idx="7">
                  <c:v>-0.76563724914713305</c:v>
                </c:pt>
                <c:pt idx="8">
                  <c:v>-0.70109213545221927</c:v>
                </c:pt>
                <c:pt idx="9">
                  <c:v>-0.62842109044836114</c:v>
                </c:pt>
                <c:pt idx="10">
                  <c:v>-0.54970490995898125</c:v>
                </c:pt>
                <c:pt idx="11">
                  <c:v>-0.46686511119831131</c:v>
                </c:pt>
                <c:pt idx="12">
                  <c:v>-0.38161362839073121</c:v>
                </c:pt>
                <c:pt idx="13">
                  <c:v>-0.29542808111071572</c:v>
                </c:pt>
                <c:pt idx="14">
                  <c:v>-0.20954668678019317</c:v>
                </c:pt>
                <c:pt idx="15">
                  <c:v>-0.12497711657233346</c:v>
                </c:pt>
                <c:pt idx="16">
                  <c:v>-4.2514363050027981E-2</c:v>
                </c:pt>
                <c:pt idx="17">
                  <c:v>3.7236325147738114E-2</c:v>
                </c:pt>
                <c:pt idx="18">
                  <c:v>0.113834392914125</c:v>
                </c:pt>
                <c:pt idx="19">
                  <c:v>0.18697888177543476</c:v>
                </c:pt>
                <c:pt idx="20">
                  <c:v>0.256484633422982</c:v>
                </c:pt>
                <c:pt idx="21">
                  <c:v>0.32226058574891248</c:v>
                </c:pt>
                <c:pt idx="22">
                  <c:v>0.38429054983968314</c:v>
                </c:pt>
                <c:pt idx="23">
                  <c:v>0.44261657762945106</c:v>
                </c:pt>
                <c:pt idx="24">
                  <c:v>0.49732484908249219</c:v>
                </c:pt>
                <c:pt idx="25">
                  <c:v>0.54853389936160291</c:v>
                </c:pt>
                <c:pt idx="26">
                  <c:v>0.59638494933400565</c:v>
                </c:pt>
                <c:pt idx="27">
                  <c:v>0.64103408088600489</c:v>
                </c:pt>
                <c:pt idx="28">
                  <c:v>0.68264599910272672</c:v>
                </c:pt>
                <c:pt idx="29">
                  <c:v>0.72138913782104908</c:v>
                </c:pt>
                <c:pt idx="30">
                  <c:v>0.75743188692189989</c:v>
                </c:pt>
                <c:pt idx="31">
                  <c:v>0.79093974486132979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3F-454D-9965-B3EC0196B4B1}"/>
            </c:ext>
          </c:extLst>
        </c:ser>
        <c:ser>
          <c:idx val="16"/>
          <c:order val="16"/>
          <c:tx>
            <c:strRef>
              <c:f>z!$E$101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z!$F$101:$AK$101</c:f>
              <c:numCache>
                <c:formatCode>0.00</c:formatCode>
                <c:ptCount val="32"/>
                <c:pt idx="0">
                  <c:v>-0.76380917767737699</c:v>
                </c:pt>
                <c:pt idx="1">
                  <c:v>-0.80014383309956472</c:v>
                </c:pt>
                <c:pt idx="2">
                  <c:v>-0.81912639187109448</c:v>
                </c:pt>
                <c:pt idx="3">
                  <c:v>-0.82090805392898147</c:v>
                </c:pt>
                <c:pt idx="4">
                  <c:v>-0.80640151918331959</c:v>
                </c:pt>
                <c:pt idx="5">
                  <c:v>-0.77711250328182935</c:v>
                </c:pt>
                <c:pt idx="6">
                  <c:v>-0.7349335056727746</c:v>
                </c:pt>
                <c:pt idx="7">
                  <c:v>-0.68195071242005412</c:v>
                </c:pt>
                <c:pt idx="8">
                  <c:v>-0.62028398789437666</c:v>
                </c:pt>
                <c:pt idx="9">
                  <c:v>-0.55196743904084578</c:v>
                </c:pt>
                <c:pt idx="10">
                  <c:v>-0.47886980951705738</c:v>
                </c:pt>
                <c:pt idx="11">
                  <c:v>-0.40264916492449565</c:v>
                </c:pt>
                <c:pt idx="12">
                  <c:v>-0.32473430858548369</c:v>
                </c:pt>
                <c:pt idx="13">
                  <c:v>-0.24632525788437221</c:v>
                </c:pt>
                <c:pt idx="14">
                  <c:v>-0.16840608462742601</c:v>
                </c:pt>
                <c:pt idx="15">
                  <c:v>-9.1764836541718964E-2</c:v>
                </c:pt>
                <c:pt idx="16">
                  <c:v>-1.7016698143912379E-2</c:v>
                </c:pt>
                <c:pt idx="17">
                  <c:v>5.5372199847525394E-2</c:v>
                </c:pt>
                <c:pt idx="18">
                  <c:v>0.125061932634285</c:v>
                </c:pt>
                <c:pt idx="19">
                  <c:v>0.1918177925697151</c:v>
                </c:pt>
                <c:pt idx="20">
                  <c:v>0.25549157280368995</c:v>
                </c:pt>
                <c:pt idx="21">
                  <c:v>0.31600522769070771</c:v>
                </c:pt>
                <c:pt idx="22">
                  <c:v>0.37333683151619113</c:v>
                </c:pt>
                <c:pt idx="23">
                  <c:v>0.42750865916207914</c:v>
                </c:pt>
                <c:pt idx="24">
                  <c:v>0.47857716890642443</c:v>
                </c:pt>
                <c:pt idx="25">
                  <c:v>0.52662465674813141</c:v>
                </c:pt>
                <c:pt idx="26">
                  <c:v>0.57175235956163917</c:v>
                </c:pt>
                <c:pt idx="27">
                  <c:v>0.6140748013327979</c:v>
                </c:pt>
                <c:pt idx="28">
                  <c:v>0.65371519787027488</c:v>
                </c:pt>
                <c:pt idx="29">
                  <c:v>0.69080175700397817</c:v>
                </c:pt>
                <c:pt idx="30">
                  <c:v>0.72546473222190322</c:v>
                </c:pt>
                <c:pt idx="31">
                  <c:v>0.75783410693475162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3F-454D-9965-B3EC0196B4B1}"/>
            </c:ext>
          </c:extLst>
        </c:ser>
        <c:ser>
          <c:idx val="17"/>
          <c:order val="17"/>
          <c:tx>
            <c:strRef>
              <c:f>z!$E$102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z!$F$102:$AK$102</c:f>
              <c:numCache>
                <c:formatCode>0.00</c:formatCode>
                <c:ptCount val="32"/>
                <c:pt idx="0">
                  <c:v>-0.70064258088864406</c:v>
                </c:pt>
                <c:pt idx="1">
                  <c:v>-0.73409561619608432</c:v>
                </c:pt>
                <c:pt idx="2">
                  <c:v>-0.74988844824375178</c:v>
                </c:pt>
                <c:pt idx="3">
                  <c:v>-0.74871803949938531</c:v>
                </c:pt>
                <c:pt idx="4">
                  <c:v>-0.73192931645871262</c:v>
                </c:pt>
                <c:pt idx="5">
                  <c:v>-0.70135787773151215</c:v>
                </c:pt>
                <c:pt idx="6">
                  <c:v>-0.65910863662699271</c:v>
                </c:pt>
                <c:pt idx="7">
                  <c:v>-0.607360528588341</c:v>
                </c:pt>
                <c:pt idx="8">
                  <c:v>-0.54821805541505064</c:v>
                </c:pt>
                <c:pt idx="9">
                  <c:v>-0.48361276316910562</c:v>
                </c:pt>
                <c:pt idx="10">
                  <c:v>-0.41524878393150999</c:v>
                </c:pt>
                <c:pt idx="11">
                  <c:v>-0.34458262245240512</c:v>
                </c:pt>
                <c:pt idx="12">
                  <c:v>-0.27282673314421579</c:v>
                </c:pt>
                <c:pt idx="13">
                  <c:v>-0.20096769343558307</c:v>
                </c:pt>
                <c:pt idx="14">
                  <c:v>-0.12979183984906939</c:v>
                </c:pt>
                <c:pt idx="15">
                  <c:v>-5.9913377309372962E-2</c:v>
                </c:pt>
                <c:pt idx="16">
                  <c:v>8.1981808131015299E-3</c:v>
                </c:pt>
                <c:pt idx="17">
                  <c:v>7.4192974746090101E-2</c:v>
                </c:pt>
                <c:pt idx="18">
                  <c:v>0.13781891895936482</c:v>
                </c:pt>
                <c:pt idx="19">
                  <c:v>0.19890312285553158</c:v>
                </c:pt>
                <c:pt idx="20">
                  <c:v>0.25733640733105467</c:v>
                </c:pt>
                <c:pt idx="21">
                  <c:v>0.31306055035762448</c:v>
                </c:pt>
                <c:pt idx="22">
                  <c:v>0.36605784643151118</c:v>
                </c:pt>
                <c:pt idx="23">
                  <c:v>0.41634258043043992</c:v>
                </c:pt>
                <c:pt idx="24">
                  <c:v>0.46395406295696162</c:v>
                </c:pt>
                <c:pt idx="25">
                  <c:v>0.50895093097191868</c:v>
                </c:pt>
                <c:pt idx="26">
                  <c:v>0.55140647307050372</c:v>
                </c:pt>
                <c:pt idx="27">
                  <c:v>0.5914047877886297</c:v>
                </c:pt>
                <c:pt idx="28">
                  <c:v>0.62903762369503902</c:v>
                </c:pt>
                <c:pt idx="29">
                  <c:v>0.66440178217330725</c:v>
                </c:pt>
                <c:pt idx="30">
                  <c:v>0.69759698852145391</c:v>
                </c:pt>
                <c:pt idx="31">
                  <c:v>0.72872415580294003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3F-454D-9965-B3EC0196B4B1}"/>
            </c:ext>
          </c:extLst>
        </c:ser>
        <c:ser>
          <c:idx val="18"/>
          <c:order val="18"/>
          <c:tx>
            <c:strRef>
              <c:f>z!$E$103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z!$F$103:$AK$103</c:f>
              <c:numCache>
                <c:formatCode>0.00</c:formatCode>
                <c:ptCount val="32"/>
                <c:pt idx="0">
                  <c:v>-0.64319008625246532</c:v>
                </c:pt>
                <c:pt idx="1">
                  <c:v>-0.67389488414004717</c:v>
                </c:pt>
                <c:pt idx="2">
                  <c:v>-0.68688582373854778</c:v>
                </c:pt>
                <c:pt idx="3">
                  <c:v>-0.68327568150228224</c:v>
                </c:pt>
                <c:pt idx="4">
                  <c:v>-0.66471504647225288</c:v>
                </c:pt>
                <c:pt idx="5">
                  <c:v>-0.63326230902660541</c:v>
                </c:pt>
                <c:pt idx="6">
                  <c:v>-0.59115707717882771</c:v>
                </c:pt>
                <c:pt idx="7">
                  <c:v>-0.54062656534181741</c:v>
                </c:pt>
                <c:pt idx="8">
                  <c:v>-0.4837472387475561</c:v>
                </c:pt>
                <c:pt idx="9">
                  <c:v>-0.42236197327572</c:v>
                </c:pt>
                <c:pt idx="10">
                  <c:v>-0.35804352002899442</c:v>
                </c:pt>
                <c:pt idx="11">
                  <c:v>-0.29209175152700162</c:v>
                </c:pt>
                <c:pt idx="12">
                  <c:v>-0.22555247900180042</c:v>
                </c:pt>
                <c:pt idx="13">
                  <c:v>-0.15924777612807972</c:v>
                </c:pt>
                <c:pt idx="14">
                  <c:v>-9.3810476261557696E-2</c:v>
                </c:pt>
                <c:pt idx="15">
                  <c:v>-2.9718086623775619E-2</c:v>
                </c:pt>
                <c:pt idx="16">
                  <c:v>3.2676560433042567E-2</c:v>
                </c:pt>
                <c:pt idx="17">
                  <c:v>9.3119105498695731E-2</c:v>
                </c:pt>
                <c:pt idx="18">
                  <c:v>0.15143212911183923</c:v>
                </c:pt>
                <c:pt idx="19">
                  <c:v>0.20749795212382516</c:v>
                </c:pt>
                <c:pt idx="20">
                  <c:v>0.26124517009895598</c:v>
                </c:pt>
                <c:pt idx="21">
                  <c:v>0.31263824560423537</c:v>
                </c:pt>
                <c:pt idx="22">
                  <c:v>0.36166951311478179</c:v>
                </c:pt>
                <c:pt idx="23">
                  <c:v>0.40835303558806046</c:v>
                </c:pt>
                <c:pt idx="24">
                  <c:v>0.45271985390060721</c:v>
                </c:pt>
                <c:pt idx="25">
                  <c:v>0.49481427078168494</c:v>
                </c:pt>
                <c:pt idx="26">
                  <c:v>0.53469089910662682</c:v>
                </c:pt>
                <c:pt idx="27">
                  <c:v>0.57241227685689289</c:v>
                </c:pt>
                <c:pt idx="28">
                  <c:v>0.6080469073521666</c:v>
                </c:pt>
                <c:pt idx="29">
                  <c:v>0.64166762556383539</c:v>
                </c:pt>
                <c:pt idx="30">
                  <c:v>0.67335022164050073</c:v>
                </c:pt>
                <c:pt idx="31">
                  <c:v>0.70317227384375514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3F-454D-9965-B3EC0196B4B1}"/>
            </c:ext>
          </c:extLst>
        </c:ser>
        <c:ser>
          <c:idx val="19"/>
          <c:order val="19"/>
          <c:tx>
            <c:strRef>
              <c:f>z!$E$104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z!$F$104:$AK$104</c:f>
              <c:numCache>
                <c:formatCode>0.00</c:formatCode>
                <c:ptCount val="32"/>
                <c:pt idx="0">
                  <c:v>-0.59081726443532823</c:v>
                </c:pt>
                <c:pt idx="1">
                  <c:v>-0.61888855431457834</c:v>
                </c:pt>
                <c:pt idx="2">
                  <c:v>-0.62938880361240734</c:v>
                </c:pt>
                <c:pt idx="3">
                  <c:v>-0.62374531110687137</c:v>
                </c:pt>
                <c:pt idx="4">
                  <c:v>-0.60381714779955686</c:v>
                </c:pt>
                <c:pt idx="5">
                  <c:v>-0.57180312654891985</c:v>
                </c:pt>
                <c:pt idx="6">
                  <c:v>-0.53001723915757637</c:v>
                </c:pt>
                <c:pt idx="7">
                  <c:v>-0.48069958419993952</c:v>
                </c:pt>
                <c:pt idx="8">
                  <c:v>-0.42588705443602493</c:v>
                </c:pt>
                <c:pt idx="9">
                  <c:v>-0.36734238460511826</c:v>
                </c:pt>
                <c:pt idx="10">
                  <c:v>-0.30653032184302376</c:v>
                </c:pt>
                <c:pt idx="11">
                  <c:v>-0.24462681387227292</c:v>
                </c:pt>
                <c:pt idx="12">
                  <c:v>-0.18254803919037776</c:v>
                </c:pt>
                <c:pt idx="13">
                  <c:v>-0.12098879241140281</c:v>
                </c:pt>
                <c:pt idx="14">
                  <c:v>-6.0462858418874887E-2</c:v>
                </c:pt>
                <c:pt idx="15">
                  <c:v>-1.3408203680675967E-3</c:v>
                </c:pt>
                <c:pt idx="16">
                  <c:v>5.6117063146343682E-2</c:v>
                </c:pt>
                <c:pt idx="17">
                  <c:v>0.1117337509981553</c:v>
                </c:pt>
                <c:pt idx="18">
                  <c:v>0.16539397098669362</c:v>
                </c:pt>
                <c:pt idx="19">
                  <c:v>0.21702780358623386</c:v>
                </c:pt>
                <c:pt idx="20">
                  <c:v>0.26659845705601093</c:v>
                </c:pt>
                <c:pt idx="21">
                  <c:v>0.31409336522347786</c:v>
                </c:pt>
                <c:pt idx="22">
                  <c:v>0.35951781513055003</c:v>
                </c:pt>
                <c:pt idx="23">
                  <c:v>0.40289043465535634</c:v>
                </c:pt>
                <c:pt idx="24">
                  <c:v>0.4442400047821593</c:v>
                </c:pt>
                <c:pt idx="25">
                  <c:v>0.48360318757656451</c:v>
                </c:pt>
                <c:pt idx="26">
                  <c:v>0.52102286981159374</c:v>
                </c:pt>
                <c:pt idx="27">
                  <c:v>0.55654691020645686</c:v>
                </c:pt>
                <c:pt idx="28">
                  <c:v>0.59022714623102601</c:v>
                </c:pt>
                <c:pt idx="29">
                  <c:v>0.62211856679983413</c:v>
                </c:pt>
                <c:pt idx="30">
                  <c:v>0.65227859293193191</c:v>
                </c:pt>
                <c:pt idx="31">
                  <c:v>0.68076643293779604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3F-454D-9965-B3EC0196B4B1}"/>
            </c:ext>
          </c:extLst>
        </c:ser>
        <c:ser>
          <c:idx val="20"/>
          <c:order val="20"/>
          <c:tx>
            <c:strRef>
              <c:f>z!$E$105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z!$F$105:$AK$105</c:f>
              <c:numCache>
                <c:formatCode>0.00</c:formatCode>
                <c:ptCount val="32"/>
                <c:pt idx="0">
                  <c:v>-0.54297435083450196</c:v>
                </c:pt>
                <c:pt idx="1">
                  <c:v>-0.56851233987575966</c:v>
                </c:pt>
                <c:pt idx="2">
                  <c:v>-0.57677356983254491</c:v>
                </c:pt>
                <c:pt idx="3">
                  <c:v>-0.56941978905156176</c:v>
                </c:pt>
                <c:pt idx="4">
                  <c:v>-0.548443869300419</c:v>
                </c:pt>
                <c:pt idx="5">
                  <c:v>-0.51612186803939863</c:v>
                </c:pt>
                <c:pt idx="6">
                  <c:v>-0.47479561688823502</c:v>
                </c:pt>
                <c:pt idx="7">
                  <c:v>-0.42669024475694428</c:v>
                </c:pt>
                <c:pt idx="8">
                  <c:v>-0.37379312054941494</c:v>
                </c:pt>
                <c:pt idx="9">
                  <c:v>-0.31779202262938178</c:v>
                </c:pt>
                <c:pt idx="10">
                  <c:v>-0.26006023081448504</c:v>
                </c:pt>
                <c:pt idx="11">
                  <c:v>-0.20167365762269185</c:v>
                </c:pt>
                <c:pt idx="12">
                  <c:v>-0.14344643245678412</c:v>
                </c:pt>
                <c:pt idx="13">
                  <c:v>-8.5974339009142753E-2</c:v>
                </c:pt>
                <c:pt idx="14">
                  <c:v>-2.9678820997469657E-2</c:v>
                </c:pt>
                <c:pt idx="15">
                  <c:v>2.5152815654738703E-2</c:v>
                </c:pt>
                <c:pt idx="16">
                  <c:v>7.8333148286757748E-2</c:v>
                </c:pt>
                <c:pt idx="17">
                  <c:v>0.12974695194012398</c:v>
                </c:pt>
                <c:pt idx="18">
                  <c:v>0.17932977509960146</c:v>
                </c:pt>
                <c:pt idx="19">
                  <c:v>0.22705198371664181</c:v>
                </c:pt>
                <c:pt idx="20">
                  <c:v>0.27290729546658454</c:v>
                </c:pt>
                <c:pt idx="21">
                  <c:v>0.31690482553359267</c:v>
                </c:pt>
                <c:pt idx="22">
                  <c:v>0.35906376462224721</c:v>
                </c:pt>
                <c:pt idx="23">
                  <c:v>0.39940995238518795</c:v>
                </c:pt>
                <c:pt idx="24">
                  <c:v>0.4379737608284362</c:v>
                </c:pt>
                <c:pt idx="25">
                  <c:v>0.47478884229068541</c:v>
                </c:pt>
                <c:pt idx="26">
                  <c:v>0.50989141694990359</c:v>
                </c:pt>
                <c:pt idx="27">
                  <c:v>0.54331987220046507</c:v>
                </c:pt>
                <c:pt idx="28">
                  <c:v>0.57511452167369193</c:v>
                </c:pt>
                <c:pt idx="29">
                  <c:v>0.60531742807179434</c:v>
                </c:pt>
                <c:pt idx="30">
                  <c:v>0.63397223404759728</c:v>
                </c:pt>
                <c:pt idx="31">
                  <c:v>0.66112397315132299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3F-454D-9965-B3EC0196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p_atma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max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dz/dp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8</xdr:row>
      <xdr:rowOff>158582</xdr:rowOff>
    </xdr:from>
    <xdr:to>
      <xdr:col>11</xdr:col>
      <xdr:colOff>571500</xdr:colOff>
      <xdr:row>33</xdr:row>
      <xdr:rowOff>24120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595995</xdr:colOff>
      <xdr:row>8</xdr:row>
      <xdr:rowOff>166007</xdr:rowOff>
    </xdr:from>
    <xdr:to>
      <xdr:col>22</xdr:col>
      <xdr:colOff>180975</xdr:colOff>
      <xdr:row>33</xdr:row>
      <xdr:rowOff>31545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208720</xdr:colOff>
      <xdr:row>8</xdr:row>
      <xdr:rowOff>155299</xdr:rowOff>
    </xdr:from>
    <xdr:to>
      <xdr:col>32</xdr:col>
      <xdr:colOff>333375</xdr:colOff>
      <xdr:row>33</xdr:row>
      <xdr:rowOff>20837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381000</xdr:colOff>
      <xdr:row>0</xdr:row>
      <xdr:rowOff>122465</xdr:rowOff>
    </xdr:from>
    <xdr:to>
      <xdr:col>25</xdr:col>
      <xdr:colOff>598714</xdr:colOff>
      <xdr:row>6</xdr:row>
      <xdr:rowOff>108857</xdr:rowOff>
    </xdr:to>
    <xdr:sp macro="[0]!time_compare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02786" y="122465"/>
          <a:ext cx="4503964" cy="1156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time to calc comparison for z factor. 100000 runs</a:t>
          </a:r>
        </a:p>
        <a:p>
          <a:r>
            <a:rPr lang="en-US" sz="1100"/>
            <a:t>z_cor = 0. Beggs Brill. time = 0.1289063</a:t>
          </a:r>
        </a:p>
        <a:p>
          <a:r>
            <a:rPr lang="en-US" sz="1100"/>
            <a:t>z_cor = 1. Dranchuk.  time = 5.355469</a:t>
          </a:r>
        </a:p>
        <a:p>
          <a:r>
            <a:rPr lang="en-US" sz="1100"/>
            <a:t>z_cor = 2. Kareem.  time = 0.25</a:t>
          </a:r>
        </a:p>
        <a:p>
          <a:endParaRPr lang="en-US" sz="1100"/>
        </a:p>
        <a:p>
          <a:r>
            <a:rPr lang="en-US" sz="1100"/>
            <a:t>run macro time_compare and read result in immediate window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290513</xdr:colOff>
          <xdr:row>1</xdr:row>
          <xdr:rowOff>190500</xdr:rowOff>
        </xdr:from>
        <xdr:to>
          <xdr:col>29</xdr:col>
          <xdr:colOff>342900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pvt_dZdp"/>
      <definedName name="unf_pvt_dZdt"/>
      <definedName name="unf_pvt_Zgas_d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CF1F-355D-45E3-BD70-D728E399707B}">
  <sheetPr codeName="Лист1"/>
  <dimension ref="A1:AK107"/>
  <sheetViews>
    <sheetView tabSelected="1" zoomScale="55" zoomScaleNormal="55" workbookViewId="0">
      <selection activeCell="I4" sqref="I4"/>
    </sheetView>
  </sheetViews>
  <sheetFormatPr defaultRowHeight="14.25" x14ac:dyDescent="0.45"/>
  <sheetData>
    <row r="1" spans="1:17" x14ac:dyDescent="0.45">
      <c r="A1" s="7" t="s">
        <v>10</v>
      </c>
      <c r="F1" t="s">
        <v>11</v>
      </c>
      <c r="G1" t="str">
        <f>[1]!unf_version()</f>
        <v>7.38</v>
      </c>
    </row>
    <row r="2" spans="1:17" ht="14.65" thickBot="1" x14ac:dyDescent="0.5">
      <c r="A2" t="s">
        <v>0</v>
      </c>
      <c r="O2" t="s">
        <v>6</v>
      </c>
      <c r="P2">
        <v>0</v>
      </c>
      <c r="Q2" t="s">
        <v>7</v>
      </c>
    </row>
    <row r="3" spans="1:17" x14ac:dyDescent="0.45">
      <c r="K3" s="3" t="s">
        <v>5</v>
      </c>
      <c r="L3" s="4">
        <v>0.75</v>
      </c>
      <c r="P3">
        <v>1</v>
      </c>
      <c r="Q3" t="s">
        <v>8</v>
      </c>
    </row>
    <row r="4" spans="1:17" ht="14.65" thickBot="1" x14ac:dyDescent="0.5">
      <c r="K4" s="5" t="s">
        <v>6</v>
      </c>
      <c r="L4" s="6">
        <v>2</v>
      </c>
      <c r="P4">
        <v>2</v>
      </c>
      <c r="Q4" t="s">
        <v>9</v>
      </c>
    </row>
    <row r="32" ht="18" customHeight="1" x14ac:dyDescent="0.45"/>
    <row r="35" spans="3:37" x14ac:dyDescent="0.45">
      <c r="E35" t="s">
        <v>3</v>
      </c>
      <c r="F35">
        <v>1</v>
      </c>
      <c r="G35">
        <v>10</v>
      </c>
      <c r="H35">
        <v>19</v>
      </c>
      <c r="I35">
        <v>28</v>
      </c>
      <c r="J35">
        <v>37</v>
      </c>
      <c r="K35">
        <v>46</v>
      </c>
      <c r="L35">
        <v>55</v>
      </c>
      <c r="M35">
        <v>64</v>
      </c>
      <c r="N35">
        <v>73</v>
      </c>
      <c r="O35">
        <v>82</v>
      </c>
      <c r="P35">
        <v>91</v>
      </c>
      <c r="Q35">
        <v>100</v>
      </c>
      <c r="R35">
        <v>109</v>
      </c>
      <c r="S35">
        <v>118</v>
      </c>
      <c r="T35">
        <v>127</v>
      </c>
      <c r="U35">
        <v>136</v>
      </c>
      <c r="V35">
        <v>145</v>
      </c>
      <c r="W35">
        <v>154</v>
      </c>
      <c r="X35">
        <v>163</v>
      </c>
      <c r="Y35">
        <v>172</v>
      </c>
      <c r="Z35">
        <v>181</v>
      </c>
      <c r="AA35">
        <v>190</v>
      </c>
      <c r="AB35">
        <v>199</v>
      </c>
      <c r="AC35">
        <v>208</v>
      </c>
      <c r="AD35">
        <v>217</v>
      </c>
      <c r="AE35">
        <v>226</v>
      </c>
      <c r="AF35">
        <v>235</v>
      </c>
      <c r="AG35">
        <v>244</v>
      </c>
      <c r="AH35">
        <v>253</v>
      </c>
      <c r="AI35">
        <v>262</v>
      </c>
      <c r="AJ35">
        <v>271</v>
      </c>
      <c r="AK35">
        <v>280</v>
      </c>
    </row>
    <row r="36" spans="3:37" x14ac:dyDescent="0.45">
      <c r="E36" t="s">
        <v>4</v>
      </c>
      <c r="F36">
        <f t="shared" ref="F36:AK36" si="0">F35/10</f>
        <v>0.1</v>
      </c>
      <c r="G36">
        <f t="shared" si="0"/>
        <v>1</v>
      </c>
      <c r="H36">
        <f t="shared" si="0"/>
        <v>1.9</v>
      </c>
      <c r="I36">
        <f t="shared" si="0"/>
        <v>2.8</v>
      </c>
      <c r="J36">
        <f t="shared" si="0"/>
        <v>3.7</v>
      </c>
      <c r="K36">
        <f t="shared" si="0"/>
        <v>4.5999999999999996</v>
      </c>
      <c r="L36">
        <f t="shared" si="0"/>
        <v>5.5</v>
      </c>
      <c r="M36">
        <f t="shared" si="0"/>
        <v>6.4</v>
      </c>
      <c r="N36">
        <f t="shared" si="0"/>
        <v>7.3</v>
      </c>
      <c r="O36">
        <f t="shared" si="0"/>
        <v>8.1999999999999993</v>
      </c>
      <c r="P36">
        <f t="shared" si="0"/>
        <v>9.1</v>
      </c>
      <c r="Q36">
        <f t="shared" si="0"/>
        <v>10</v>
      </c>
      <c r="R36">
        <f t="shared" si="0"/>
        <v>10.9</v>
      </c>
      <c r="S36">
        <f t="shared" si="0"/>
        <v>11.8</v>
      </c>
      <c r="T36">
        <f t="shared" si="0"/>
        <v>12.7</v>
      </c>
      <c r="U36">
        <f t="shared" si="0"/>
        <v>13.6</v>
      </c>
      <c r="V36">
        <f t="shared" si="0"/>
        <v>14.5</v>
      </c>
      <c r="W36">
        <f t="shared" si="0"/>
        <v>15.4</v>
      </c>
      <c r="X36">
        <f t="shared" si="0"/>
        <v>16.3</v>
      </c>
      <c r="Y36">
        <f t="shared" si="0"/>
        <v>17.2</v>
      </c>
      <c r="Z36">
        <f t="shared" si="0"/>
        <v>18.100000000000001</v>
      </c>
      <c r="AA36">
        <f t="shared" si="0"/>
        <v>19</v>
      </c>
      <c r="AB36">
        <f t="shared" si="0"/>
        <v>19.899999999999999</v>
      </c>
      <c r="AC36">
        <f t="shared" si="0"/>
        <v>20.8</v>
      </c>
      <c r="AD36">
        <f t="shared" si="0"/>
        <v>21.7</v>
      </c>
      <c r="AE36">
        <f t="shared" si="0"/>
        <v>22.6</v>
      </c>
      <c r="AF36">
        <f t="shared" si="0"/>
        <v>23.5</v>
      </c>
      <c r="AG36">
        <f t="shared" si="0"/>
        <v>24.4</v>
      </c>
      <c r="AH36">
        <f t="shared" si="0"/>
        <v>25.3</v>
      </c>
      <c r="AI36">
        <f t="shared" si="0"/>
        <v>26.2</v>
      </c>
      <c r="AJ36">
        <f t="shared" si="0"/>
        <v>27.1</v>
      </c>
      <c r="AK36">
        <f t="shared" si="0"/>
        <v>28</v>
      </c>
    </row>
    <row r="37" spans="3:37" x14ac:dyDescent="0.45">
      <c r="C37" t="s">
        <v>1</v>
      </c>
      <c r="D37" t="s">
        <v>2</v>
      </c>
    </row>
    <row r="38" spans="3:37" x14ac:dyDescent="0.45">
      <c r="C38">
        <v>0</v>
      </c>
      <c r="D38" s="2">
        <f t="shared" ref="D38:D58" si="1">C38+273.15</f>
        <v>273.14999999999998</v>
      </c>
      <c r="E38" t="str">
        <f t="shared" ref="E38:E58" si="2">"t="&amp;C38&amp; " C"</f>
        <v>t=0 C</v>
      </c>
      <c r="F38" s="1" cm="1">
        <f t="array" ref="F38">[1]!unf_pvt_Zgas_d($D38,F$36,gg,zcor)</f>
        <v>0.99606410551854152</v>
      </c>
      <c r="G38" s="1" cm="1">
        <f t="array" ref="G38">[1]!unf_pvt_Zgas_d($D38,G$36,gg,zcor)</f>
        <v>0.9600366326506875</v>
      </c>
      <c r="H38" s="1" cm="1">
        <f t="array" ref="H38">[1]!unf_pvt_Zgas_d($D38,H$36,gg,zcor)</f>
        <v>0.92060017984644638</v>
      </c>
      <c r="I38" s="1" cm="1">
        <f t="array" ref="I38">[1]!unf_pvt_Zgas_d($D38,I$36,gg,zcor)</f>
        <v>0.87618417316362707</v>
      </c>
      <c r="J38" s="1" cm="1">
        <f t="array" ref="J38">[1]!unf_pvt_Zgas_d($D38,J$36,gg,zcor)</f>
        <v>0.82725351253684032</v>
      </c>
      <c r="K38" s="1" cm="1">
        <f t="array" ref="K38">[1]!unf_pvt_Zgas_d($D38,K$36,gg,zcor)</f>
        <v>0.77595193543732133</v>
      </c>
      <c r="L38" s="1" cm="1">
        <f t="array" ref="L38">[1]!unf_pvt_Zgas_d($D38,L$36,gg,zcor)</f>
        <v>0.72537356805933206</v>
      </c>
      <c r="M38" s="1" cm="1">
        <f t="array" ref="M38">[1]!unf_pvt_Zgas_d($D38,M$36,gg,zcor)</f>
        <v>0.67862129963222062</v>
      </c>
      <c r="N38" s="1" cm="1">
        <f t="array" ref="N38">[1]!unf_pvt_Zgas_d($D38,N$36,gg,zcor)</f>
        <v>0.63804885265371525</v>
      </c>
      <c r="O38" s="1" cm="1">
        <f t="array" ref="O38">[1]!unf_pvt_Zgas_d($D38,O$36,gg,zcor)</f>
        <v>0.60495122632795739</v>
      </c>
      <c r="P38" s="1" cm="1">
        <f t="array" ref="P38">[1]!unf_pvt_Zgas_d($D38,P$36,gg,zcor)</f>
        <v>0.57966536953317216</v>
      </c>
      <c r="Q38" s="1" cm="1">
        <f t="array" ref="Q38">[1]!unf_pvt_Zgas_d($D38,Q$36,gg,zcor)</f>
        <v>0.56186475288190352</v>
      </c>
      <c r="R38" s="1" cm="1">
        <f t="array" ref="R38">[1]!unf_pvt_Zgas_d($D38,R$36,gg,zcor)</f>
        <v>0.55085377068346997</v>
      </c>
      <c r="S38" s="1" cm="1">
        <f t="array" ref="S38">[1]!unf_pvt_Zgas_d($D38,S$36,gg,zcor)</f>
        <v>0.54577782294143973</v>
      </c>
      <c r="T38" s="1" cm="1">
        <f t="array" ref="T38">[1]!unf_pvt_Zgas_d($D38,T$36,gg,zcor)</f>
        <v>0.54574916004020468</v>
      </c>
      <c r="U38" s="1" cm="1">
        <f t="array" ref="U38">[1]!unf_pvt_Zgas_d($D38,U$36,gg,zcor)</f>
        <v>0.54991694255853274</v>
      </c>
      <c r="V38" s="1" cm="1">
        <f t="array" ref="V38">[1]!unf_pvt_Zgas_d($D38,V$36,gg,zcor)</f>
        <v>0.55750539007317679</v>
      </c>
      <c r="W38" s="1" cm="1">
        <f t="array" ref="W38">[1]!unf_pvt_Zgas_d($D38,W$36,gg,zcor)</f>
        <v>0.56783287577853547</v>
      </c>
      <c r="X38" s="1" cm="1">
        <f t="array" ref="X38">[1]!unf_pvt_Zgas_d($D38,X$36,gg,zcor)</f>
        <v>0.58031821664212291</v>
      </c>
      <c r="Y38" s="1" cm="1">
        <f t="array" ref="Y38">[1]!unf_pvt_Zgas_d($D38,Y$36,gg,zcor)</f>
        <v>0.5944780888364859</v>
      </c>
      <c r="Z38" s="1" cm="1">
        <f t="array" ref="Z38">[1]!unf_pvt_Zgas_d($D38,Z$36,gg,zcor)</f>
        <v>0.60991882867305858</v>
      </c>
      <c r="AA38" s="1" cm="1">
        <f t="array" ref="AA38">[1]!unf_pvt_Zgas_d($D38,AA$36,gg,zcor)</f>
        <v>0.62632534875557444</v>
      </c>
      <c r="AB38" s="1" cm="1">
        <f t="array" ref="AB38">[1]!unf_pvt_Zgas_d($D38,AB$36,gg,zcor)</f>
        <v>0.64344919733329153</v>
      </c>
      <c r="AC38" s="1" cm="1">
        <f t="array" ref="AC38">[1]!unf_pvt_Zgas_d($D38,AC$36,gg,zcor)</f>
        <v>0.66109706059757445</v>
      </c>
      <c r="AD38" s="1" cm="1">
        <f t="array" ref="AD38">[1]!unf_pvt_Zgas_d($D38,AD$36,gg,zcor)</f>
        <v>0.67912040713782729</v>
      </c>
      <c r="AE38" s="1" cm="1">
        <f t="array" ref="AE38">[1]!unf_pvt_Zgas_d($D38,AE$36,gg,zcor)</f>
        <v>0.6974065549842392</v>
      </c>
      <c r="AF38" s="1" cm="1">
        <f t="array" ref="AF38">[1]!unf_pvt_Zgas_d($D38,AF$36,gg,zcor)</f>
        <v>0.71587118684133599</v>
      </c>
      <c r="AG38" s="1" cm="1">
        <f t="array" ref="AG38">[1]!unf_pvt_Zgas_d($D38,AG$36,gg,zcor)</f>
        <v>0.7344522042539583</v>
      </c>
      <c r="AH38" s="1" cm="1">
        <f t="array" ref="AH38">[1]!unf_pvt_Zgas_d($D38,AH$36,gg,zcor)</f>
        <v>0.75310475343457328</v>
      </c>
      <c r="AI38" s="1" cm="1">
        <f t="array" ref="AI38">[1]!unf_pvt_Zgas_d($D38,AI$36,gg,zcor)</f>
        <v>0.77179724179788212</v>
      </c>
      <c r="AJ38" s="1" cm="1">
        <f t="array" ref="AJ38">[1]!unf_pvt_Zgas_d($D38,AJ$36,gg,zcor)</f>
        <v>0.79050817352644187</v>
      </c>
      <c r="AK38" s="1" cm="1">
        <f t="array" ref="AK38">[1]!unf_pvt_Zgas_d($D38,AK$36,gg,zcor)</f>
        <v>0.8092236519293341</v>
      </c>
    </row>
    <row r="39" spans="3:37" x14ac:dyDescent="0.45">
      <c r="C39">
        <v>10</v>
      </c>
      <c r="D39" s="2">
        <f t="shared" si="1"/>
        <v>283.14999999999998</v>
      </c>
      <c r="E39" t="str">
        <f t="shared" si="2"/>
        <v>t=10 C</v>
      </c>
      <c r="F39" s="1" cm="1">
        <f t="array" ref="F39">[1]!unf_pvt_Zgas_d($D39,F$36,gg,zcor)</f>
        <v>0.99653552702445003</v>
      </c>
      <c r="G39" s="1" cm="1">
        <f t="array" ref="G39">[1]!unf_pvt_Zgas_d($D39,G$36,gg,zcor)</f>
        <v>0.9648168170159841</v>
      </c>
      <c r="H39" s="1" cm="1">
        <f t="array" ref="H39">[1]!unf_pvt_Zgas_d($D39,H$36,gg,zcor)</f>
        <v>0.93044126269483518</v>
      </c>
      <c r="I39" s="1" cm="1">
        <f t="array" ref="I39">unf_pvt_Zgas_d($D39,I$36,gg,zcor)</f>
        <v>0.8922418236589732</v>
      </c>
      <c r="J39" s="1" cm="1">
        <f t="array" ref="J39">[1]!unf_pvt_Zgas_d($D39,J$36,gg,zcor)</f>
        <v>0.85050145692937917</v>
      </c>
      <c r="K39" s="1" cm="1">
        <f t="array" ref="K39">[1]!unf_pvt_Zgas_d($D39,K$36,gg,zcor)</f>
        <v>0.80670751816342556</v>
      </c>
      <c r="L39" s="1" cm="1">
        <f t="array" ref="L39">[1]!unf_pvt_Zgas_d($D39,L$36,gg,zcor)</f>
        <v>0.76308731772373772</v>
      </c>
      <c r="M39" s="1" cm="1">
        <f t="array" ref="M39">[1]!unf_pvt_Zgas_d($D39,M$36,gg,zcor)</f>
        <v>0.72200134400770999</v>
      </c>
      <c r="N39" s="1" cm="1">
        <f t="array" ref="N39">[1]!unf_pvt_Zgas_d($D39,N$36,gg,zcor)</f>
        <v>0.68540925764275562</v>
      </c>
      <c r="O39" s="1" cm="1">
        <f t="array" ref="O39">[1]!unf_pvt_Zgas_d($D39,O$36,gg,zcor)</f>
        <v>0.65458028092827703</v>
      </c>
      <c r="P39" s="1" cm="1">
        <f t="array" ref="P39">[1]!unf_pvt_Zgas_d($D39,P$36,gg,zcor)</f>
        <v>0.63006868443921615</v>
      </c>
      <c r="Q39" s="1" cm="1">
        <f t="array" ref="Q39">[1]!unf_pvt_Zgas_d($D39,Q$36,gg,zcor)</f>
        <v>0.6118576737125635</v>
      </c>
      <c r="R39" s="1" cm="1">
        <f t="array" ref="R39">[1]!unf_pvt_Zgas_d($D39,R$36,gg,zcor)</f>
        <v>0.59955417929674848</v>
      </c>
      <c r="S39" s="1" cm="1">
        <f t="array" ref="S39">[1]!unf_pvt_Zgas_d($D39,S$36,gg,zcor)</f>
        <v>0.59255978010159638</v>
      </c>
      <c r="T39" s="1" cm="1">
        <f t="array" ref="T39">[1]!unf_pvt_Zgas_d($D39,T$36,gg,zcor)</f>
        <v>0.59019287716710911</v>
      </c>
      <c r="U39" s="1" cm="1">
        <f t="array" ref="U39">[1]!unf_pvt_Zgas_d($D39,U$36,gg,zcor)</f>
        <v>0.59176610981213962</v>
      </c>
      <c r="V39" s="1" cm="1">
        <f t="array" ref="V39">[1]!unf_pvt_Zgas_d($D39,V$36,gg,zcor)</f>
        <v>0.59663149958485195</v>
      </c>
      <c r="W39" s="1" cm="1">
        <f t="array" ref="W39">[1]!unf_pvt_Zgas_d($D39,W$36,gg,zcor)</f>
        <v>0.60420439543301407</v>
      </c>
      <c r="X39" s="1" cm="1">
        <f t="array" ref="X39">[1]!unf_pvt_Zgas_d($D39,X$36,gg,zcor)</f>
        <v>0.61397379457054069</v>
      </c>
      <c r="Y39" s="1" cm="1">
        <f t="array" ref="Y39">[1]!unf_pvt_Zgas_d($D39,Y$36,gg,zcor)</f>
        <v>0.62550396069338943</v>
      </c>
      <c r="Z39" s="1" cm="1">
        <f t="array" ref="Z39">[1]!unf_pvt_Zgas_d($D39,Z$36,gg,zcor)</f>
        <v>0.63843067576740187</v>
      </c>
      <c r="AA39" s="1" cm="1">
        <f t="array" ref="AA39">[1]!unf_pvt_Zgas_d($D39,AA$36,gg,zcor)</f>
        <v>0.65245448395356576</v>
      </c>
      <c r="AB39" s="1" cm="1">
        <f t="array" ref="AB39">[1]!unf_pvt_Zgas_d($D39,AB$36,gg,zcor)</f>
        <v>0.66733258360754932</v>
      </c>
      <c r="AC39" s="1" cm="1">
        <f t="array" ref="AC39">[1]!unf_pvt_Zgas_d($D39,AC$36,gg,zcor)</f>
        <v>0.68287047003697687</v>
      </c>
      <c r="AD39" s="1" cm="1">
        <f t="array" ref="AD39">[1]!unf_pvt_Zgas_d($D39,AD$36,gg,zcor)</f>
        <v>0.69891400126905545</v>
      </c>
      <c r="AE39" s="1" cm="1">
        <f t="array" ref="AE39">[1]!unf_pvt_Zgas_d($D39,AE$36,gg,zcor)</f>
        <v>0.71534224457842932</v>
      </c>
      <c r="AF39" s="1" cm="1">
        <f t="array" ref="AF39">[1]!unf_pvt_Zgas_d($D39,AF$36,gg,zcor)</f>
        <v>0.73206124892666435</v>
      </c>
      <c r="AG39" s="1" cm="1">
        <f t="array" ref="AG39">[1]!unf_pvt_Zgas_d($D39,AG$36,gg,zcor)</f>
        <v>0.74899875645128322</v>
      </c>
      <c r="AH39" s="1" cm="1">
        <f t="array" ref="AH39">[1]!unf_pvt_Zgas_d($D39,AH$36,gg,zcor)</f>
        <v>0.76609979215283619</v>
      </c>
      <c r="AI39" s="1" cm="1">
        <f t="array" ref="AI39">[1]!unf_pvt_Zgas_d($D39,AI$36,gg,zcor)</f>
        <v>0.78332303552228466</v>
      </c>
      <c r="AJ39" s="1" cm="1">
        <f t="array" ref="AJ39">[1]!unf_pvt_Zgas_d($D39,AJ$36,gg,zcor)</f>
        <v>0.80063786629001488</v>
      </c>
      <c r="AK39" s="1" cm="1">
        <f t="array" ref="AK39">[1]!unf_pvt_Zgas_d($D39,AK$36,gg,zcor)</f>
        <v>0.81802197853260483</v>
      </c>
    </row>
    <row r="40" spans="3:37" x14ac:dyDescent="0.45">
      <c r="C40">
        <v>20</v>
      </c>
      <c r="D40" s="2">
        <f t="shared" si="1"/>
        <v>293.14999999999998</v>
      </c>
      <c r="E40" t="str">
        <f t="shared" si="2"/>
        <v>t=20 C</v>
      </c>
      <c r="F40" s="1" cm="1">
        <f t="array" ref="F40">[1]!unf_pvt_Zgas_d($D40,F$36,gg,zcor)</f>
        <v>0.99693551640595557</v>
      </c>
      <c r="G40" s="1" cm="1">
        <f t="array" ref="G40">[1]!unf_pvt_Zgas_d($D40,G$36,gg,zcor)</f>
        <v>0.96886647255917158</v>
      </c>
      <c r="H40" s="1" cm="1">
        <f t="array" ref="H40">[1]!unf_pvt_Zgas_d($D40,H$36,gg,zcor)</f>
        <v>0.9386961444709564</v>
      </c>
      <c r="I40" s="1" cm="1">
        <f t="array" ref="I40">[1]!unf_pvt_Zgas_d($D40,I$36,gg,zcor)</f>
        <v>0.90557231694514306</v>
      </c>
      <c r="J40" s="1" cm="1">
        <f t="array" ref="J40">[1]!unf_pvt_Zgas_d($D40,J$36,gg,zcor)</f>
        <v>0.86968587039063161</v>
      </c>
      <c r="K40" s="1" cm="1">
        <f t="array" ref="K40">[1]!unf_pvt_Zgas_d($D40,K$36,gg,zcor)</f>
        <v>0.83209798721289474</v>
      </c>
      <c r="L40" s="1" cm="1">
        <f t="array" ref="L40">[1]!unf_pvt_Zgas_d($D40,L$36,gg,zcor)</f>
        <v>0.7944337967323124</v>
      </c>
      <c r="M40" s="1" cm="1">
        <f t="array" ref="M40">[1]!unf_pvt_Zgas_d($D40,M$36,gg,zcor)</f>
        <v>0.75848339123897912</v>
      </c>
      <c r="N40" s="1" cm="1">
        <f t="array" ref="N40">[1]!unf_pvt_Zgas_d($D40,N$36,gg,zcor)</f>
        <v>0.72583008888862999</v>
      </c>
      <c r="O40" s="1" cm="1">
        <f t="array" ref="O40">[1]!unf_pvt_Zgas_d($D40,O$36,gg,zcor)</f>
        <v>0.69761338092089742</v>
      </c>
      <c r="P40" s="1" cm="1">
        <f t="array" ref="P40">[1]!unf_pvt_Zgas_d($D40,P$36,gg,zcor)</f>
        <v>0.67445863480177204</v>
      </c>
      <c r="Q40" s="1" cm="1">
        <f t="array" ref="Q40">[1]!unf_pvt_Zgas_d($D40,Q$36,gg,zcor)</f>
        <v>0.65653409413167751</v>
      </c>
      <c r="R40" s="1" cm="1">
        <f t="array" ref="R40">[1]!unf_pvt_Zgas_d($D40,R$36,gg,zcor)</f>
        <v>0.6436686786515502</v>
      </c>
      <c r="S40" s="1" cm="1">
        <f t="array" ref="S40">[1]!unf_pvt_Zgas_d($D40,S$36,gg,zcor)</f>
        <v>0.6354763110345788</v>
      </c>
      <c r="T40" s="1" cm="1">
        <f t="array" ref="T40">[1]!unf_pvt_Zgas_d($D40,T$36,gg,zcor)</f>
        <v>0.63145845743851781</v>
      </c>
      <c r="U40" s="1" cm="1">
        <f t="array" ref="U40">[1]!unf_pvt_Zgas_d($D40,U$36,gg,zcor)</f>
        <v>0.63107747373651957</v>
      </c>
      <c r="V40" s="1" cm="1">
        <f t="array" ref="V40">[1]!unf_pvt_Zgas_d($D40,V$36,gg,zcor)</f>
        <v>0.63380403349632952</v>
      </c>
      <c r="W40" s="1" cm="1">
        <f t="array" ref="W40">[1]!unf_pvt_Zgas_d($D40,W$36,gg,zcor)</f>
        <v>0.63914504478971745</v>
      </c>
      <c r="X40" s="1" cm="1">
        <f t="array" ref="X40">[1]!unf_pvt_Zgas_d($D40,X$36,gg,zcor)</f>
        <v>0.64665804925638493</v>
      </c>
      <c r="Y40" s="1" cm="1">
        <f t="array" ref="Y40">[1]!unf_pvt_Zgas_d($D40,Y$36,gg,zcor)</f>
        <v>0.65595670952798724</v>
      </c>
      <c r="Z40" s="1" cm="1">
        <f t="array" ref="Z40">[1]!unf_pvt_Zgas_d($D40,Z$36,gg,zcor)</f>
        <v>0.66671068035507908</v>
      </c>
      <c r="AA40" s="1" cm="1">
        <f t="array" ref="AA40">[1]!unf_pvt_Zgas_d($D40,AA$36,gg,zcor)</f>
        <v>0.67864215962502095</v>
      </c>
      <c r="AB40" s="1" cm="1">
        <f t="array" ref="AB40">[1]!unf_pvt_Zgas_d($D40,AB$36,gg,zcor)</f>
        <v>0.69152069003900274</v>
      </c>
      <c r="AC40" s="1" cm="1">
        <f t="array" ref="AC40">[1]!unf_pvt_Zgas_d($D40,AC$36,gg,zcor)</f>
        <v>0.70515725546468599</v>
      </c>
      <c r="AD40" s="1" cm="1">
        <f t="array" ref="AD40">[1]!unf_pvt_Zgas_d($D40,AD$36,gg,zcor)</f>
        <v>0.71939833393251851</v>
      </c>
      <c r="AE40" s="1" cm="1">
        <f t="array" ref="AE40">[1]!unf_pvt_Zgas_d($D40,AE$36,gg,zcor)</f>
        <v>0.7341202972308013</v>
      </c>
      <c r="AF40" s="1" cm="1">
        <f t="array" ref="AF40">[1]!unf_pvt_Zgas_d($D40,AF$36,gg,zcor)</f>
        <v>0.74922435997345804</v>
      </c>
      <c r="AG40" s="1" cm="1">
        <f t="array" ref="AG40">[1]!unf_pvt_Zgas_d($D40,AG$36,gg,zcor)</f>
        <v>0.76463215823849207</v>
      </c>
      <c r="AH40" s="1" cm="1">
        <f t="array" ref="AH40">[1]!unf_pvt_Zgas_d($D40,AH$36,gg,zcor)</f>
        <v>0.78028196197531152</v>
      </c>
      <c r="AI40" s="1" cm="1">
        <f t="array" ref="AI40">[1]!unf_pvt_Zgas_d($D40,AI$36,gg,zcor)</f>
        <v>0.79612548215250434</v>
      </c>
      <c r="AJ40" s="1" cm="1">
        <f t="array" ref="AJ40">[1]!unf_pvt_Zgas_d($D40,AJ$36,gg,zcor)</f>
        <v>0.81212521210914068</v>
      </c>
      <c r="AK40" s="1" cm="1">
        <f t="array" ref="AK40">[1]!unf_pvt_Zgas_d($D40,AK$36,gg,zcor)</f>
        <v>0.82825223477796028</v>
      </c>
    </row>
    <row r="41" spans="3:37" x14ac:dyDescent="0.45">
      <c r="C41">
        <v>30</v>
      </c>
      <c r="D41" s="2">
        <f t="shared" si="1"/>
        <v>303.14999999999998</v>
      </c>
      <c r="E41" t="str">
        <f t="shared" si="2"/>
        <v>t=30 C</v>
      </c>
      <c r="F41" s="1" cm="1">
        <f t="array" ref="F41">[1]!unf_pvt_Zgas_d($D41,F$36,gg,zcor)</f>
        <v>0.99727707717172853</v>
      </c>
      <c r="G41" s="1" cm="1">
        <f t="array" ref="G41">[1]!unf_pvt_Zgas_d($D41,G$36,gg,zcor)</f>
        <v>0.9723211640175069</v>
      </c>
      <c r="H41" s="1" cm="1">
        <f t="array" ref="H41">[1]!unf_pvt_Zgas_d($D41,H$36,gg,zcor)</f>
        <v>0.94567911193583287</v>
      </c>
      <c r="I41" s="1" cm="1">
        <f t="array" ref="I41">[1]!unf_pvt_Zgas_d($D41,I$36,gg,zcor)</f>
        <v>0.91674317678871209</v>
      </c>
      <c r="J41" s="1" cm="1">
        <f t="array" ref="J41">[1]!unf_pvt_Zgas_d($D41,J$36,gg,zcor)</f>
        <v>0.88566140980360653</v>
      </c>
      <c r="K41" s="1" cm="1">
        <f t="array" ref="K41">[1]!unf_pvt_Zgas_d($D41,K$36,gg,zcor)</f>
        <v>0.8532141825488746</v>
      </c>
      <c r="L41" s="1" cm="1">
        <f t="array" ref="L41">[1]!unf_pvt_Zgas_d($D41,L$36,gg,zcor)</f>
        <v>0.82060620866235146</v>
      </c>
      <c r="M41" s="1" cm="1">
        <f t="array" ref="M41">[1]!unf_pvt_Zgas_d($D41,M$36,gg,zcor)</f>
        <v>0.78919876034808722</v>
      </c>
      <c r="N41" s="1" cm="1">
        <f t="array" ref="N41">[1]!unf_pvt_Zgas_d($D41,N$36,gg,zcor)</f>
        <v>0.76025121857498923</v>
      </c>
      <c r="O41" s="1" cm="1">
        <f t="array" ref="O41">[1]!unf_pvt_Zgas_d($D41,O$36,gg,zcor)</f>
        <v>0.73473851050973105</v>
      </c>
      <c r="P41" s="1" cm="1">
        <f t="array" ref="P41">[1]!unf_pvt_Zgas_d($D41,P$36,gg,zcor)</f>
        <v>0.71327267806687689</v>
      </c>
      <c r="Q41" s="1" cm="1">
        <f t="array" ref="Q41">[1]!unf_pvt_Zgas_d($D41,Q$36,gg,zcor)</f>
        <v>0.69611469884661725</v>
      </c>
      <c r="R41" s="1" cm="1">
        <f t="array" ref="R41">[1]!unf_pvt_Zgas_d($D41,R$36,gg,zcor)</f>
        <v>0.68324047247908315</v>
      </c>
      <c r="S41" s="1" cm="1">
        <f t="array" ref="S41">[1]!unf_pvt_Zgas_d($D41,S$36,gg,zcor)</f>
        <v>0.67442511903851232</v>
      </c>
      <c r="T41" s="1" cm="1">
        <f t="array" ref="T41">[1]!unf_pvt_Zgas_d($D41,T$36,gg,zcor)</f>
        <v>0.66932179925255975</v>
      </c>
      <c r="U41" s="1" cm="1">
        <f t="array" ref="U41">[1]!unf_pvt_Zgas_d($D41,U$36,gg,zcor)</f>
        <v>0.66752432090845182</v>
      </c>
      <c r="V41" s="1" cm="1">
        <f t="array" ref="V41">[1]!unf_pvt_Zgas_d($D41,V$36,gg,zcor)</f>
        <v>0.66861166571944641</v>
      </c>
      <c r="W41" s="1" cm="1">
        <f t="array" ref="W41">[1]!unf_pvt_Zgas_d($D41,W$36,gg,zcor)</f>
        <v>0.67217686553534994</v>
      </c>
      <c r="X41" s="1" cm="1">
        <f t="array" ref="X41">[1]!unf_pvt_Zgas_d($D41,X$36,gg,zcor)</f>
        <v>0.67784392233380442</v>
      </c>
      <c r="Y41" s="1" cm="1">
        <f t="array" ref="Y41">[1]!unf_pvt_Zgas_d($D41,Y$36,gg,zcor)</f>
        <v>0.68527627037637096</v>
      </c>
      <c r="Z41" s="1" cm="1">
        <f t="array" ref="Z41">[1]!unf_pvt_Zgas_d($D41,Z$36,gg,zcor)</f>
        <v>0.69417959457751854</v>
      </c>
      <c r="AA41" s="1" cm="1">
        <f t="array" ref="AA41">[1]!unf_pvt_Zgas_d($D41,AA$36,gg,zcor)</f>
        <v>0.7043010958402407</v>
      </c>
      <c r="AB41" s="1" cm="1">
        <f t="array" ref="AB41">[1]!unf_pvt_Zgas_d($D41,AB$36,gg,zcor)</f>
        <v>0.71542668458386227</v>
      </c>
      <c r="AC41" s="1" cm="1">
        <f t="array" ref="AC41">[1]!unf_pvt_Zgas_d($D41,AC$36,gg,zcor)</f>
        <v>0.72737711338193367</v>
      </c>
      <c r="AD41" s="1" cm="1">
        <f t="array" ref="AD41">[1]!unf_pvt_Zgas_d($D41,AD$36,gg,zcor)</f>
        <v>0.74000371233267337</v>
      </c>
      <c r="AE41" s="1" cm="1">
        <f t="array" ref="AE41">[1]!unf_pvt_Zgas_d($D41,AE$36,gg,zcor)</f>
        <v>0.7531841419261015</v>
      </c>
      <c r="AF41" s="1" cm="1">
        <f t="array" ref="AF41">[1]!unf_pvt_Zgas_d($D41,AF$36,gg,zcor)</f>
        <v>0.76681840485261854</v>
      </c>
      <c r="AG41" s="1" cm="1">
        <f t="array" ref="AG41">[1]!unf_pvt_Zgas_d($D41,AG$36,gg,zcor)</f>
        <v>0.78082524128139508</v>
      </c>
      <c r="AH41" s="1" cm="1">
        <f t="array" ref="AH41">[1]!unf_pvt_Zgas_d($D41,AH$36,gg,zcor)</f>
        <v>0.79513895624998621</v>
      </c>
      <c r="AI41" s="1" cm="1">
        <f t="array" ref="AI41">[1]!unf_pvt_Zgas_d($D41,AI$36,gg,zcor)</f>
        <v>0.80970668093817155</v>
      </c>
      <c r="AJ41" s="1" cm="1">
        <f t="array" ref="AJ41">[1]!unf_pvt_Zgas_d($D41,AJ$36,gg,zcor)</f>
        <v>0.8244860426345838</v>
      </c>
      <c r="AK41" s="1" cm="1">
        <f t="array" ref="AK41">[1]!unf_pvt_Zgas_d($D41,AK$36,gg,zcor)</f>
        <v>0.83944320443709497</v>
      </c>
    </row>
    <row r="42" spans="3:37" x14ac:dyDescent="0.45">
      <c r="C42">
        <v>40</v>
      </c>
      <c r="D42" s="2">
        <f t="shared" si="1"/>
        <v>313.14999999999998</v>
      </c>
      <c r="E42" t="str">
        <f t="shared" si="2"/>
        <v>t=40 C</v>
      </c>
      <c r="F42" s="1" cm="1">
        <f t="array" ref="F42">[1]!unf_pvt_Zgas_d($D42,F$36,gg,zcor)</f>
        <v>0.99757057890414824</v>
      </c>
      <c r="G42" s="1" cm="1">
        <f t="array" ref="G42">[1]!unf_pvt_Zgas_d($D42,G$36,gg,zcor)</f>
        <v>0.97528811546508876</v>
      </c>
      <c r="H42" s="1" cm="1">
        <f t="array" ref="H42">[1]!unf_pvt_Zgas_d($D42,H$36,gg,zcor)</f>
        <v>0.95163333587598475</v>
      </c>
      <c r="I42" s="1" cm="1">
        <f t="array" ref="I42">[1]!unf_pvt_Zgas_d($D42,I$36,gg,zcor)</f>
        <v>0.92618773835431623</v>
      </c>
      <c r="J42" s="1" cm="1">
        <f t="array" ref="J42">[1]!unf_pvt_Zgas_d($D42,J$36,gg,zcor)</f>
        <v>0.89908304640219017</v>
      </c>
      <c r="K42" s="1" cm="1">
        <f t="array" ref="K42">[1]!unf_pvt_Zgas_d($D42,K$36,gg,zcor)</f>
        <v>0.8709118286681411</v>
      </c>
      <c r="L42" s="1" cm="1">
        <f t="array" ref="L42">[1]!unf_pvt_Zgas_d($D42,L$36,gg,zcor)</f>
        <v>0.84258291869600488</v>
      </c>
      <c r="M42" s="1" cm="1">
        <f t="array" ref="M42">[1]!unf_pvt_Zgas_d($D42,M$36,gg,zcor)</f>
        <v>0.81513822826515447</v>
      </c>
      <c r="N42" s="1" cm="1">
        <f t="array" ref="N42">[1]!unf_pvt_Zgas_d($D42,N$36,gg,zcor)</f>
        <v>0.78957235431766082</v>
      </c>
      <c r="O42" s="1" cm="1">
        <f t="array" ref="O42">[1]!unf_pvt_Zgas_d($D42,O$36,gg,zcor)</f>
        <v>0.76669630923674159</v>
      </c>
      <c r="P42" s="1" cm="1">
        <f t="array" ref="P42">[1]!unf_pvt_Zgas_d($D42,P$36,gg,zcor)</f>
        <v>0.74706660091508559</v>
      </c>
      <c r="Q42" s="1" cm="1">
        <f t="array" ref="Q42">[1]!unf_pvt_Zgas_d($D42,Q$36,gg,zcor)</f>
        <v>0.73097633305255938</v>
      </c>
      <c r="R42" s="1" cm="1">
        <f t="array" ref="R42">[1]!unf_pvt_Zgas_d($D42,R$36,gg,zcor)</f>
        <v>0.7184892341677479</v>
      </c>
      <c r="S42" s="1" cm="1">
        <f t="array" ref="S42">[1]!unf_pvt_Zgas_d($D42,S$36,gg,zcor)</f>
        <v>0.70949409900972649</v>
      </c>
      <c r="T42" s="1" cm="1">
        <f t="array" ref="T42">[1]!unf_pvt_Zgas_d($D42,T$36,gg,zcor)</f>
        <v>0.70376201324329513</v>
      </c>
      <c r="U42" s="1" cm="1">
        <f t="array" ref="U42">[1]!unf_pvt_Zgas_d($D42,U$36,gg,zcor)</f>
        <v>0.70099617672842129</v>
      </c>
      <c r="V42" s="1" cm="1">
        <f t="array" ref="V42">[1]!unf_pvt_Zgas_d($D42,V$36,gg,zcor)</f>
        <v>0.70087039996436873</v>
      </c>
      <c r="W42" s="1" cm="1">
        <f t="array" ref="W42">[1]!unf_pvt_Zgas_d($D42,W$36,gg,zcor)</f>
        <v>0.7030562248450738</v>
      </c>
      <c r="X42" s="1" cm="1">
        <f t="array" ref="X42">[1]!unf_pvt_Zgas_d($D42,X$36,gg,zcor)</f>
        <v>0.70724042790676067</v>
      </c>
      <c r="Y42" s="1" cm="1">
        <f t="array" ref="Y42">[1]!unf_pvt_Zgas_d($D42,Y$36,gg,zcor)</f>
        <v>0.71313516421583534</v>
      </c>
      <c r="Z42" s="1" cm="1">
        <f t="array" ref="Z42">[1]!unf_pvt_Zgas_d($D42,Z$36,gg,zcor)</f>
        <v>0.72048286038240983</v>
      </c>
      <c r="AA42" s="1" cm="1">
        <f t="array" ref="AA42">[1]!unf_pvt_Zgas_d($D42,AA$36,gg,zcor)</f>
        <v>0.72905757655619652</v>
      </c>
      <c r="AB42" s="1" cm="1">
        <f t="array" ref="AB42">[1]!unf_pvt_Zgas_d($D42,AB$36,gg,zcor)</f>
        <v>0.73866413702607536</v>
      </c>
      <c r="AC42" s="1" cm="1">
        <f t="array" ref="AC42">[1]!unf_pvt_Zgas_d($D42,AC$36,gg,zcor)</f>
        <v>0.74913596168602625</v>
      </c>
      <c r="AD42" s="1" cm="1">
        <f t="array" ref="AD42">[1]!unf_pvt_Zgas_d($D42,AD$36,gg,zcor)</f>
        <v>0.76033223918920545</v>
      </c>
      <c r="AE42" s="1" cm="1">
        <f t="array" ref="AE42">[1]!unf_pvt_Zgas_d($D42,AE$36,gg,zcor)</f>
        <v>0.77213486404575871</v>
      </c>
      <c r="AF42" s="1" cm="1">
        <f t="array" ref="AF42">[1]!unf_pvt_Zgas_d($D42,AF$36,gg,zcor)</f>
        <v>0.78444540233742543</v>
      </c>
      <c r="AG42" s="1" cm="1">
        <f t="array" ref="AG42">[1]!unf_pvt_Zgas_d($D42,AG$36,gg,zcor)</f>
        <v>0.79718224079502453</v>
      </c>
      <c r="AH42" s="1" cm="1">
        <f t="array" ref="AH42">[1]!unf_pvt_Zgas_d($D42,AH$36,gg,zcor)</f>
        <v>0.8102779997393752</v>
      </c>
      <c r="AI42" s="1" cm="1">
        <f t="array" ref="AI42">[1]!unf_pvt_Zgas_d($D42,AI$36,gg,zcor)</f>
        <v>0.82367724201174486</v>
      </c>
      <c r="AJ42" s="1" cm="1">
        <f t="array" ref="AJ42">[1]!unf_pvt_Zgas_d($D42,AJ$36,gg,zcor)</f>
        <v>0.83733447988594389</v>
      </c>
      <c r="AK42" s="1" cm="1">
        <f t="array" ref="AK42">[1]!unf_pvt_Zgas_d($D42,AK$36,gg,zcor)</f>
        <v>0.85121246433608477</v>
      </c>
    </row>
    <row r="43" spans="3:37" x14ac:dyDescent="0.45">
      <c r="C43">
        <v>50</v>
      </c>
      <c r="D43" s="2">
        <f t="shared" si="1"/>
        <v>323.14999999999998</v>
      </c>
      <c r="E43" t="str">
        <f t="shared" si="2"/>
        <v>t=50 C</v>
      </c>
      <c r="F43" s="1" cm="1">
        <f t="array" ref="F43">[1]!unf_pvt_Zgas_d($D43,F$36,gg,zcor)</f>
        <v>0.99782431061305232</v>
      </c>
      <c r="G43" s="1" cm="1">
        <f t="array" ref="G43">[1]!unf_pvt_Zgas_d($D43,G$36,gg,zcor)</f>
        <v>0.97785249947415231</v>
      </c>
      <c r="H43" s="1" cm="1">
        <f t="array" ref="H43">[1]!unf_pvt_Zgas_d($D43,H$36,gg,zcor)</f>
        <v>0.95674839440460657</v>
      </c>
      <c r="I43" s="1" cm="1">
        <f t="array" ref="I43">[1]!unf_pvt_Zgas_d($D43,I$36,gg,zcor)</f>
        <v>0.93423958348858727</v>
      </c>
      <c r="J43" s="1" cm="1">
        <f t="array" ref="J43">[1]!unf_pvt_Zgas_d($D43,J$36,gg,zcor)</f>
        <v>0.9104551409331747</v>
      </c>
      <c r="K43" s="1" cm="1">
        <f t="array" ref="K43">[1]!unf_pvt_Zgas_d($D43,K$36,gg,zcor)</f>
        <v>0.88586011184055757</v>
      </c>
      <c r="L43" s="1" cm="1">
        <f t="array" ref="L43">[1]!unf_pvt_Zgas_d($D43,L$36,gg,zcor)</f>
        <v>0.86115305197967451</v>
      </c>
      <c r="M43" s="1" cm="1">
        <f t="array" ref="M43">[1]!unf_pvt_Zgas_d($D43,M$36,gg,zcor)</f>
        <v>0.83713860933326578</v>
      </c>
      <c r="N43" s="1" cm="1">
        <f t="array" ref="N43">[1]!unf_pvt_Zgas_d($D43,N$36,gg,zcor)</f>
        <v>0.8146008720192508</v>
      </c>
      <c r="O43" s="1" cm="1">
        <f t="array" ref="O43">[1]!unf_pvt_Zgas_d($D43,O$36,gg,zcor)</f>
        <v>0.79420338199028817</v>
      </c>
      <c r="P43" s="1" cm="1">
        <f t="array" ref="P43">[1]!unf_pvt_Zgas_d($D43,P$36,gg,zcor)</f>
        <v>0.77643069154875943</v>
      </c>
      <c r="Q43" s="1" cm="1">
        <f t="array" ref="Q43">[1]!unf_pvt_Zgas_d($D43,Q$36,gg,zcor)</f>
        <v>0.76157195908072461</v>
      </c>
      <c r="R43" s="1" cm="1">
        <f t="array" ref="R43">[1]!unf_pvt_Zgas_d($D43,R$36,gg,zcor)</f>
        <v>0.74973660397896413</v>
      </c>
      <c r="S43" s="1" cm="1">
        <f t="array" ref="S43">[1]!unf_pvt_Zgas_d($D43,S$36,gg,zcor)</f>
        <v>0.74088824772873041</v>
      </c>
      <c r="T43" s="1" cm="1">
        <f t="array" ref="T43">[1]!unf_pvt_Zgas_d($D43,T$36,gg,zcor)</f>
        <v>0.73488471240257958</v>
      </c>
      <c r="U43" s="1" cm="1">
        <f t="array" ref="U43">[1]!unf_pvt_Zgas_d($D43,U$36,gg,zcor)</f>
        <v>0.73151582196624265</v>
      </c>
      <c r="V43" s="1" cm="1">
        <f t="array" ref="V43">[1]!unf_pvt_Zgas_d($D43,V$36,gg,zcor)</f>
        <v>0.73053478971620955</v>
      </c>
      <c r="W43" s="1" cm="1">
        <f t="array" ref="W43">[1]!unf_pvt_Zgas_d($D43,W$36,gg,zcor)</f>
        <v>0.73168194180489099</v>
      </c>
      <c r="X43" s="1" cm="1">
        <f t="array" ref="X43">[1]!unf_pvt_Zgas_d($D43,X$36,gg,zcor)</f>
        <v>0.73470125068655445</v>
      </c>
      <c r="Y43" s="1" cm="1">
        <f t="array" ref="Y43">[1]!unf_pvt_Zgas_d($D43,Y$36,gg,zcor)</f>
        <v>0.73935091616134074</v>
      </c>
      <c r="Z43" s="1" cm="1">
        <f t="array" ref="Z43">[1]!unf_pvt_Zgas_d($D43,Z$36,gg,zcor)</f>
        <v>0.74540940527733968</v>
      </c>
      <c r="AA43" s="1" cm="1">
        <f t="array" ref="AA43">[1]!unf_pvt_Zgas_d($D43,AA$36,gg,zcor)</f>
        <v>0.7526782388876011</v>
      </c>
      <c r="AB43" s="1" cm="1">
        <f t="array" ref="AB43">[1]!unf_pvt_Zgas_d($D43,AB$36,gg,zcor)</f>
        <v>0.7609825768148758</v>
      </c>
      <c r="AC43" s="1" cm="1">
        <f t="array" ref="AC43">[1]!unf_pvt_Zgas_d($D43,AC$36,gg,zcor)</f>
        <v>0.77017040356288791</v>
      </c>
      <c r="AD43" s="1" cm="1">
        <f t="array" ref="AD43">[1]!unf_pvt_Zgas_d($D43,AD$36,gg,zcor)</f>
        <v>0.78011089585296356</v>
      </c>
      <c r="AE43" s="1" cm="1">
        <f t="array" ref="AE43">[1]!unf_pvt_Zgas_d($D43,AE$36,gg,zcor)</f>
        <v>0.79069237569217465</v>
      </c>
      <c r="AF43" s="1" cm="1">
        <f t="array" ref="AF43">[1]!unf_pvt_Zgas_d($D43,AF$36,gg,zcor)</f>
        <v>0.80182011773666939</v>
      </c>
      <c r="AG43" s="1" cm="1">
        <f t="array" ref="AG43">[1]!unf_pvt_Zgas_d($D43,AG$36,gg,zcor)</f>
        <v>0.81341418131125964</v>
      </c>
      <c r="AH43" s="1" cm="1">
        <f t="array" ref="AH43">[1]!unf_pvt_Zgas_d($D43,AH$36,gg,zcor)</f>
        <v>0.82540736808958082</v>
      </c>
      <c r="AI43" s="1" cm="1">
        <f t="array" ref="AI43">[1]!unf_pvt_Zgas_d($D43,AI$36,gg,zcor)</f>
        <v>0.83774335909498365</v>
      </c>
      <c r="AJ43" s="1" cm="1">
        <f t="array" ref="AJ43">[1]!unf_pvt_Zgas_d($D43,AJ$36,gg,zcor)</f>
        <v>0.85037505345142117</v>
      </c>
      <c r="AK43" s="1" cm="1">
        <f t="array" ref="AK43">[1]!unf_pvt_Zgas_d($D43,AK$36,gg,zcor)</f>
        <v>0.86326311154660074</v>
      </c>
    </row>
    <row r="44" spans="3:37" x14ac:dyDescent="0.45">
      <c r="C44">
        <v>60</v>
      </c>
      <c r="D44" s="2">
        <f t="shared" si="1"/>
        <v>333.15</v>
      </c>
      <c r="E44" t="str">
        <f t="shared" si="2"/>
        <v>t=60 C</v>
      </c>
      <c r="F44" s="1" cm="1">
        <f t="array" ref="F44">[1]!unf_pvt_Zgas_d($D44,F$36,gg,zcor)</f>
        <v>0.99804492344172691</v>
      </c>
      <c r="G44" s="1" cm="1">
        <f t="array" ref="G44">[1]!unf_pvt_Zgas_d($D44,G$36,gg,zcor)</f>
        <v>0.98008232080220292</v>
      </c>
      <c r="H44" s="1" cm="1">
        <f t="array" ref="H44">[1]!unf_pvt_Zgas_d($D44,H$36,gg,zcor)</f>
        <v>0.96117322422363427</v>
      </c>
      <c r="I44" s="1" cm="1">
        <f t="array" ref="I44">[1]!unf_pvt_Zgas_d($D44,I$36,gg,zcor)</f>
        <v>0.94115765133916207</v>
      </c>
      <c r="J44" s="1" cm="1">
        <f t="array" ref="J44">[1]!unf_pvt_Zgas_d($D44,J$36,gg,zcor)</f>
        <v>0.92016848003278018</v>
      </c>
      <c r="K44" s="1" cm="1">
        <f t="array" ref="K44">[1]!unf_pvt_Zgas_d($D44,K$36,gg,zcor)</f>
        <v>0.89858276978108187</v>
      </c>
      <c r="L44" s="1" cm="1">
        <f t="array" ref="L44">[1]!unf_pvt_Zgas_d($D44,L$36,gg,zcor)</f>
        <v>0.87694801202352757</v>
      </c>
      <c r="M44" s="1" cm="1">
        <f t="array" ref="M44">[1]!unf_pvt_Zgas_d($D44,M$36,gg,zcor)</f>
        <v>0.85589227840672177</v>
      </c>
      <c r="N44" s="1" cm="1">
        <f t="array" ref="N44">[1]!unf_pvt_Zgas_d($D44,N$36,gg,zcor)</f>
        <v>0.83603478380972485</v>
      </c>
      <c r="O44" s="1" cm="1">
        <f t="array" ref="O44">[1]!unf_pvt_Zgas_d($D44,O$36,gg,zcor)</f>
        <v>0.81791327848032647</v>
      </c>
      <c r="P44" s="1" cm="1">
        <f t="array" ref="P44">[1]!unf_pvt_Zgas_d($D44,P$36,gg,zcor)</f>
        <v>0.80193831901442492</v>
      </c>
      <c r="Q44" s="1" cm="1">
        <f t="array" ref="Q44">[1]!unf_pvt_Zgas_d($D44,Q$36,gg,zcor)</f>
        <v>0.78837593168429676</v>
      </c>
      <c r="R44" s="1" cm="1">
        <f t="array" ref="R44">[1]!unf_pvt_Zgas_d($D44,R$36,gg,zcor)</f>
        <v>0.77735343807656354</v>
      </c>
      <c r="S44" s="1" cm="1">
        <f t="array" ref="S44">[1]!unf_pvt_Zgas_d($D44,S$36,gg,zcor)</f>
        <v>0.76888010134682694</v>
      </c>
      <c r="T44" s="1" cm="1">
        <f t="array" ref="T44">[1]!unf_pvt_Zgas_d($D44,T$36,gg,zcor)</f>
        <v>0.76287441672464362</v>
      </c>
      <c r="U44" s="1" cm="1">
        <f t="array" ref="U44">[1]!unf_pvt_Zgas_d($D44,U$36,gg,zcor)</f>
        <v>0.7591918819736162</v>
      </c>
      <c r="V44" s="1" cm="1">
        <f t="array" ref="V44">[1]!unf_pvt_Zgas_d($D44,V$36,gg,zcor)</f>
        <v>0.75764954735547452</v>
      </c>
      <c r="W44" s="1" cm="1">
        <f t="array" ref="W44">[1]!unf_pvt_Zgas_d($D44,W$36,gg,zcor)</f>
        <v>0.7580457186401901</v>
      </c>
      <c r="X44" s="1" cm="1">
        <f t="array" ref="X44">[1]!unf_pvt_Zgas_d($D44,X$36,gg,zcor)</f>
        <v>0.76017458217703116</v>
      </c>
      <c r="Y44" s="1" cm="1">
        <f t="array" ref="Y44">[1]!unf_pvt_Zgas_d($D44,Y$36,gg,zcor)</f>
        <v>0.76383628659904945</v>
      </c>
      <c r="Z44" s="1" cm="1">
        <f t="array" ref="Z44">[1]!unf_pvt_Zgas_d($D44,Z$36,gg,zcor)</f>
        <v>0.76884332827301183</v>
      </c>
      <c r="AA44" s="1" cm="1">
        <f t="array" ref="AA44">[1]!unf_pvt_Zgas_d($D44,AA$36,gg,zcor)</f>
        <v>0.77502412783934638</v>
      </c>
      <c r="AB44" s="1" cm="1">
        <f t="array" ref="AB44">[1]!unf_pvt_Zgas_d($D44,AB$36,gg,zcor)</f>
        <v>0.78222458905875691</v>
      </c>
      <c r="AC44" s="1" cm="1">
        <f t="array" ref="AC44">[1]!unf_pvt_Zgas_d($D44,AC$36,gg,zcor)</f>
        <v>0.79030828446915902</v>
      </c>
      <c r="AD44" s="1" cm="1">
        <f t="array" ref="AD44">[1]!unf_pvt_Zgas_d($D44,AD$36,gg,zcor)</f>
        <v>0.79915576190527804</v>
      </c>
      <c r="AE44" s="1" cm="1">
        <f t="array" ref="AE44">[1]!unf_pvt_Zgas_d($D44,AE$36,gg,zcor)</f>
        <v>0.80866333334305684</v>
      </c>
      <c r="AF44" s="1" cm="1">
        <f t="array" ref="AF44">[1]!unf_pvt_Zgas_d($D44,AF$36,gg,zcor)</f>
        <v>0.818741599972995</v>
      </c>
      <c r="AG44" s="1" cm="1">
        <f t="array" ref="AG44">[1]!unf_pvt_Zgas_d($D44,AG$36,gg,zcor)</f>
        <v>0.82931388474345447</v>
      </c>
      <c r="AH44" s="1" cm="1">
        <f t="array" ref="AH44">[1]!unf_pvt_Zgas_d($D44,AH$36,gg,zcor)</f>
        <v>0.84031468257404307</v>
      </c>
      <c r="AI44" s="1" cm="1">
        <f t="array" ref="AI44">[1]!unf_pvt_Zgas_d($D44,AI$36,gg,zcor)</f>
        <v>0.8516881948344992</v>
      </c>
      <c r="AJ44" s="1" cm="1">
        <f t="array" ref="AJ44">[1]!unf_pvt_Zgas_d($D44,AJ$36,gg,zcor)</f>
        <v>0.86338698448105211</v>
      </c>
      <c r="AK44" s="1" cm="1">
        <f t="array" ref="AK44">[1]!unf_pvt_Zgas_d($D44,AK$36,gg,zcor)</f>
        <v>0.8753707679846946</v>
      </c>
    </row>
    <row r="45" spans="3:37" x14ac:dyDescent="0.45">
      <c r="C45">
        <v>70</v>
      </c>
      <c r="D45" s="2">
        <f t="shared" si="1"/>
        <v>343.15</v>
      </c>
      <c r="E45" t="str">
        <f t="shared" si="2"/>
        <v>t=70 C</v>
      </c>
      <c r="F45" s="1" cm="1">
        <f t="array" ref="F45">[1]!unf_pvt_Zgas_d($D45,F$36,gg,zcor)</f>
        <v>0.99823777985482409</v>
      </c>
      <c r="G45" s="1" cm="1">
        <f t="array" ref="G45">[1]!unf_pvt_Zgas_d($D45,G$36,gg,zcor)</f>
        <v>0.98203219026890476</v>
      </c>
      <c r="H45" s="1" cm="1">
        <f t="array" ref="H45">[1]!unf_pvt_Zgas_d($D45,H$36,gg,zcor)</f>
        <v>0.9650257448144377</v>
      </c>
      <c r="I45" s="1" cm="1">
        <f t="array" ref="I45">[1]!unf_pvt_Zgas_d($D45,I$36,gg,zcor)</f>
        <v>0.94714463652901648</v>
      </c>
      <c r="J45" s="1" cm="1">
        <f t="array" ref="J45">[1]!unf_pvt_Zgas_d($D45,J$36,gg,zcor)</f>
        <v>0.92852797194515124</v>
      </c>
      <c r="K45" s="1" cm="1">
        <f t="array" ref="K45">[1]!unf_pvt_Zgas_d($D45,K$36,gg,zcor)</f>
        <v>0.90949104037619499</v>
      </c>
      <c r="L45" s="1" cm="1">
        <f t="array" ref="L45">[1]!unf_pvt_Zgas_d($D45,L$36,gg,zcor)</f>
        <v>0.89047155181055038</v>
      </c>
      <c r="M45" s="1" cm="1">
        <f t="array" ref="M45">[1]!unf_pvt_Zgas_d($D45,M$36,gg,zcor)</f>
        <v>0.87196560184699989</v>
      </c>
      <c r="N45" s="1" cm="1">
        <f t="array" ref="N45">[1]!unf_pvt_Zgas_d($D45,N$36,gg,zcor)</f>
        <v>0.85446424012380195</v>
      </c>
      <c r="O45" s="1" cm="1">
        <f t="array" ref="O45">[1]!unf_pvt_Zgas_d($D45,O$36,gg,zcor)</f>
        <v>0.8384011496891508</v>
      </c>
      <c r="P45" s="1" cm="1">
        <f t="array" ref="P45">[1]!unf_pvt_Zgas_d($D45,P$36,gg,zcor)</f>
        <v>0.82411806924887854</v>
      </c>
      <c r="Q45" s="1" cm="1">
        <f t="array" ref="Q45">[1]!unf_pvt_Zgas_d($D45,Q$36,gg,zcor)</f>
        <v>0.81184943102226947</v>
      </c>
      <c r="R45" s="1" cm="1">
        <f t="array" ref="R45">[1]!unf_pvt_Zgas_d($D45,R$36,gg,zcor)</f>
        <v>0.80172341383581891</v>
      </c>
      <c r="S45" s="1" cm="1">
        <f t="array" ref="S45">[1]!unf_pvt_Zgas_d($D45,S$36,gg,zcor)</f>
        <v>0.79377434536598634</v>
      </c>
      <c r="T45" s="1" cm="1">
        <f t="array" ref="T45">[1]!unf_pvt_Zgas_d($D45,T$36,gg,zcor)</f>
        <v>0.78796109173815654</v>
      </c>
      <c r="U45" s="1" cm="1">
        <f t="array" ref="U45">[1]!unf_pvt_Zgas_d($D45,U$36,gg,zcor)</f>
        <v>0.78418704731688094</v>
      </c>
      <c r="V45" s="1" cm="1">
        <f t="array" ref="V45">[1]!unf_pvt_Zgas_d($D45,V$36,gg,zcor)</f>
        <v>0.78231878994569892</v>
      </c>
      <c r="W45" s="1" cm="1">
        <f t="array" ref="W45">[1]!unf_pvt_Zgas_d($D45,W$36,gg,zcor)</f>
        <v>0.78220183870416604</v>
      </c>
      <c r="X45" s="1" cm="1">
        <f t="array" ref="X45">[1]!unf_pvt_Zgas_d($D45,X$36,gg,zcor)</f>
        <v>0.78367298192980828</v>
      </c>
      <c r="Y45" s="1" cm="1">
        <f t="array" ref="Y45">[1]!unf_pvt_Zgas_d($D45,Y$36,gg,zcor)</f>
        <v>0.78656929080291338</v>
      </c>
      <c r="Z45" s="1" cm="1">
        <f t="array" ref="Z45">[1]!unf_pvt_Zgas_d($D45,Z$36,gg,zcor)</f>
        <v>0.79073426680396275</v>
      </c>
      <c r="AA45" s="1" cm="1">
        <f t="array" ref="AA45">[1]!unf_pvt_Zgas_d($D45,AA$36,gg,zcor)</f>
        <v>0.79602168928569084</v>
      </c>
      <c r="AB45" s="1" cm="1">
        <f t="array" ref="AB45">[1]!unf_pvt_Zgas_d($D45,AB$36,gg,zcor)</f>
        <v>0.802297721054132</v>
      </c>
      <c r="AC45" s="1" cm="1">
        <f t="array" ref="AC45">[1]!unf_pvt_Zgas_d($D45,AC$36,gg,zcor)</f>
        <v>0.80944175953595832</v>
      </c>
      <c r="AD45" s="1" cm="1">
        <f t="array" ref="AD45">[1]!unf_pvt_Zgas_d($D45,AD$36,gg,zcor)</f>
        <v>0.81734642925119594</v>
      </c>
      <c r="AE45" s="1" cm="1">
        <f t="array" ref="AE45">[1]!unf_pvt_Zgas_d($D45,AE$36,gg,zcor)</f>
        <v>0.82591702024594671</v>
      </c>
      <c r="AF45" s="1" cm="1">
        <f t="array" ref="AF45">[1]!unf_pvt_Zgas_d($D45,AF$36,gg,zcor)</f>
        <v>0.83507059733227718</v>
      </c>
      <c r="AG45" s="1" cm="1">
        <f t="array" ref="AG45">[1]!unf_pvt_Zgas_d($D45,AG$36,gg,zcor)</f>
        <v>0.8447349399197317</v>
      </c>
      <c r="AH45" s="1" cm="1">
        <f t="array" ref="AH45">[1]!unf_pvt_Zgas_d($D45,AH$36,gg,zcor)</f>
        <v>0.85484742172690642</v>
      </c>
      <c r="AI45" s="1" cm="1">
        <f t="array" ref="AI45">[1]!unf_pvt_Zgas_d($D45,AI$36,gg,zcor)</f>
        <v>0.86535390190701666</v>
      </c>
      <c r="AJ45" s="1" cm="1">
        <f t="array" ref="AJ45">[1]!unf_pvt_Zgas_d($D45,AJ$36,gg,zcor)</f>
        <v>0.8762076717631615</v>
      </c>
      <c r="AK45" s="1" cm="1">
        <f t="array" ref="AK45">[1]!unf_pvt_Zgas_d($D45,AK$36,gg,zcor)</f>
        <v>0.88736848197138929</v>
      </c>
    </row>
    <row r="46" spans="3:37" x14ac:dyDescent="0.45">
      <c r="C46">
        <v>80</v>
      </c>
      <c r="D46" s="2">
        <f t="shared" si="1"/>
        <v>353.15</v>
      </c>
      <c r="E46" t="str">
        <f t="shared" si="2"/>
        <v>t=80 C</v>
      </c>
      <c r="F46" s="1" cm="1">
        <f t="array" ref="F46">[1]!unf_pvt_Zgas_d($D46,F$36,gg,zcor)</f>
        <v>0.99840722685190286</v>
      </c>
      <c r="G46" s="1" cm="1">
        <f t="array" ref="G46">[1]!unf_pvt_Zgas_d($D46,G$36,gg,zcor)</f>
        <v>0.98374623435669428</v>
      </c>
      <c r="H46" s="1" cm="1">
        <f t="array" ref="H46">[1]!unf_pvt_Zgas_d($D46,H$36,gg,zcor)</f>
        <v>0.96840004783601497</v>
      </c>
      <c r="I46" s="1" cm="1">
        <f t="array" ref="I46">[1]!unf_pvt_Zgas_d($D46,I$36,gg,zcor)</f>
        <v>0.95236054361376188</v>
      </c>
      <c r="J46" s="1" cm="1">
        <f t="array" ref="J46">[1]!unf_pvt_Zgas_d($D46,J$36,gg,zcor)</f>
        <v>0.9357732956160083</v>
      </c>
      <c r="K46" s="1" cm="1">
        <f t="array" ref="K46">[1]!unf_pvt_Zgas_d($D46,K$36,gg,zcor)</f>
        <v>0.91890937261543626</v>
      </c>
      <c r="L46" s="1" cm="1">
        <f t="array" ref="L46">[1]!unf_pvt_Zgas_d($D46,L$36,gg,zcor)</f>
        <v>0.90212573133503171</v>
      </c>
      <c r="M46" s="1" cm="1">
        <f t="array" ref="M46">[1]!unf_pvt_Zgas_d($D46,M$36,gg,zcor)</f>
        <v>0.88581924063995832</v>
      </c>
      <c r="N46" s="1" cm="1">
        <f t="array" ref="N46">[1]!unf_pvt_Zgas_d($D46,N$36,gg,zcor)</f>
        <v>0.87038160963124866</v>
      </c>
      <c r="O46" s="1" cm="1">
        <f t="array" ref="O46">[1]!unf_pvt_Zgas_d($D46,O$36,gg,zcor)</f>
        <v>0.85616198187114034</v>
      </c>
      <c r="P46" s="1" cm="1">
        <f t="array" ref="P46">[1]!unf_pvt_Zgas_d($D46,P$36,gg,zcor)</f>
        <v>0.84344148496250526</v>
      </c>
      <c r="Q46" s="1" cm="1">
        <f t="array" ref="Q46">[1]!unf_pvt_Zgas_d($D46,Q$36,gg,zcor)</f>
        <v>0.83242084861340726</v>
      </c>
      <c r="R46" s="1" cm="1">
        <f t="array" ref="R46">[1]!unf_pvt_Zgas_d($D46,R$36,gg,zcor)</f>
        <v>0.82321951880644417</v>
      </c>
      <c r="S46" s="1" cm="1">
        <f t="array" ref="S46">[1]!unf_pvt_Zgas_d($D46,S$36,gg,zcor)</f>
        <v>0.81588315004375556</v>
      </c>
      <c r="T46" s="1" cm="1">
        <f t="array" ref="T46">[1]!unf_pvt_Zgas_d($D46,T$36,gg,zcor)</f>
        <v>0.81039598752306286</v>
      </c>
      <c r="U46" s="1" cm="1">
        <f t="array" ref="U46">[1]!unf_pvt_Zgas_d($D46,U$36,gg,zcor)</f>
        <v>0.80669510819857237</v>
      </c>
      <c r="V46" s="1" cm="1">
        <f t="array" ref="V46">[1]!unf_pvt_Zgas_d($D46,V$36,gg,zcor)</f>
        <v>0.80468433084032598</v>
      </c>
      <c r="W46" s="1" cm="1">
        <f t="array" ref="W46">[1]!unf_pvt_Zgas_d($D46,W$36,gg,zcor)</f>
        <v>0.8042464818947529</v>
      </c>
      <c r="X46" s="1" cm="1">
        <f t="array" ref="X46">[1]!unf_pvt_Zgas_d($D46,X$36,gg,zcor)</f>
        <v>0.80525342243495102</v>
      </c>
      <c r="Y46" s="1" cm="1">
        <f t="array" ref="Y46">[1]!unf_pvt_Zgas_d($D46,Y$36,gg,zcor)</f>
        <v>0.80757373918501762</v>
      </c>
      <c r="Z46" s="1" cm="1">
        <f t="array" ref="Z46">[1]!unf_pvt_Zgas_d($D46,Z$36,gg,zcor)</f>
        <v>0.81107829601234127</v>
      </c>
      <c r="AA46" s="1" cm="1">
        <f t="array" ref="AA46">[1]!unf_pvt_Zgas_d($D46,AA$36,gg,zcor)</f>
        <v>0.81564398074414457</v>
      </c>
      <c r="AB46" s="1" cm="1">
        <f t="array" ref="AB46">[1]!unf_pvt_Zgas_d($D46,AB$36,gg,zcor)</f>
        <v>0.82115601883317879</v>
      </c>
      <c r="AC46" s="1" cm="1">
        <f t="array" ref="AC46">[1]!unf_pvt_Zgas_d($D46,AC$36,gg,zcor)</f>
        <v>0.82750920387449411</v>
      </c>
      <c r="AD46" s="1" cm="1">
        <f t="array" ref="AD46">[1]!unf_pvt_Zgas_d($D46,AD$36,gg,zcor)</f>
        <v>0.83460834591484645</v>
      </c>
      <c r="AE46" s="1" cm="1">
        <f t="array" ref="AE46">[1]!unf_pvt_Zgas_d($D46,AE$36,gg,zcor)</f>
        <v>0.84236818103226996</v>
      </c>
      <c r="AF46" s="1" cm="1">
        <f t="array" ref="AF46">[1]!unf_pvt_Zgas_d($D46,AF$36,gg,zcor)</f>
        <v>0.85071293038778251</v>
      </c>
      <c r="AG46" s="1" cm="1">
        <f t="array" ref="AG46">[1]!unf_pvt_Zgas_d($D46,AG$36,gg,zcor)</f>
        <v>0.859575648828238</v>
      </c>
      <c r="AH46" s="1" cm="1">
        <f t="array" ref="AH46">[1]!unf_pvt_Zgas_d($D46,AH$36,gg,zcor)</f>
        <v>0.86889746375032195</v>
      </c>
      <c r="AI46" s="1" cm="1">
        <f t="array" ref="AI46">[1]!unf_pvt_Zgas_d($D46,AI$36,gg,zcor)</f>
        <v>0.87862677411263157</v>
      </c>
      <c r="AJ46" s="1" cm="1">
        <f t="array" ref="AJ46">[1]!unf_pvt_Zgas_d($D46,AJ$36,gg,zcor)</f>
        <v>0.88871845616039435</v>
      </c>
      <c r="AK46" s="1" cm="1">
        <f t="array" ref="AK46">[1]!unf_pvt_Zgas_d($D46,AK$36,gg,zcor)</f>
        <v>0.89913310528404655</v>
      </c>
    </row>
    <row r="47" spans="3:37" x14ac:dyDescent="0.45">
      <c r="C47">
        <v>90</v>
      </c>
      <c r="D47" s="2">
        <f t="shared" si="1"/>
        <v>363.15</v>
      </c>
      <c r="E47" t="str">
        <f t="shared" si="2"/>
        <v>t=90 C</v>
      </c>
      <c r="F47" s="1" cm="1">
        <f t="array" ref="F47">[1]!unf_pvt_Zgas_d($D47,F$36,gg,zcor)</f>
        <v>0.99855680888647813</v>
      </c>
      <c r="G47" s="1" cm="1">
        <f t="array" ref="G47">[1]!unf_pvt_Zgas_d($D47,G$36,gg,zcor)</f>
        <v>0.98526033786982703</v>
      </c>
      <c r="H47" s="1" cm="1">
        <f t="array" ref="H47">[1]!unf_pvt_Zgas_d($D47,H$36,gg,zcor)</f>
        <v>0.97137179634089843</v>
      </c>
      <c r="I47" s="1" cm="1">
        <f t="array" ref="I47">[1]!unf_pvt_Zgas_d($D47,I$36,gg,zcor)</f>
        <v>0.95693273312416538</v>
      </c>
      <c r="J47" s="1" cm="1">
        <f t="array" ref="J47">[1]!unf_pvt_Zgas_d($D47,J$36,gg,zcor)</f>
        <v>0.94209430613676237</v>
      </c>
      <c r="K47" s="1" cm="1">
        <f t="array" ref="K47">[1]!unf_pvt_Zgas_d($D47,K$36,gg,zcor)</f>
        <v>0.92709521141024953</v>
      </c>
      <c r="L47" s="1" cm="1">
        <f t="array" ref="L47">[1]!unf_pvt_Zgas_d($D47,L$36,gg,zcor)</f>
        <v>0.91223224124292934</v>
      </c>
      <c r="M47" s="1" cm="1">
        <f t="array" ref="M47">[1]!unf_pvt_Zgas_d($D47,M$36,gg,zcor)</f>
        <v>0.89782713442594964</v>
      </c>
      <c r="N47" s="1" cm="1">
        <f t="array" ref="N47">[1]!unf_pvt_Zgas_d($D47,N$36,gg,zcor)</f>
        <v>0.88419459855835147</v>
      </c>
      <c r="O47" s="1" cm="1">
        <f t="array" ref="O47">[1]!unf_pvt_Zgas_d($D47,O$36,gg,zcor)</f>
        <v>0.87161584310632501</v>
      </c>
      <c r="P47" s="1" cm="1">
        <f t="array" ref="P47">[1]!unf_pvt_Zgas_d($D47,P$36,gg,zcor)</f>
        <v>0.86032032848066475</v>
      </c>
      <c r="Q47" s="1" cm="1">
        <f t="array" ref="Q47">[1]!unf_pvt_Zgas_d($D47,Q$36,gg,zcor)</f>
        <v>0.85047645234659763</v>
      </c>
      <c r="R47" s="1" cm="1">
        <f t="array" ref="R47">[1]!unf_pvt_Zgas_d($D47,R$36,gg,zcor)</f>
        <v>0.84219021840813491</v>
      </c>
      <c r="S47" s="1" cm="1">
        <f t="array" ref="S47">[1]!unf_pvt_Zgas_d($D47,S$36,gg,zcor)</f>
        <v>0.83550992523238954</v>
      </c>
      <c r="T47" s="1" cm="1">
        <f t="array" ref="T47">[1]!unf_pvt_Zgas_d($D47,T$36,gg,zcor)</f>
        <v>0.83043460621240051</v>
      </c>
      <c r="U47" s="1" cm="1">
        <f t="array" ref="U47">[1]!unf_pvt_Zgas_d($D47,U$36,gg,zcor)</f>
        <v>0.82692416556198611</v>
      </c>
      <c r="V47" s="1" cm="1">
        <f t="array" ref="V47">[1]!unf_pvt_Zgas_d($D47,V$36,gg,zcor)</f>
        <v>0.82490964175057613</v>
      </c>
      <c r="W47" s="1" cm="1">
        <f t="array" ref="W47">[1]!unf_pvt_Zgas_d($D47,W$36,gg,zcor)</f>
        <v>0.82430257925066897</v>
      </c>
      <c r="X47" s="1" cm="1">
        <f t="array" ref="X47">[1]!unf_pvt_Zgas_d($D47,X$36,gg,zcor)</f>
        <v>0.82500297147105162</v>
      </c>
      <c r="Y47" s="1" cm="1">
        <f t="array" ref="Y47">[1]!unf_pvt_Zgas_d($D47,Y$36,gg,zcor)</f>
        <v>0.82690559706111422</v>
      </c>
      <c r="Z47" s="1" cm="1">
        <f t="array" ref="Z47">[1]!unf_pvt_Zgas_d($D47,Z$36,gg,zcor)</f>
        <v>0.82990480434876557</v>
      </c>
      <c r="AA47" s="1" cm="1">
        <f t="array" ref="AA47">[1]!unf_pvt_Zgas_d($D47,AA$36,gg,zcor)</f>
        <v>0.83389792643354965</v>
      </c>
      <c r="AB47" s="1" cm="1">
        <f t="array" ref="AB47">[1]!unf_pvt_Zgas_d($D47,AB$36,gg,zcor)</f>
        <v>0.83878756211653027</v>
      </c>
      <c r="AC47" s="1" cm="1">
        <f t="array" ref="AC47">[1]!unf_pvt_Zgas_d($D47,AC$36,gg,zcor)</f>
        <v>0.84448296288979519</v>
      </c>
      <c r="AD47" s="1" cm="1">
        <f t="array" ref="AD47">[1]!unf_pvt_Zgas_d($D47,AD$36,gg,zcor)</f>
        <v>0.85090074489830669</v>
      </c>
      <c r="AE47" s="1" cm="1">
        <f t="array" ref="AE47">[1]!unf_pvt_Zgas_d($D47,AE$36,gg,zcor)</f>
        <v>0.85796511171684109</v>
      </c>
      <c r="AF47" s="1" cm="1">
        <f t="array" ref="AF47">[1]!unf_pvt_Zgas_d($D47,AF$36,gg,zcor)</f>
        <v>0.86560773797656454</v>
      </c>
      <c r="AG47" s="1" cm="1">
        <f t="array" ref="AG47">[1]!unf_pvt_Zgas_d($D47,AG$36,gg,zcor)</f>
        <v>0.87376743029898052</v>
      </c>
      <c r="AH47" s="1" cm="1">
        <f t="array" ref="AH47">[1]!unf_pvt_Zgas_d($D47,AH$36,gg,zcor)</f>
        <v>0.88238965294824578</v>
      </c>
      <c r="AI47" s="1" cm="1">
        <f t="array" ref="AI47">[1]!unf_pvt_Zgas_d($D47,AI$36,gg,zcor)</f>
        <v>0.89142598178292298</v>
      </c>
      <c r="AJ47" s="1" cm="1">
        <f t="array" ref="AJ47">[1]!unf_pvt_Zgas_d($D47,AJ$36,gg,zcor)</f>
        <v>0.90083353128093624</v>
      </c>
      <c r="AK47" s="1" cm="1">
        <f t="array" ref="AK47">[1]!unf_pvt_Zgas_d($D47,AK$36,gg,zcor)</f>
        <v>0.91057438501769539</v>
      </c>
    </row>
    <row r="48" spans="3:37" x14ac:dyDescent="0.45">
      <c r="C48">
        <v>100</v>
      </c>
      <c r="D48" s="2">
        <f t="shared" si="1"/>
        <v>373.15</v>
      </c>
      <c r="E48" t="str">
        <f t="shared" si="2"/>
        <v>t=100 C</v>
      </c>
      <c r="F48" s="1" cm="1">
        <f t="array" ref="F48">[1]!unf_pvt_Zgas_d($D48,F$36,gg,zcor)</f>
        <v>0.99868943360251405</v>
      </c>
      <c r="G48" s="1" cm="1">
        <f t="array" ref="G48">[1]!unf_pvt_Zgas_d($D48,G$36,gg,zcor)</f>
        <v>0.98660387479603884</v>
      </c>
      <c r="H48" s="1" cm="1">
        <f t="array" ref="H48">[1]!unf_pvt_Zgas_d($D48,H$36,gg,zcor)</f>
        <v>0.9740023019735824</v>
      </c>
      <c r="I48" s="1" cm="1">
        <f t="array" ref="I48">[1]!unf_pvt_Zgas_d($D48,I$36,gg,zcor)</f>
        <v>0.96096341464500767</v>
      </c>
      <c r="J48" s="1" cm="1">
        <f t="array" ref="J48">[1]!unf_pvt_Zgas_d($D48,J$36,gg,zcor)</f>
        <v>0.94764256139234349</v>
      </c>
      <c r="K48" s="1" cm="1">
        <f t="array" ref="K48">[1]!unf_pvt_Zgas_d($D48,K$36,gg,zcor)</f>
        <v>0.934254123697006</v>
      </c>
      <c r="L48" s="1" cm="1">
        <f t="array" ref="L48">[1]!unf_pvt_Zgas_d($D48,L$36,gg,zcor)</f>
        <v>0.92104945754372247</v>
      </c>
      <c r="M48" s="1" cm="1">
        <f t="array" ref="M48">[1]!unf_pvt_Zgas_d($D48,M$36,gg,zcor)</f>
        <v>0.90829296819463212</v>
      </c>
      <c r="N48" s="1" cm="1">
        <f t="array" ref="N48">[1]!unf_pvt_Zgas_d($D48,N$36,gg,zcor)</f>
        <v>0.89623955781954501</v>
      </c>
      <c r="O48" s="1" cm="1">
        <f t="array" ref="O48">[1]!unf_pvt_Zgas_d($D48,O$36,gg,zcor)</f>
        <v>0.88511618366573741</v>
      </c>
      <c r="P48" s="1" cm="1">
        <f t="array" ref="P48">[1]!unf_pvt_Zgas_d($D48,P$36,gg,zcor)</f>
        <v>0.87510916517856219</v>
      </c>
      <c r="Q48" s="1" cm="1">
        <f t="array" ref="Q48">[1]!unf_pvt_Zgas_d($D48,Q$36,gg,zcor)</f>
        <v>0.86635763102900953</v>
      </c>
      <c r="R48" s="1" cm="1">
        <f t="array" ref="R48">[1]!unf_pvt_Zgas_d($D48,R$36,gg,zcor)</f>
        <v>0.85895246335346642</v>
      </c>
      <c r="S48" s="1" cm="1">
        <f t="array" ref="S48">[1]!unf_pvt_Zgas_d($D48,S$36,gg,zcor)</f>
        <v>0.8529394668194501</v>
      </c>
      <c r="T48" s="1" cm="1">
        <f t="array" ref="T48">[1]!unf_pvt_Zgas_d($D48,T$36,gg,zcor)</f>
        <v>0.84832527908735167</v>
      </c>
      <c r="U48" s="1" cm="1">
        <f t="array" ref="U48">[1]!unf_pvt_Zgas_d($D48,U$36,gg,zcor)</f>
        <v>0.84508464659112292</v>
      </c>
      <c r="V48" s="1" cm="1">
        <f t="array" ref="V48">[1]!unf_pvt_Zgas_d($D48,V$36,gg,zcor)</f>
        <v>0.8431679758048114</v>
      </c>
      <c r="W48" s="1" cm="1">
        <f t="array" ref="W48">[1]!unf_pvt_Zgas_d($D48,W$36,gg,zcor)</f>
        <v>0.84250841198367188</v>
      </c>
      <c r="X48" s="1" cm="1">
        <f t="array" ref="X48">[1]!unf_pvt_Zgas_d($D48,X$36,gg,zcor)</f>
        <v>0.84302801246388115</v>
      </c>
      <c r="Y48" s="1" cm="1">
        <f t="array" ref="Y48">[1]!unf_pvt_Zgas_d($D48,Y$36,gg,zcor)</f>
        <v>0.84464282964114679</v>
      </c>
      <c r="Z48" s="1" cm="1">
        <f t="array" ref="Z48">[1]!unf_pvt_Zgas_d($D48,Z$36,gg,zcor)</f>
        <v>0.84726689044974512</v>
      </c>
      <c r="AA48" s="1" cm="1">
        <f t="array" ref="AA48">[1]!unf_pvt_Zgas_d($D48,AA$36,gg,zcor)</f>
        <v>0.85081516307530003</v>
      </c>
      <c r="AB48" s="1" cm="1">
        <f t="array" ref="AB48">[1]!unf_pvt_Zgas_d($D48,AB$36,gg,zcor)</f>
        <v>0.85520565353732114</v>
      </c>
      <c r="AC48" s="1" cm="1">
        <f t="array" ref="AC48">[1]!unf_pvt_Zgas_d($D48,AC$36,gg,zcor)</f>
        <v>0.86036079107586716</v>
      </c>
      <c r="AD48" s="1" cm="1">
        <f t="array" ref="AD48">[1]!unf_pvt_Zgas_d($D48,AD$36,gg,zcor)</f>
        <v>0.86620825578327387</v>
      </c>
      <c r="AE48" s="1" cm="1">
        <f t="array" ref="AE48">[1]!unf_pvt_Zgas_d($D48,AE$36,gg,zcor)</f>
        <v>0.87268138487729274</v>
      </c>
      <c r="AF48" s="1" cm="1">
        <f t="array" ref="AF48">[1]!unf_pvt_Zgas_d($D48,AF$36,gg,zcor)</f>
        <v>0.87971927229475644</v>
      </c>
      <c r="AG48" s="1" cm="1">
        <f t="array" ref="AG48">[1]!unf_pvt_Zgas_d($D48,AG$36,gg,zcor)</f>
        <v>0.88726665409772787</v>
      </c>
      <c r="AH48" s="1" cm="1">
        <f t="array" ref="AH48">[1]!unf_pvt_Zgas_d($D48,AH$36,gg,zcor)</f>
        <v>0.89527365181487961</v>
      </c>
      <c r="AI48" s="1" cm="1">
        <f t="array" ref="AI48">[1]!unf_pvt_Zgas_d($D48,AI$36,gg,zcor)</f>
        <v>0.90369542831771155</v>
      </c>
      <c r="AJ48" s="1" cm="1">
        <f t="array" ref="AJ48">[1]!unf_pvt_Zgas_d($D48,AJ$36,gg,zcor)</f>
        <v>0.91249179641772038</v>
      </c>
      <c r="AK48" s="1" cm="1">
        <f t="array" ref="AK48">[1]!unf_pvt_Zgas_d($D48,AK$36,gg,zcor)</f>
        <v>0.92162680890859983</v>
      </c>
    </row>
    <row r="49" spans="3:37" x14ac:dyDescent="0.45">
      <c r="C49">
        <v>110</v>
      </c>
      <c r="D49" s="2">
        <f t="shared" si="1"/>
        <v>383.15</v>
      </c>
      <c r="E49" t="str">
        <f t="shared" si="2"/>
        <v>t=110 C</v>
      </c>
      <c r="F49" s="1" cm="1">
        <f t="array" ref="F49">[1]!unf_pvt_Zgas_d($D49,F$36,gg,zcor)</f>
        <v>0.99880750095040405</v>
      </c>
      <c r="G49" s="1" cm="1">
        <f t="array" ref="G49">[1]!unf_pvt_Zgas_d($D49,G$36,gg,zcor)</f>
        <v>0.98780104756068532</v>
      </c>
      <c r="H49" s="1" cm="1">
        <f t="array" ref="H49">[1]!unf_pvt_Zgas_d($D49,H$36,gg,zcor)</f>
        <v>0.97634162156103177</v>
      </c>
      <c r="I49" s="1" cm="1">
        <f t="array" ref="I49">[1]!unf_pvt_Zgas_d($D49,I$36,gg,zcor)</f>
        <v>0.96453527254599691</v>
      </c>
      <c r="J49" s="1" cm="1">
        <f t="array" ref="J49">[1]!unf_pvt_Zgas_d($D49,J$36,gg,zcor)</f>
        <v>0.95253998369439685</v>
      </c>
      <c r="K49" s="1" cm="1">
        <f t="array" ref="K49">[1]!unf_pvt_Zgas_d($D49,K$36,gg,zcor)</f>
        <v>0.9405513397705445</v>
      </c>
      <c r="L49" s="1" cm="1">
        <f t="array" ref="L49">[1]!unf_pvt_Zgas_d($D49,L$36,gg,zcor)</f>
        <v>0.92878588362048298</v>
      </c>
      <c r="M49" s="1" cm="1">
        <f t="array" ref="M49">[1]!unf_pvt_Zgas_d($D49,M$36,gg,zcor)</f>
        <v>0.91746389234752135</v>
      </c>
      <c r="N49" s="1" cm="1">
        <f t="array" ref="N49">[1]!unf_pvt_Zgas_d($D49,N$36,gg,zcor)</f>
        <v>0.90679366186927757</v>
      </c>
      <c r="O49" s="1" cm="1">
        <f t="array" ref="O49">[1]!unf_pvt_Zgas_d($D49,O$36,gg,zcor)</f>
        <v>0.89695895997771069</v>
      </c>
      <c r="P49" s="1" cm="1">
        <f t="array" ref="P49">[1]!unf_pvt_Zgas_d($D49,P$36,gg,zcor)</f>
        <v>0.88811056686751355</v>
      </c>
      <c r="Q49" s="1" cm="1">
        <f t="array" ref="Q49">[1]!unf_pvt_Zgas_d($D49,Q$36,gg,zcor)</f>
        <v>0.88036204319416278</v>
      </c>
      <c r="R49" s="1" cm="1">
        <f t="array" ref="R49">[1]!unf_pvt_Zgas_d($D49,R$36,gg,zcor)</f>
        <v>0.873789243674718</v>
      </c>
      <c r="S49" s="1" cm="1">
        <f t="array" ref="S49">[1]!unf_pvt_Zgas_d($D49,S$36,gg,zcor)</f>
        <v>0.86843272179545661</v>
      </c>
      <c r="T49" s="1" cm="1">
        <f t="array" ref="T49">[1]!unf_pvt_Zgas_d($D49,T$36,gg,zcor)</f>
        <v>0.86430204757432749</v>
      </c>
      <c r="U49" s="1" cm="1">
        <f t="array" ref="U49">[1]!unf_pvt_Zgas_d($D49,U$36,gg,zcor)</f>
        <v>0.86138112579111381</v>
      </c>
      <c r="V49" s="1" cm="1">
        <f t="array" ref="V49">[1]!unf_pvt_Zgas_d($D49,V$36,gg,zcor)</f>
        <v>0.85963377703147903</v>
      </c>
      <c r="W49" s="1" cm="1">
        <f t="array" ref="W49">[1]!unf_pvt_Zgas_d($D49,W$36,gg,zcor)</f>
        <v>0.85900905721039822</v>
      </c>
      <c r="X49" s="1" cm="1">
        <f t="array" ref="X49">[1]!unf_pvt_Zgas_d($D49,X$36,gg,zcor)</f>
        <v>0.85944599366254637</v>
      </c>
      <c r="Y49" s="1" cm="1">
        <f t="array" ref="Y49">[1]!unf_pvt_Zgas_d($D49,Y$36,gg,zcor)</f>
        <v>0.86087758120822555</v>
      </c>
      <c r="Z49" s="1" cm="1">
        <f t="array" ref="Z49">[1]!unf_pvt_Zgas_d($D49,Z$36,gg,zcor)</f>
        <v>0.86323400158074548</v>
      </c>
      <c r="AA49" s="1" cm="1">
        <f t="array" ref="AA49">[1]!unf_pvt_Zgas_d($D49,AA$36,gg,zcor)</f>
        <v>0.8664451071238688</v>
      </c>
      <c r="AB49" s="1" cm="1">
        <f t="array" ref="AB49">[1]!unf_pvt_Zgas_d($D49,AB$36,gg,zcor)</f>
        <v>0.87044225288806909</v>
      </c>
      <c r="AC49" s="1" cm="1">
        <f t="array" ref="AC49">[1]!unf_pvt_Zgas_d($D49,AC$36,gg,zcor)</f>
        <v>0.87515957960672985</v>
      </c>
      <c r="AD49" s="1" cm="1">
        <f t="array" ref="AD49">[1]!unf_pvt_Zgas_d($D49,AD$36,gg,zcor)</f>
        <v>0.88053485204824278</v>
      </c>
      <c r="AE49" s="1" cm="1">
        <f t="array" ref="AE49">[1]!unf_pvt_Zgas_d($D49,AE$36,gg,zcor)</f>
        <v>0.88650994965320706</v>
      </c>
      <c r="AF49" s="1" cm="1">
        <f t="array" ref="AF49">[1]!unf_pvt_Zgas_d($D49,AF$36,gg,zcor)</f>
        <v>0.89303109400440583</v>
      </c>
      <c r="AG49" s="1" cm="1">
        <f t="array" ref="AG49">[1]!unf_pvt_Zgas_d($D49,AG$36,gg,zcor)</f>
        <v>0.90004888371872271</v>
      </c>
      <c r="AH49" s="1" cm="1">
        <f t="array" ref="AH49">[1]!unf_pvt_Zgas_d($D49,AH$36,gg,zcor)</f>
        <v>0.90751819370654763</v>
      </c>
      <c r="AI49" s="1" cm="1">
        <f t="array" ref="AI49">[1]!unf_pvt_Zgas_d($D49,AI$36,gg,zcor)</f>
        <v>0.9153979834349012</v>
      </c>
      <c r="AJ49" s="1" cm="1">
        <f t="array" ref="AJ49">[1]!unf_pvt_Zgas_d($D49,AJ$36,gg,zcor)</f>
        <v>0.92365104828983746</v>
      </c>
      <c r="AK49" s="1" cm="1">
        <f t="array" ref="AK49">[1]!unf_pvt_Zgas_d($D49,AK$36,gg,zcor)</f>
        <v>0.93224373944023486</v>
      </c>
    </row>
    <row r="50" spans="3:37" x14ac:dyDescent="0.45">
      <c r="C50">
        <v>120</v>
      </c>
      <c r="D50" s="2">
        <f t="shared" si="1"/>
        <v>393.15</v>
      </c>
      <c r="E50" t="str">
        <f t="shared" si="2"/>
        <v>t=120 C</v>
      </c>
      <c r="F50" s="1" cm="1">
        <f t="array" ref="F50">[1]!unf_pvt_Zgas_d($D50,F$36,gg,zcor)</f>
        <v>0.9989130040021269</v>
      </c>
      <c r="G50" s="1" cm="1">
        <f t="array" ref="G50">[1]!unf_pvt_Zgas_d($D50,G$36,gg,zcor)</f>
        <v>0.98887192689144776</v>
      </c>
      <c r="H50" s="1" cm="1">
        <f t="array" ref="H50">[1]!unf_pvt_Zgas_d($D50,H$36,gg,zcor)</f>
        <v>0.97843092298069267</v>
      </c>
      <c r="I50" s="1" cm="1">
        <f t="array" ref="I50">[1]!unf_pvt_Zgas_d($D50,I$36,gg,zcor)</f>
        <v>0.96771571823131741</v>
      </c>
      <c r="J50" s="1" cm="1">
        <f t="array" ref="J50">[1]!unf_pvt_Zgas_d($D50,J$36,gg,zcor)</f>
        <v>0.9568854024661364</v>
      </c>
      <c r="K50" s="1" cm="1">
        <f t="array" ref="K50">[1]!unf_pvt_Zgas_d($D50,K$36,gg,zcor)</f>
        <v>0.94612056673113509</v>
      </c>
      <c r="L50" s="1" cm="1">
        <f t="array" ref="L50">[1]!unf_pvt_Zgas_d($D50,L$36,gg,zcor)</f>
        <v>0.93561066467321663</v>
      </c>
      <c r="M50" s="1" cm="1">
        <f t="array" ref="M50">[1]!unf_pvt_Zgas_d($D50,M$36,gg,zcor)</f>
        <v>0.9255416948000792</v>
      </c>
      <c r="N50" s="1" cm="1">
        <f t="array" ref="N50">[1]!unf_pvt_Zgas_d($D50,N$36,gg,zcor)</f>
        <v>0.91608547346899094</v>
      </c>
      <c r="O50" s="1" cm="1">
        <f t="array" ref="O50">[1]!unf_pvt_Zgas_d($D50,O$36,gg,zcor)</f>
        <v>0.90739142253087046</v>
      </c>
      <c r="P50" s="1" cm="1">
        <f t="array" ref="P50">[1]!unf_pvt_Zgas_d($D50,P$36,gg,zcor)</f>
        <v>0.89958130404757031</v>
      </c>
      <c r="Q50" s="1" cm="1">
        <f t="array" ref="Q50">[1]!unf_pvt_Zgas_d($D50,Q$36,gg,zcor)</f>
        <v>0.89274686183850382</v>
      </c>
      <c r="R50" s="1" cm="1">
        <f t="array" ref="R50">[1]!unf_pvt_Zgas_d($D50,R$36,gg,zcor)</f>
        <v>0.88694997408031317</v>
      </c>
      <c r="S50" s="1" cm="1">
        <f t="array" ref="S50">[1]!unf_pvt_Zgas_d($D50,S$36,gg,zcor)</f>
        <v>0.88222472086037584</v>
      </c>
      <c r="T50" s="1" cm="1">
        <f t="array" ref="T50">[1]!unf_pvt_Zgas_d($D50,T$36,gg,zcor)</f>
        <v>0.87858071537628213</v>
      </c>
      <c r="U50" s="1" cm="1">
        <f t="array" ref="U50">[1]!unf_pvt_Zgas_d($D50,U$36,gg,zcor)</f>
        <v>0.87600709945294497</v>
      </c>
      <c r="V50" s="1" cm="1">
        <f t="array" ref="V50">[1]!unf_pvt_Zgas_d($D50,V$36,gg,zcor)</f>
        <v>0.87447671743028854</v>
      </c>
      <c r="W50" s="1" cm="1">
        <f t="array" ref="W50">[1]!unf_pvt_Zgas_d($D50,W$36,gg,zcor)</f>
        <v>0.87395011733240835</v>
      </c>
      <c r="X50" s="1" cm="1">
        <f t="array" ref="X50">[1]!unf_pvt_Zgas_d($D50,X$36,gg,zcor)</f>
        <v>0.87437915671993205</v>
      </c>
      <c r="Y50" s="1" cm="1">
        <f t="array" ref="Y50">[1]!unf_pvt_Zgas_d($D50,Y$36,gg,zcor)</f>
        <v>0.87571009745731077</v>
      </c>
      <c r="Z50" s="1" cm="1">
        <f t="array" ref="Z50">[1]!unf_pvt_Zgas_d($D50,Z$36,gg,zcor)</f>
        <v>0.8778861534226684</v>
      </c>
      <c r="AA50" s="1" cm="1">
        <f t="array" ref="AA50">[1]!unf_pvt_Zgas_d($D50,AA$36,gg,zcor)</f>
        <v>0.88084950897057601</v>
      </c>
      <c r="AB50" s="1" cm="1">
        <f t="array" ref="AB50">[1]!unf_pvt_Zgas_d($D50,AB$36,gg,zcor)</f>
        <v>0.88454285801858312</v>
      </c>
      <c r="AC50" s="1" cm="1">
        <f t="array" ref="AC50">[1]!unf_pvt_Zgas_d($D50,AC$36,gg,zcor)</f>
        <v>0.88891052930540271</v>
      </c>
      <c r="AD50" s="1" cm="1">
        <f t="array" ref="AD50">[1]!unf_pvt_Zgas_d($D50,AD$36,gg,zcor)</f>
        <v>0.89389926773720296</v>
      </c>
      <c r="AE50" s="1" cm="1">
        <f t="array" ref="AE50">[1]!unf_pvt_Zgas_d($D50,AE$36,gg,zcor)</f>
        <v>0.89945873899647022</v>
      </c>
      <c r="AF50" s="1" cm="1">
        <f t="array" ref="AF50">[1]!unf_pvt_Zgas_d($D50,AF$36,gg,zcor)</f>
        <v>0.90554181789287791</v>
      </c>
      <c r="AG50" s="1" cm="1">
        <f t="array" ref="AG50">[1]!unf_pvt_Zgas_d($D50,AG$36,gg,zcor)</f>
        <v>0.91210471248365144</v>
      </c>
      <c r="AH50" s="1" cm="1">
        <f t="array" ref="AH50">[1]!unf_pvt_Zgas_d($D50,AH$36,gg,zcor)</f>
        <v>0.91910696719686746</v>
      </c>
      <c r="AI50" s="1" cm="1">
        <f t="array" ref="AI50">[1]!unf_pvt_Zgas_d($D50,AI$36,gg,zcor)</f>
        <v>0.92651137988791299</v>
      </c>
      <c r="AJ50" s="1" cm="1">
        <f t="array" ref="AJ50">[1]!unf_pvt_Zgas_d($D50,AJ$36,gg,zcor)</f>
        <v>0.93428386037523647</v>
      </c>
      <c r="AK50" s="1" cm="1">
        <f t="array" ref="AK50">[1]!unf_pvt_Zgas_d($D50,AK$36,gg,zcor)</f>
        <v>0.94239325170122135</v>
      </c>
    </row>
    <row r="51" spans="3:37" x14ac:dyDescent="0.45">
      <c r="C51">
        <v>130</v>
      </c>
      <c r="D51" s="2">
        <f t="shared" si="1"/>
        <v>403.15</v>
      </c>
      <c r="E51" t="str">
        <f t="shared" si="2"/>
        <v>t=130 C</v>
      </c>
      <c r="F51" s="1" cm="1">
        <f t="array" ref="F51">[1]!unf_pvt_Zgas_d($D51,F$36,gg,zcor)</f>
        <v>0.99900760793015131</v>
      </c>
      <c r="G51" s="1" cm="1">
        <f t="array" ref="G51">[1]!unf_pvt_Zgas_d($D51,G$36,gg,zcor)</f>
        <v>0.98983326262933813</v>
      </c>
      <c r="H51" s="1" cm="1">
        <f t="array" ref="H51">[1]!unf_pvt_Zgas_d($D51,H$36,gg,zcor)</f>
        <v>0.98030430386921175</v>
      </c>
      <c r="I51" s="1" cm="1">
        <f t="array" ref="I51">[1]!unf_pvt_Zgas_d($D51,I$36,gg,zcor)</f>
        <v>0.9705601262414324</v>
      </c>
      <c r="J51" s="1" cm="1">
        <f t="array" ref="J51">[1]!unf_pvt_Zgas_d($D51,J$36,gg,zcor)</f>
        <v>0.96075952498932837</v>
      </c>
      <c r="K51" s="1" cm="1">
        <f t="array" ref="K51">[1]!unf_pvt_Zgas_d($D51,K$36,gg,zcor)</f>
        <v>0.9510707366883262</v>
      </c>
      <c r="L51" s="1" cm="1">
        <f t="array" ref="L51">[1]!unf_pvt_Zgas_d($D51,L$36,gg,zcor)</f>
        <v>0.94166178580528503</v>
      </c>
      <c r="M51" s="1" cm="1">
        <f t="array" ref="M51">[1]!unf_pvt_Zgas_d($D51,M$36,gg,zcor)</f>
        <v>0.93269177868399256</v>
      </c>
      <c r="N51" s="1" cm="1">
        <f t="array" ref="N51">[1]!unf_pvt_Zgas_d($D51,N$36,gg,zcor)</f>
        <v>0.92430382978715242</v>
      </c>
      <c r="O51" s="1" cm="1">
        <f t="array" ref="O51">[1]!unf_pvt_Zgas_d($D51,O$36,gg,zcor)</f>
        <v>0.91662003635449441</v>
      </c>
      <c r="P51" s="1" cm="1">
        <f t="array" ref="P51">[1]!unf_pvt_Zgas_d($D51,P$36,gg,zcor)</f>
        <v>0.90973860430030307</v>
      </c>
      <c r="Q51" s="1" cm="1">
        <f t="array" ref="Q51">[1]!unf_pvt_Zgas_d($D51,Q$36,gg,zcor)</f>
        <v>0.90373296020857075</v>
      </c>
      <c r="R51" s="1" cm="1">
        <f t="array" ref="R51">[1]!unf_pvt_Zgas_d($D51,R$36,gg,zcor)</f>
        <v>0.89865250320133228</v>
      </c>
      <c r="S51" s="1" cm="1">
        <f t="array" ref="S51">[1]!unf_pvt_Zgas_d($D51,S$36,gg,zcor)</f>
        <v>0.89452456423515136</v>
      </c>
      <c r="T51" s="1" cm="1">
        <f t="array" ref="T51">[1]!unf_pvt_Zgas_d($D51,T$36,gg,zcor)</f>
        <v>0.8913571346471808</v>
      </c>
      <c r="U51" s="1" cm="1">
        <f t="array" ref="U51">[1]!unf_pvt_Zgas_d($D51,U$36,gg,zcor)</f>
        <v>0.88914197550766472</v>
      </c>
      <c r="V51" s="1" cm="1">
        <f t="array" ref="V51">[1]!unf_pvt_Zgas_d($D51,V$36,gg,zcor)</f>
        <v>0.88785779844607016</v>
      </c>
      <c r="W51" s="1" cm="1">
        <f t="array" ref="W51">[1]!unf_pvt_Zgas_d($D51,W$36,gg,zcor)</f>
        <v>0.88747329576417078</v>
      </c>
      <c r="X51" s="1" cm="1">
        <f t="array" ref="X51">[1]!unf_pvt_Zgas_d($D51,X$36,gg,zcor)</f>
        <v>0.88794987847155427</v>
      </c>
      <c r="Y51" s="1" cm="1">
        <f t="array" ref="Y51">[1]!unf_pvt_Zgas_d($D51,Y$36,gg,zcor)</f>
        <v>0.8892440477079957</v>
      </c>
      <c r="Z51" s="1" cm="1">
        <f t="array" ref="Z51">[1]!unf_pvt_Zgas_d($D51,Z$36,gg,zcor)</f>
        <v>0.89130937532880139</v>
      </c>
      <c r="AA51" s="1" cm="1">
        <f t="array" ref="AA51">[1]!unf_pvt_Zgas_d($D51,AA$36,gg,zcor)</f>
        <v>0.89409810400278256</v>
      </c>
      <c r="AB51" s="1" cm="1">
        <f t="array" ref="AB51">[1]!unf_pvt_Zgas_d($D51,AB$36,gg,zcor)</f>
        <v>0.89756239849879293</v>
      </c>
      <c r="AC51" s="1" cm="1">
        <f t="array" ref="AC51">[1]!unf_pvt_Zgas_d($D51,AC$36,gg,zcor)</f>
        <v>0.90165529098040742</v>
      </c>
      <c r="AD51" s="1" cm="1">
        <f t="array" ref="AD51">[1]!unf_pvt_Zgas_d($D51,AD$36,gg,zcor)</f>
        <v>0.90633136703844019</v>
      </c>
      <c r="AE51" s="1" cm="1">
        <f t="array" ref="AE51">[1]!unf_pvt_Zgas_d($D51,AE$36,gg,zcor)</f>
        <v>0.91154723836149554</v>
      </c>
      <c r="AF51" s="1" cm="1">
        <f t="array" ref="AF51">[1]!unf_pvt_Zgas_d($D51,AF$36,gg,zcor)</f>
        <v>0.91726184430647029</v>
      </c>
      <c r="AG51" s="1" cm="1">
        <f t="array" ref="AG51">[1]!unf_pvt_Zgas_d($D51,AG$36,gg,zcor)</f>
        <v>0.92343661957600487</v>
      </c>
      <c r="AH51" s="1" cm="1">
        <f t="array" ref="AH51">[1]!unf_pvt_Zgas_d($D51,AH$36,gg,zcor)</f>
        <v>0.93003555967705487</v>
      </c>
      <c r="AI51" s="1" cm="1">
        <f t="array" ref="AI51">[1]!unf_pvt_Zgas_d($D51,AI$36,gg,zcor)</f>
        <v>0.93702521041211384</v>
      </c>
      <c r="AJ51" s="1" cm="1">
        <f t="array" ref="AJ51">[1]!unf_pvt_Zgas_d($D51,AJ$36,gg,zcor)</f>
        <v>0.94437460267604612</v>
      </c>
      <c r="AK51" s="1" cm="1">
        <f t="array" ref="AK51">[1]!unf_pvt_Zgas_d($D51,AK$36,gg,zcor)</f>
        <v>0.95205514945693392</v>
      </c>
    </row>
    <row r="52" spans="3:37" x14ac:dyDescent="0.45">
      <c r="C52">
        <v>140</v>
      </c>
      <c r="D52" s="2">
        <f t="shared" si="1"/>
        <v>413.15</v>
      </c>
      <c r="E52" t="str">
        <f t="shared" si="2"/>
        <v>t=140 C</v>
      </c>
      <c r="F52" s="1" cm="1">
        <f t="array" ref="F52">[1]!unf_pvt_Zgas_d($D52,F$36,gg,zcor)</f>
        <v>0.99909271213256878</v>
      </c>
      <c r="G52" s="1" cm="1">
        <f t="array" ref="G52">[1]!unf_pvt_Zgas_d($D52,G$36,gg,zcor)</f>
        <v>0.99069911895747964</v>
      </c>
      <c r="H52" s="1" cm="1">
        <f t="array" ref="H52">[1]!unf_pvt_Zgas_d($D52,H$36,gg,zcor)</f>
        <v>0.98199019853054925</v>
      </c>
      <c r="I52" s="1" cm="1">
        <f t="array" ref="I52">[1]!unf_pvt_Zgas_d($D52,I$36,gg,zcor)</f>
        <v>0.97311431402460646</v>
      </c>
      <c r="J52" s="1" cm="1">
        <f t="array" ref="J52">[1]!unf_pvt_Zgas_d($D52,J$36,gg,zcor)</f>
        <v>0.9642287361386167</v>
      </c>
      <c r="K52" s="1" cm="1">
        <f t="array" ref="K52">[1]!unf_pvt_Zgas_d($D52,K$36,gg,zcor)</f>
        <v>0.95549119358577073</v>
      </c>
      <c r="L52" s="1" cm="1">
        <f t="array" ref="L52">[1]!unf_pvt_Zgas_d($D52,L$36,gg,zcor)</f>
        <v>0.94705246158356249</v>
      </c>
      <c r="M52" s="1" cm="1">
        <f t="array" ref="M52">[1]!unf_pvt_Zgas_d($D52,M$36,gg,zcor)</f>
        <v>0.93905032414231071</v>
      </c>
      <c r="N52" s="1" cm="1">
        <f t="array" ref="N52">[1]!unf_pvt_Zgas_d($D52,N$36,gg,zcor)</f>
        <v>0.93160517934283293</v>
      </c>
      <c r="O52" s="1" cm="1">
        <f t="array" ref="O52">[1]!unf_pvt_Zgas_d($D52,O$36,gg,zcor)</f>
        <v>0.92481735269684928</v>
      </c>
      <c r="P52" s="1" cm="1">
        <f t="array" ref="P52">[1]!unf_pvt_Zgas_d($D52,P$36,gg,zcor)</f>
        <v>0.91876599865715236</v>
      </c>
      <c r="Q52" s="1" cm="1">
        <f t="array" ref="Q52">[1]!unf_pvt_Zgas_d($D52,Q$36,gg,zcor)</f>
        <v>0.91350934131432515</v>
      </c>
      <c r="R52" s="1" cm="1">
        <f t="array" ref="R52">[1]!unf_pvt_Zgas_d($D52,R$36,gg,zcor)</f>
        <v>0.909085939397135</v>
      </c>
      <c r="S52" s="1" cm="1">
        <f t="array" ref="S52">[1]!unf_pvt_Zgas_d($D52,S$36,gg,zcor)</f>
        <v>0.90551664961732248</v>
      </c>
      <c r="T52" s="1" cm="1">
        <f t="array" ref="T52">[1]!unf_pvt_Zgas_d($D52,T$36,gg,zcor)</f>
        <v>0.90280699072874537</v>
      </c>
      <c r="U52" s="1" cm="1">
        <f t="array" ref="U52">[1]!unf_pvt_Zgas_d($D52,U$36,gg,zcor)</f>
        <v>0.90094966175044078</v>
      </c>
      <c r="V52" s="1" cm="1">
        <f t="array" ref="V52">[1]!unf_pvt_Zgas_d($D52,V$36,gg,zcor)</f>
        <v>0.89992702743293795</v>
      </c>
      <c r="W52" s="1" cm="1">
        <f t="array" ref="W52">[1]!unf_pvt_Zgas_d($D52,W$36,gg,zcor)</f>
        <v>0.8997134420693701</v>
      </c>
      <c r="X52" s="1" cm="1">
        <f t="array" ref="X52">[1]!unf_pvt_Zgas_d($D52,X$36,gg,zcor)</f>
        <v>0.90027733313683855</v>
      </c>
      <c r="Y52" s="1" cm="1">
        <f t="array" ref="Y52">[1]!unf_pvt_Zgas_d($D52,Y$36,gg,zcor)</f>
        <v>0.90158300635076083</v>
      </c>
      <c r="Z52" s="1" cm="1">
        <f t="array" ref="Z52">[1]!unf_pvt_Zgas_d($D52,Z$36,gg,zcor)</f>
        <v>0.90359216323245295</v>
      </c>
      <c r="AA52" s="1" cm="1">
        <f t="array" ref="AA52">[1]!unf_pvt_Zgas_d($D52,AA$36,gg,zcor)</f>
        <v>0.90626514232177846</v>
      </c>
      <c r="AB52" s="1" cm="1">
        <f t="array" ref="AB52">[1]!unf_pvt_Zgas_d($D52,AB$36,gg,zcor)</f>
        <v>0.90956190744148813</v>
      </c>
      <c r="AC52" s="1" cm="1">
        <f t="array" ref="AC52">[1]!unf_pvt_Zgas_d($D52,AC$36,gg,zcor)</f>
        <v>0.913442812798968</v>
      </c>
      <c r="AD52" s="1" cm="1">
        <f t="array" ref="AD52">[1]!unf_pvt_Zgas_d($D52,AD$36,gg,zcor)</f>
        <v>0.91786917689867531</v>
      </c>
      <c r="AE52" s="1" cm="1">
        <f t="array" ref="AE52">[1]!unf_pvt_Zgas_d($D52,AE$36,gg,zcor)</f>
        <v>0.92280369664949669</v>
      </c>
      <c r="AF52" s="1" cm="1">
        <f t="array" ref="AF52">[1]!unf_pvt_Zgas_d($D52,AF$36,gg,zcor)</f>
        <v>0.92821073077930749</v>
      </c>
      <c r="AG52" s="1" cm="1">
        <f t="array" ref="AG52">[1]!unf_pvt_Zgas_d($D52,AG$36,gg,zcor)</f>
        <v>0.93405647851051221</v>
      </c>
      <c r="AH52" s="1" cm="1">
        <f t="array" ref="AH52">[1]!unf_pvt_Zgas_d($D52,AH$36,gg,zcor)</f>
        <v>0.94030907595303181</v>
      </c>
      <c r="AI52" s="1" cm="1">
        <f t="array" ref="AI52">[1]!unf_pvt_Zgas_d($D52,AI$36,gg,zcor)</f>
        <v>0.9469386291889087</v>
      </c>
      <c r="AJ52" s="1" cm="1">
        <f t="array" ref="AJ52">[1]!unf_pvt_Zgas_d($D52,AJ$36,gg,zcor)</f>
        <v>0.95391719976650824</v>
      </c>
      <c r="AK52" s="1" cm="1">
        <f t="array" ref="AK52">[1]!unf_pvt_Zgas_d($D52,AK$36,gg,zcor)</f>
        <v>0.96121875540285773</v>
      </c>
    </row>
    <row r="53" spans="3:37" x14ac:dyDescent="0.45">
      <c r="C53">
        <v>150</v>
      </c>
      <c r="D53" s="2">
        <f t="shared" si="1"/>
        <v>423.15</v>
      </c>
      <c r="E53" t="str">
        <f t="shared" si="2"/>
        <v>t=150 C</v>
      </c>
      <c r="F53" s="1" cm="1">
        <f t="array" ref="F53">[1]!unf_pvt_Zgas_d($D53,F$36,gg,zcor)</f>
        <v>0.9991694993275928</v>
      </c>
      <c r="G53" s="1" cm="1">
        <f t="array" ref="G53">[1]!unf_pvt_Zgas_d($D53,G$36,gg,zcor)</f>
        <v>0.99148137464846464</v>
      </c>
      <c r="H53" s="1" cm="1">
        <f t="array" ref="H53">[1]!unf_pvt_Zgas_d($D53,H$36,gg,zcor)</f>
        <v>0.98351247326308699</v>
      </c>
      <c r="I53" s="1" cm="1">
        <f t="array" ref="I53">[1]!unf_pvt_Zgas_d($D53,I$36,gg,zcor)</f>
        <v>0.97541645528115184</v>
      </c>
      <c r="J53" s="1" cm="1">
        <f t="array" ref="J53">[1]!unf_pvt_Zgas_d($D53,J$36,gg,zcor)</f>
        <v>0.9673480214817658</v>
      </c>
      <c r="K53" s="1" cm="1">
        <f t="array" ref="K53">[1]!unf_pvt_Zgas_d($D53,K$36,gg,zcor)</f>
        <v>0.95945569842112155</v>
      </c>
      <c r="L53" s="1" cm="1">
        <f t="array" ref="L53">[1]!unf_pvt_Zgas_d($D53,L$36,gg,zcor)</f>
        <v>0.95187612345216188</v>
      </c>
      <c r="M53" s="1" cm="1">
        <f t="array" ref="M53">[1]!unf_pvt_Zgas_d($D53,M$36,gg,zcor)</f>
        <v>0.94472998156635846</v>
      </c>
      <c r="N53" s="1" cm="1">
        <f t="array" ref="N53">[1]!unf_pvt_Zgas_d($D53,N$36,gg,zcor)</f>
        <v>0.93811957269098933</v>
      </c>
      <c r="O53" s="1" cm="1">
        <f t="array" ref="O53">[1]!unf_pvt_Zgas_d($D53,O$36,gg,zcor)</f>
        <v>0.9321278333896259</v>
      </c>
      <c r="P53" s="1" cm="1">
        <f t="array" ref="P53">[1]!unf_pvt_Zgas_d($D53,P$36,gg,zcor)</f>
        <v>0.92681854393212759</v>
      </c>
      <c r="Q53" s="1" cm="1">
        <f t="array" ref="Q53">[1]!unf_pvt_Zgas_d($D53,Q$36,gg,zcor)</f>
        <v>0.92223741756917488</v>
      </c>
      <c r="R53" s="1" cm="1">
        <f t="array" ref="R53">[1]!unf_pvt_Zgas_d($D53,R$36,gg,zcor)</f>
        <v>0.9184137792041146</v>
      </c>
      <c r="S53" s="1" cm="1">
        <f t="array" ref="S53">[1]!unf_pvt_Zgas_d($D53,S$36,gg,zcor)</f>
        <v>0.91536257867203419</v>
      </c>
      <c r="T53" s="1" cm="1">
        <f t="array" ref="T53">[1]!unf_pvt_Zgas_d($D53,T$36,gg,zcor)</f>
        <v>0.91308653472538914</v>
      </c>
      <c r="U53" s="1" cm="1">
        <f t="array" ref="U53">[1]!unf_pvt_Zgas_d($D53,U$36,gg,zcor)</f>
        <v>0.91157825872340092</v>
      </c>
      <c r="V53" s="1" cm="1">
        <f t="array" ref="V53">[1]!unf_pvt_Zgas_d($D53,V$36,gg,zcor)</f>
        <v>0.91082225517563942</v>
      </c>
      <c r="W53" s="1" cm="1">
        <f t="array" ref="W53">[1]!unf_pvt_Zgas_d($D53,W$36,gg,zcor)</f>
        <v>0.91079673635216096</v>
      </c>
      <c r="X53" s="1" cm="1">
        <f t="array" ref="X53">[1]!unf_pvt_Zgas_d($D53,X$36,gg,zcor)</f>
        <v>0.91147521920434693</v>
      </c>
      <c r="Y53" s="1" cm="1">
        <f t="array" ref="Y53">[1]!unf_pvt_Zgas_d($D53,Y$36,gg,zcor)</f>
        <v>0.91282789536788722</v>
      </c>
      <c r="Z53" s="1" cm="1">
        <f t="array" ref="Z53">[1]!unf_pvt_Zgas_d($D53,Z$36,gg,zcor)</f>
        <v>0.91482278030065922</v>
      </c>
      <c r="AA53" s="1" cm="1">
        <f t="array" ref="AA53">[1]!unf_pvt_Zgas_d($D53,AA$36,gg,zcor)</f>
        <v>0.91742665714063276</v>
      </c>
      <c r="AB53" s="1" cm="1">
        <f t="array" ref="AB53">[1]!unf_pvt_Zgas_d($D53,AB$36,gg,zcor)</f>
        <v>0.92060583609692337</v>
      </c>
      <c r="AC53" s="1" cm="1">
        <f t="array" ref="AC53">[1]!unf_pvt_Zgas_d($D53,AC$36,gg,zcor)</f>
        <v>0.92432675235920414</v>
      </c>
      <c r="AD53" s="1" cm="1">
        <f t="array" ref="AD53">[1]!unf_pvt_Zgas_d($D53,AD$36,gg,zcor)</f>
        <v>0.92855642563039131</v>
      </c>
      <c r="AE53" s="1" cm="1">
        <f t="array" ref="AE53">[1]!unf_pvt_Zgas_d($D53,AE$36,gg,zcor)</f>
        <v>0.93326280321879085</v>
      </c>
      <c r="AF53" s="1" cm="1">
        <f t="array" ref="AF53">[1]!unf_pvt_Zgas_d($D53,AF$36,gg,zcor)</f>
        <v>0.93841500672407807</v>
      </c>
      <c r="AG53" s="1" cm="1">
        <f t="array" ref="AG53">[1]!unf_pvt_Zgas_d($D53,AG$36,gg,zcor)</f>
        <v>0.94398350010328413</v>
      </c>
      <c r="AH53" s="1" cm="1">
        <f t="array" ref="AH53">[1]!unf_pvt_Zgas_d($D53,AH$36,gg,zcor)</f>
        <v>0.94994019456558343</v>
      </c>
      <c r="AI53" s="1" cm="1">
        <f t="array" ref="AI53">[1]!unf_pvt_Zgas_d($D53,AI$36,gg,zcor)</f>
        <v>0.95625850347988117</v>
      </c>
      <c r="AJ53" s="1" cm="1">
        <f t="array" ref="AJ53">[1]!unf_pvt_Zgas_d($D53,AJ$36,gg,zcor)</f>
        <v>0.96291335838106107</v>
      </c>
      <c r="AK53" s="1" cm="1">
        <f t="array" ref="AK53">[1]!unf_pvt_Zgas_d($D53,AK$36,gg,zcor)</f>
        <v>0.96988119527675676</v>
      </c>
    </row>
    <row r="54" spans="3:37" x14ac:dyDescent="0.45">
      <c r="C54">
        <v>160</v>
      </c>
      <c r="D54" s="2">
        <f t="shared" si="1"/>
        <v>433.15</v>
      </c>
      <c r="E54" t="str">
        <f t="shared" si="2"/>
        <v>t=160 C</v>
      </c>
      <c r="F54" s="1" cm="1">
        <f t="array" ref="F54">[1]!unf_pvt_Zgas_d($D54,F$36,gg,zcor)</f>
        <v>0.99923897454552091</v>
      </c>
      <c r="G54" s="1" cm="1">
        <f t="array" ref="G54">[1]!unf_pvt_Zgas_d($D54,G$36,gg,zcor)</f>
        <v>0.99219011916796918</v>
      </c>
      <c r="H54" s="1" cm="1">
        <f t="array" ref="H54">[1]!unf_pvt_Zgas_d($D54,H$36,gg,zcor)</f>
        <v>0.98489128463089259</v>
      </c>
      <c r="I54" s="1" cm="1">
        <f t="array" ref="I54">[1]!unf_pvt_Zgas_d($D54,I$36,gg,zcor)</f>
        <v>0.97749856644117739</v>
      </c>
      <c r="J54" s="1" cm="1">
        <f t="array" ref="J54">[1]!unf_pvt_Zgas_d($D54,J$36,gg,zcor)</f>
        <v>0.97016323057858611</v>
      </c>
      <c r="K54" s="1" cm="1">
        <f t="array" ref="K54">[1]!unf_pvt_Zgas_d($D54,K$36,gg,zcor)</f>
        <v>0.96302553798115387</v>
      </c>
      <c r="L54" s="1" cm="1">
        <f t="array" ref="L54">[1]!unf_pvt_Zgas_d($D54,L$36,gg,zcor)</f>
        <v>0.95621032340088841</v>
      </c>
      <c r="M54" s="1" cm="1">
        <f t="array" ref="M54">[1]!unf_pvt_Zgas_d($D54,M$36,gg,zcor)</f>
        <v>0.94982439304660504</v>
      </c>
      <c r="N54" s="1" cm="1">
        <f t="array" ref="N54">[1]!unf_pvt_Zgas_d($D54,N$36,gg,zcor)</f>
        <v>0.94395552244633807</v>
      </c>
      <c r="O54" s="1" cm="1">
        <f t="array" ref="O54">[1]!unf_pvt_Zgas_d($D54,O$36,gg,zcor)</f>
        <v>0.93867271585990031</v>
      </c>
      <c r="P54" s="1" cm="1">
        <f t="array" ref="P54">[1]!unf_pvt_Zgas_d($D54,P$36,gg,zcor)</f>
        <v>0.93402736057940361</v>
      </c>
      <c r="Q54" s="1" cm="1">
        <f t="array" ref="Q54">[1]!unf_pvt_Zgas_d($D54,Q$36,gg,zcor)</f>
        <v>0.93005493985085907</v>
      </c>
      <c r="R54" s="1" cm="1">
        <f t="array" ref="R54">[1]!unf_pvt_Zgas_d($D54,R$36,gg,zcor)</f>
        <v>0.92677702876517931</v>
      </c>
      <c r="S54" s="1" cm="1">
        <f t="array" ref="S54">[1]!unf_pvt_Zgas_d($D54,S$36,gg,zcor)</f>
        <v>0.92420336710275919</v>
      </c>
      <c r="T54" s="1" cm="1">
        <f t="array" ref="T54">[1]!unf_pvt_Zgas_d($D54,T$36,gg,zcor)</f>
        <v>0.9223338683533836</v>
      </c>
      <c r="U54" s="1" cm="1">
        <f t="array" ref="U54">[1]!unf_pvt_Zgas_d($D54,U$36,gg,zcor)</f>
        <v>0.92116047825662528</v>
      </c>
      <c r="V54" s="1" cm="1">
        <f t="array" ref="V54">[1]!unf_pvt_Zgas_d($D54,V$36,gg,zcor)</f>
        <v>0.92066883725627646</v>
      </c>
      <c r="W54" s="1" cm="1">
        <f t="array" ref="W54">[1]!unf_pvt_Zgas_d($D54,W$36,gg,zcor)</f>
        <v>0.92083973008440634</v>
      </c>
      <c r="X54" s="1" cm="1">
        <f t="array" ref="X54">[1]!unf_pvt_Zgas_d($D54,X$36,gg,zcor)</f>
        <v>0.92165032443402028</v>
      </c>
      <c r="Y54" s="1" cm="1">
        <f t="array" ref="Y54">[1]!unf_pvt_Zgas_d($D54,Y$36,gg,zcor)</f>
        <v>0.92307521181018115</v>
      </c>
      <c r="Z54" s="1" cm="1">
        <f t="array" ref="Z54">[1]!unf_pvt_Zgas_d($D54,Z$36,gg,zcor)</f>
        <v>0.92508726942089481</v>
      </c>
      <c r="AA54" s="1" cm="1">
        <f t="array" ref="AA54">[1]!unf_pvt_Zgas_d($D54,AA$36,gg,zcor)</f>
        <v>0.92765836420184689</v>
      </c>
      <c r="AB54" s="1" cm="1">
        <f t="array" ref="AB54">[1]!unf_pvt_Zgas_d($D54,AB$36,gg,zcor)</f>
        <v>0.93075992011720676</v>
      </c>
      <c r="AC54" s="1" cm="1">
        <f t="array" ref="AC54">[1]!unf_pvt_Zgas_d($D54,AC$36,gg,zcor)</f>
        <v>0.93436336868592562</v>
      </c>
      <c r="AD54" s="1" cm="1">
        <f t="array" ref="AD54">[1]!unf_pvt_Zgas_d($D54,AD$36,gg,zcor)</f>
        <v>0.9384405008706912</v>
      </c>
      <c r="AE54" s="1" cm="1">
        <f t="array" ref="AE54">[1]!unf_pvt_Zgas_d($D54,AE$36,gg,zcor)</f>
        <v>0.94296373642215503</v>
      </c>
      <c r="AF54" s="1" cm="1">
        <f t="array" ref="AF54">[1]!unf_pvt_Zgas_d($D54,AF$36,gg,zcor)</f>
        <v>0.9479063247208741</v>
      </c>
      <c r="AG54" s="1" cm="1">
        <f t="array" ref="AG54">[1]!unf_pvt_Zgas_d($D54,AG$36,gg,zcor)</f>
        <v>0.95324248922596777</v>
      </c>
      <c r="AH54" s="1" cm="1">
        <f t="array" ref="AH54">[1]!unf_pvt_Zgas_d($D54,AH$36,gg,zcor)</f>
        <v>0.95894752588039123</v>
      </c>
      <c r="AI54" s="1" cm="1">
        <f t="array" ref="AI54">[1]!unf_pvt_Zgas_d($D54,AI$36,gg,zcor)</f>
        <v>0.9649978642576611</v>
      </c>
      <c r="AJ54" s="1" cm="1">
        <f t="array" ref="AJ54">[1]!unf_pvt_Zgas_d($D54,AJ$36,gg,zcor)</f>
        <v>0.97137109886238882</v>
      </c>
      <c r="AK54" s="1" cm="1">
        <f t="array" ref="AK54">[1]!unf_pvt_Zgas_d($D54,AK$36,gg,zcor)</f>
        <v>0.97804599680513071</v>
      </c>
    </row>
    <row r="55" spans="3:37" x14ac:dyDescent="0.45">
      <c r="C55">
        <v>170</v>
      </c>
      <c r="D55" s="2">
        <f t="shared" si="1"/>
        <v>443.15</v>
      </c>
      <c r="E55" t="str">
        <f t="shared" si="2"/>
        <v>t=170 C</v>
      </c>
      <c r="F55" s="1" cm="1">
        <f t="array" ref="F55">[1]!unf_pvt_Zgas_d($D55,F$36,gg,zcor)</f>
        <v>0.99930199626064975</v>
      </c>
      <c r="G55" s="1" cm="1">
        <f t="array" ref="G55">[1]!unf_pvt_Zgas_d($D55,G$36,gg,zcor)</f>
        <v>0.99283396809184521</v>
      </c>
      <c r="H55" s="1" cm="1">
        <f t="array" ref="H55">[1]!unf_pvt_Zgas_d($D55,H$36,gg,zcor)</f>
        <v>0.98614375635256302</v>
      </c>
      <c r="I55" s="1" cm="1">
        <f t="array" ref="I55">[1]!unf_pvt_Zgas_d($D55,I$36,gg,zcor)</f>
        <v>0.97938766941724231</v>
      </c>
      <c r="J55" s="1" cm="1">
        <f t="array" ref="J55">[1]!unf_pvt_Zgas_d($D55,J$36,gg,zcor)</f>
        <v>0.97271284084561283</v>
      </c>
      <c r="K55" s="1" cm="1">
        <f t="array" ref="K55">[1]!unf_pvt_Zgas_d($D55,K$36,gg,zcor)</f>
        <v>0.96625195096638772</v>
      </c>
      <c r="L55" s="1" cm="1">
        <f t="array" ref="L55">[1]!unf_pvt_Zgas_d($D55,L$36,gg,zcor)</f>
        <v>0.96011980039688682</v>
      </c>
      <c r="M55" s="1" cm="1">
        <f t="array" ref="M55">[1]!unf_pvt_Zgas_d($D55,M$36,gg,zcor)</f>
        <v>0.95441178594724696</v>
      </c>
      <c r="N55" s="1" cm="1">
        <f t="array" ref="N55">[1]!unf_pvt_Zgas_d($D55,N$36,gg,zcor)</f>
        <v>0.94920393299384975</v>
      </c>
      <c r="O55" s="1" cm="1">
        <f t="array" ref="O55">[1]!unf_pvt_Zgas_d($D55,O$36,gg,zcor)</f>
        <v>0.94455403988412412</v>
      </c>
      <c r="P55" s="1" cm="1">
        <f t="array" ref="P55">[1]!unf_pvt_Zgas_d($D55,P$36,gg,zcor)</f>
        <v>0.94050350651079606</v>
      </c>
      <c r="Q55" s="1" cm="1">
        <f t="array" ref="Q55">[1]!unf_pvt_Zgas_d($D55,Q$36,gg,zcor)</f>
        <v>0.93707949266831392</v>
      </c>
      <c r="R55" s="1" cm="1">
        <f t="array" ref="R55">[1]!unf_pvt_Zgas_d($D55,R$36,gg,zcor)</f>
        <v>0.93429714492037919</v>
      </c>
      <c r="S55" s="1" cm="1">
        <f t="array" ref="S55">[1]!unf_pvt_Zgas_d($D55,S$36,gg,zcor)</f>
        <v>0.93216172014853749</v>
      </c>
      <c r="T55" s="1" cm="1">
        <f t="array" ref="T55">[1]!unf_pvt_Zgas_d($D55,T$36,gg,zcor)</f>
        <v>0.9306705078089903</v>
      </c>
      <c r="U55" s="1" cm="1">
        <f t="array" ref="U55">[1]!unf_pvt_Zgas_d($D55,U$36,gg,zcor)</f>
        <v>0.92981450746545369</v>
      </c>
      <c r="V55" s="1" cm="1">
        <f t="array" ref="V55">[1]!unf_pvt_Zgas_d($D55,V$36,gg,zcor)</f>
        <v>0.92957985455109982</v>
      </c>
      <c r="W55" s="1" cm="1">
        <f t="array" ref="W55">[1]!unf_pvt_Zgas_d($D55,W$36,gg,zcor)</f>
        <v>0.92994900898187149</v>
      </c>
      <c r="X55" s="1" cm="1">
        <f t="array" ref="X55">[1]!unf_pvt_Zgas_d($D55,X$36,gg,zcor)</f>
        <v>0.93090173219062566</v>
      </c>
      <c r="Y55" s="1" cm="1">
        <f t="array" ref="Y55">[1]!unf_pvt_Zgas_d($D55,Y$36,gg,zcor)</f>
        <v>0.93241588198647674</v>
      </c>
      <c r="Z55" s="1" cm="1">
        <f t="array" ref="Z55">[1]!unf_pvt_Zgas_d($D55,Z$36,gg,zcor)</f>
        <v>0.9344680542110243</v>
      </c>
      <c r="AA55" s="1" cm="1">
        <f t="array" ref="AA55">[1]!unf_pvt_Zgas_d($D55,AA$36,gg,zcor)</f>
        <v>0.93703409749270083</v>
      </c>
      <c r="AB55" s="1" cm="1">
        <f t="array" ref="AB55">[1]!unf_pvt_Zgas_d($D55,AB$36,gg,zcor)</f>
        <v>0.94008952381961908</v>
      </c>
      <c r="AC55" s="1" cm="1">
        <f t="array" ref="AC55">[1]!unf_pvt_Zgas_d($D55,AC$36,gg,zcor)</f>
        <v>0.94360983395117881</v>
      </c>
      <c r="AD55" s="1" cm="1">
        <f t="array" ref="AD55">[1]!unf_pvt_Zgas_d($D55,AD$36,gg,zcor)</f>
        <v>0.94757077328683459</v>
      </c>
      <c r="AE55" s="1" cm="1">
        <f t="array" ref="AE55">[1]!unf_pvt_Zgas_d($D55,AE$36,gg,zcor)</f>
        <v>0.95194853088406384</v>
      </c>
      <c r="AF55" s="1" cm="1">
        <f t="array" ref="AF55">[1]!unf_pvt_Zgas_d($D55,AF$36,gg,zcor)</f>
        <v>0.95671989190269957</v>
      </c>
      <c r="AG55" s="1" cm="1">
        <f t="array" ref="AG55">[1]!unf_pvt_Zgas_d($D55,AG$36,gg,zcor)</f>
        <v>0.96186235181109636</v>
      </c>
      <c r="AH55" s="1" cm="1">
        <f t="array" ref="AH55">[1]!unf_pvt_Zgas_d($D55,AH$36,gg,zcor)</f>
        <v>0.96735419915123066</v>
      </c>
      <c r="AI55" s="1" cm="1">
        <f t="array" ref="AI55">[1]!unf_pvt_Zgas_d($D55,AI$36,gg,zcor)</f>
        <v>0.97317457244776751</v>
      </c>
      <c r="AJ55" s="1" cm="1">
        <f t="array" ref="AJ55">[1]!unf_pvt_Zgas_d($D55,AJ$36,gg,zcor)</f>
        <v>0.97930349588920607</v>
      </c>
      <c r="AK55" s="1" cm="1">
        <f t="array" ref="AK55">[1]!unf_pvt_Zgas_d($D55,AK$36,gg,zcor)</f>
        <v>0.98572189764737106</v>
      </c>
    </row>
    <row r="56" spans="3:37" x14ac:dyDescent="0.45">
      <c r="C56">
        <v>180</v>
      </c>
      <c r="D56" s="2">
        <f t="shared" si="1"/>
        <v>453.15</v>
      </c>
      <c r="E56" t="str">
        <f t="shared" si="2"/>
        <v>t=180 C</v>
      </c>
      <c r="F56" s="1" cm="1">
        <f t="array" ref="F56">[1]!unf_pvt_Zgas_d($D56,F$36,gg,zcor)</f>
        <v>0.99935930138281814</v>
      </c>
      <c r="G56" s="1" cm="1">
        <f t="array" ref="G56">[1]!unf_pvt_Zgas_d($D56,G$36,gg,zcor)</f>
        <v>0.99342031572281919</v>
      </c>
      <c r="H56" s="1" cm="1">
        <f t="array" ref="H56">[1]!unf_pvt_Zgas_d($D56,H$36,gg,zcor)</f>
        <v>0.98728451659902083</v>
      </c>
      <c r="I56" s="1" cm="1">
        <f t="array" ref="I56">[1]!unf_pvt_Zgas_d($D56,I$36,gg,zcor)</f>
        <v>0.98110670729538596</v>
      </c>
      <c r="J56" s="1" cm="1">
        <f t="array" ref="J56">[1]!unf_pvt_Zgas_d($D56,J$36,gg,zcor)</f>
        <v>0.97502934114889717</v>
      </c>
      <c r="K56" s="1" cm="1">
        <f t="array" ref="K56">[1]!unf_pvt_Zgas_d($D56,K$36,gg,zcor)</f>
        <v>0.96917803212244691</v>
      </c>
      <c r="L56" s="1" cm="1">
        <f t="array" ref="L56">[1]!unf_pvt_Zgas_d($D56,L$36,gg,zcor)</f>
        <v>0.96365889921279035</v>
      </c>
      <c r="M56" s="1" cm="1">
        <f t="array" ref="M56">[1]!unf_pvt_Zgas_d($D56,M$36,gg,zcor)</f>
        <v>0.95855783459679422</v>
      </c>
      <c r="N56" s="1" cm="1">
        <f t="array" ref="N56">[1]!unf_pvt_Zgas_d($D56,N$36,gg,zcor)</f>
        <v>0.95394127425286046</v>
      </c>
      <c r="O56" s="1" cm="1">
        <f t="array" ref="O56">[1]!unf_pvt_Zgas_d($D56,O$36,gg,zcor)</f>
        <v>0.94985796231150599</v>
      </c>
      <c r="P56" s="1" cm="1">
        <f t="array" ref="P56">[1]!unf_pvt_Zgas_d($D56,P$36,gg,zcor)</f>
        <v>0.94634124611836468</v>
      </c>
      <c r="Q56" s="1" cm="1">
        <f t="array" ref="Q56">[1]!unf_pvt_Zgas_d($D56,Q$36,gg,zcor)</f>
        <v>0.94341154015416095</v>
      </c>
      <c r="R56" s="1" cm="1">
        <f t="array" ref="R56">[1]!unf_pvt_Zgas_d($D56,R$36,gg,zcor)</f>
        <v>0.94107871024449652</v>
      </c>
      <c r="S56" s="1" cm="1">
        <f t="array" ref="S56">[1]!unf_pvt_Zgas_d($D56,S$36,gg,zcor)</f>
        <v>0.9393442306705887</v>
      </c>
      <c r="T56" s="1" cm="1">
        <f t="array" ref="T56">[1]!unf_pvt_Zgas_d($D56,T$36,gg,zcor)</f>
        <v>0.93820304531570553</v>
      </c>
      <c r="U56" s="1" cm="1">
        <f t="array" ref="U56">[1]!unf_pvt_Zgas_d($D56,U$36,gg,zcor)</f>
        <v>0.93764511822275975</v>
      </c>
      <c r="V56" s="1" cm="1">
        <f t="array" ref="V56">[1]!unf_pvt_Zgas_d($D56,V$36,gg,zcor)</f>
        <v>0.9376566920732845</v>
      </c>
      <c r="W56" s="1" cm="1">
        <f t="array" ref="W56">[1]!unf_pvt_Zgas_d($D56,W$36,gg,zcor)</f>
        <v>0.93822129014268563</v>
      </c>
      <c r="X56" s="1" cm="1">
        <f t="array" ref="X56">[1]!unf_pvt_Zgas_d($D56,X$36,gg,zcor)</f>
        <v>0.9393205033065386</v>
      </c>
      <c r="Y56" s="1" cm="1">
        <f t="array" ref="Y56">[1]!unf_pvt_Zgas_d($D56,Y$36,gg,zcor)</f>
        <v>0.94093460291596476</v>
      </c>
      <c r="Z56" s="1" cm="1">
        <f t="array" ref="Z56">[1]!unf_pvt_Zgas_d($D56,Z$36,gg,zcor)</f>
        <v>0.94304301599063778</v>
      </c>
      <c r="AA56" s="1" cm="1">
        <f t="array" ref="AA56">[1]!unf_pvt_Zgas_d($D56,AA$36,gg,zcor)</f>
        <v>0.94562469333483334</v>
      </c>
      <c r="AB56" s="1" cm="1">
        <f t="array" ref="AB56">[1]!unf_pvt_Zgas_d($D56,AB$36,gg,zcor)</f>
        <v>0.94865839517692718</v>
      </c>
      <c r="AC56" s="1" cm="1">
        <f t="array" ref="AC56">[1]!unf_pvt_Zgas_d($D56,AC$36,gg,zcor)</f>
        <v>0.95212291347616995</v>
      </c>
      <c r="AD56" s="1" cm="1">
        <f t="array" ref="AD56">[1]!unf_pvt_Zgas_d($D56,AD$36,gg,zcor)</f>
        <v>0.95599724544198728</v>
      </c>
      <c r="AE56" s="1" cm="1">
        <f t="array" ref="AE56">[1]!unf_pvt_Zgas_d($D56,AE$36,gg,zcor)</f>
        <v>0.96026072913533034</v>
      </c>
      <c r="AF56" s="1" cm="1">
        <f t="array" ref="AF56">[1]!unf_pvt_Zgas_d($D56,AF$36,gg,zcor)</f>
        <v>0.96489314920003377</v>
      </c>
      <c r="AG56" s="1" cm="1">
        <f t="array" ref="AG56">[1]!unf_pvt_Zgas_d($D56,AG$36,gg,zcor)</f>
        <v>0.96987481867548464</v>
      </c>
      <c r="AH56" s="1" cm="1">
        <f t="array" ref="AH56">[1]!unf_pvt_Zgas_d($D56,AH$36,gg,zcor)</f>
        <v>0.9751866413247624</v>
      </c>
      <c r="AI56" s="1" cm="1">
        <f t="array" ref="AI56">[1]!unf_pvt_Zgas_d($D56,AI$36,gg,zcor)</f>
        <v>0.98081015783757108</v>
      </c>
      <c r="AJ56" s="1" cm="1">
        <f t="array" ref="AJ56">[1]!unf_pvt_Zgas_d($D56,AJ$36,gg,zcor)</f>
        <v>0.98672757851717507</v>
      </c>
      <c r="AK56" s="1" cm="1">
        <f t="array" ref="AK56">[1]!unf_pvt_Zgas_d($D56,AK$36,gg,zcor)</f>
        <v>0.99292180454063406</v>
      </c>
    </row>
    <row r="57" spans="3:37" x14ac:dyDescent="0.45">
      <c r="C57">
        <v>190</v>
      </c>
      <c r="D57" s="2">
        <f t="shared" si="1"/>
        <v>463.15</v>
      </c>
      <c r="E57" t="str">
        <f t="shared" si="2"/>
        <v>t=190 C</v>
      </c>
      <c r="F57" s="1" cm="1">
        <f t="array" ref="F57">[1]!unf_pvt_Zgas_d($D57,F$36,gg,zcor)</f>
        <v>0.99941152543038003</v>
      </c>
      <c r="G57" s="1" cm="1">
        <f t="array" ref="G57">[1]!unf_pvt_Zgas_d($D57,G$36,gg,zcor)</f>
        <v>0.99395553858753305</v>
      </c>
      <c r="H57" s="1" cm="1">
        <f t="array" ref="H57">[1]!unf_pvt_Zgas_d($D57,H$36,gg,zcor)</f>
        <v>0.98832612722873103</v>
      </c>
      <c r="I57" s="1" cm="1">
        <f t="array" ref="I57">[1]!unf_pvt_Zgas_d($D57,I$36,gg,zcor)</f>
        <v>0.98267527027855872</v>
      </c>
      <c r="J57" s="1" cm="1">
        <f t="array" ref="J57">[1]!unf_pvt_Zgas_d($D57,J$36,gg,zcor)</f>
        <v>0.97714032412058216</v>
      </c>
      <c r="K57" s="1" cm="1">
        <f t="array" ref="K57">[1]!unf_pvt_Zgas_d($D57,K$36,gg,zcor)</f>
        <v>0.9718402353023945</v>
      </c>
      <c r="L57" s="1" cm="1">
        <f t="array" ref="L57">[1]!unf_pvt_Zgas_d($D57,L$36,gg,zcor)</f>
        <v>0.96687348711743482</v>
      </c>
      <c r="M57" s="1" cm="1">
        <f t="array" ref="M57">[1]!unf_pvt_Zgas_d($D57,M$36,gg,zcor)</f>
        <v>0.96231794548950855</v>
      </c>
      <c r="N57" s="1" cm="1">
        <f t="array" ref="N57">[1]!unf_pvt_Zgas_d($D57,N$36,gg,zcor)</f>
        <v>0.95823214575774607</v>
      </c>
      <c r="O57" s="1" cm="1">
        <f t="array" ref="O57">[1]!unf_pvt_Zgas_d($D57,O$36,gg,zcor)</f>
        <v>0.95465747757613573</v>
      </c>
      <c r="P57" s="1" cm="1">
        <f t="array" ref="P57">[1]!unf_pvt_Zgas_d($D57,P$36,gg,zcor)</f>
        <v>0.95162078849053777</v>
      </c>
      <c r="Q57" s="1" cm="1">
        <f t="array" ref="Q57">[1]!unf_pvt_Zgas_d($D57,Q$36,gg,zcor)</f>
        <v>0.9491370444638072</v>
      </c>
      <c r="R57" s="1" cm="1">
        <f t="array" ref="R57">[1]!unf_pvt_Zgas_d($D57,R$36,gg,zcor)</f>
        <v>0.94721181040587021</v>
      </c>
      <c r="S57" s="1" cm="1">
        <f t="array" ref="S57">[1]!unf_pvt_Zgas_d($D57,S$36,gg,zcor)</f>
        <v>0.94584342111377206</v>
      </c>
      <c r="T57" s="1" cm="1">
        <f t="array" ref="T57">[1]!unf_pvt_Zgas_d($D57,T$36,gg,zcor)</f>
        <v>0.94502479349722435</v>
      </c>
      <c r="U57" s="1" cm="1">
        <f t="array" ref="U57">[1]!unf_pvt_Zgas_d($D57,U$36,gg,zcor)</f>
        <v>0.94474488435545634</v>
      </c>
      <c r="V57" s="1" cm="1">
        <f t="array" ref="V57">[1]!unf_pvt_Zgas_d($D57,V$36,gg,zcor)</f>
        <v>0.9449898287105083</v>
      </c>
      <c r="W57" s="1" cm="1">
        <f t="array" ref="W57">[1]!unf_pvt_Zgas_d($D57,W$36,gg,zcor)</f>
        <v>0.94574380771986799</v>
      </c>
      <c r="X57" s="1" cm="1">
        <f t="array" ref="X57">[1]!unf_pvt_Zgas_d($D57,X$36,gg,zcor)</f>
        <v>0.94698969813254419</v>
      </c>
      <c r="Y57" s="1" cm="1">
        <f t="array" ref="Y57">[1]!unf_pvt_Zgas_d($D57,Y$36,gg,zcor)</f>
        <v>0.94870955168473403</v>
      </c>
      <c r="Z57" s="1" cm="1">
        <f t="array" ref="Z57">[1]!unf_pvt_Zgas_d($D57,Z$36,gg,zcor)</f>
        <v>0.95088494606104479</v>
      </c>
      <c r="AA57" s="1" cm="1">
        <f t="array" ref="AA57">[1]!unf_pvt_Zgas_d($D57,AA$36,gg,zcor)</f>
        <v>0.95349724125019131</v>
      </c>
      <c r="AB57" s="1" cm="1">
        <f t="array" ref="AB57">[1]!unf_pvt_Zgas_d($D57,AB$36,gg,zcor)</f>
        <v>0.95652776759058433</v>
      </c>
      <c r="AC57" s="1" cm="1">
        <f t="array" ref="AC57">[1]!unf_pvt_Zgas_d($D57,AC$36,gg,zcor)</f>
        <v>0.95995796519345611</v>
      </c>
      <c r="AD57" s="1" cm="1">
        <f t="array" ref="AD57">[1]!unf_pvt_Zgas_d($D57,AD$36,gg,zcor)</f>
        <v>0.96376948900124293</v>
      </c>
      <c r="AE57" s="1" cm="1">
        <f t="array" ref="AE57">[1]!unf_pvt_Zgas_d($D57,AE$36,gg,zcor)</f>
        <v>0.96794428949436884</v>
      </c>
      <c r="AF57" s="1" cm="1">
        <f t="array" ref="AF57">[1]!unf_pvt_Zgas_d($D57,AF$36,gg,zcor)</f>
        <v>0.97246467587866847</v>
      </c>
      <c r="AG57" s="1" cm="1">
        <f t="array" ref="AG57">[1]!unf_pvt_Zgas_d($D57,AG$36,gg,zcor)</f>
        <v>0.97731336629235754</v>
      </c>
      <c r="AH57" s="1" cm="1">
        <f t="array" ref="AH57">[1]!unf_pvt_Zgas_d($D57,AH$36,gg,zcor)</f>
        <v>0.98247352798012832</v>
      </c>
      <c r="AI57" s="1" cm="1">
        <f t="array" ref="AI57">[1]!unf_pvt_Zgas_d($D57,AI$36,gg,zcor)</f>
        <v>0.98792880932173821</v>
      </c>
      <c r="AJ57" s="1" cm="1">
        <f t="array" ref="AJ57">[1]!unf_pvt_Zgas_d($D57,AJ$36,gg,zcor)</f>
        <v>0.99366336492820206</v>
      </c>
      <c r="AK57" s="1" cm="1">
        <f t="array" ref="AK57">[1]!unf_pvt_Zgas_d($D57,AK$36,gg,zcor)</f>
        <v>0.99966187461379008</v>
      </c>
    </row>
    <row r="58" spans="3:37" x14ac:dyDescent="0.45">
      <c r="C58">
        <v>200</v>
      </c>
      <c r="D58" s="2">
        <f t="shared" si="1"/>
        <v>473.15</v>
      </c>
      <c r="E58" t="str">
        <f t="shared" si="2"/>
        <v>t=200 C</v>
      </c>
      <c r="F58" s="1" cm="1">
        <f t="array" ref="F58">[1]!unf_pvt_Zgas_d($D58,F$36,gg,zcor)</f>
        <v>0.99945921890370015</v>
      </c>
      <c r="G58" s="1" cm="1">
        <f t="array" ref="G58">[1]!unf_pvt_Zgas_d($D58,G$36,gg,zcor)</f>
        <v>0.99444516031648278</v>
      </c>
      <c r="H58" s="1" cm="1">
        <f t="array" ref="H58">[1]!unf_pvt_Zgas_d($D58,H$36,gg,zcor)</f>
        <v>0.98927942886957076</v>
      </c>
      <c r="I58" s="1" cm="1">
        <f t="array" ref="I58">[1]!unf_pvt_Zgas_d($D58,I$36,gg,zcor)</f>
        <v>0.98411017498150877</v>
      </c>
      <c r="J58" s="1" cm="1">
        <f t="array" ref="J58">[1]!unf_pvt_Zgas_d($D58,J$36,gg,zcor)</f>
        <v>0.979069354020634</v>
      </c>
      <c r="K58" s="1" cm="1">
        <f t="array" ref="K58">[1]!unf_pvt_Zgas_d($D58,K$36,gg,zcor)</f>
        <v>0.97426956681187848</v>
      </c>
      <c r="L58" s="1" cm="1">
        <f t="array" ref="L58">[1]!unf_pvt_Zgas_d($D58,L$36,gg,zcor)</f>
        <v>0.96980247995937774</v>
      </c>
      <c r="M58" s="1" cm="1">
        <f t="array" ref="M58">[1]!unf_pvt_Zgas_d($D58,M$36,gg,zcor)</f>
        <v>0.96573908825140908</v>
      </c>
      <c r="N58" s="1" cm="1">
        <f t="array" ref="N58">[1]!unf_pvt_Zgas_d($D58,N$36,gg,zcor)</f>
        <v>0.96213135105587055</v>
      </c>
      <c r="O58" s="1" cm="1">
        <f t="array" ref="O58">[1]!unf_pvt_Zgas_d($D58,O$36,gg,zcor)</f>
        <v>0.95901464784300938</v>
      </c>
      <c r="P58" s="1" cm="1">
        <f t="array" ref="P58">[1]!unf_pvt_Zgas_d($D58,P$36,gg,zcor)</f>
        <v>0.95641057046031097</v>
      </c>
      <c r="Q58" s="1" cm="1">
        <f t="array" ref="Q58">[1]!unf_pvt_Zgas_d($D58,Q$36,gg,zcor)</f>
        <v>0.95432969597399631</v>
      </c>
      <c r="R58" s="1" cm="1">
        <f t="array" ref="R58">[1]!unf_pvt_Zgas_d($D58,R$36,gg,zcor)</f>
        <v>0.95277411402700907</v>
      </c>
      <c r="S58" s="1" cm="1">
        <f t="array" ref="S58">[1]!unf_pvt_Zgas_d($D58,S$36,gg,zcor)</f>
        <v>0.95173959230688543</v>
      </c>
      <c r="T58" s="1" cm="1">
        <f t="array" ref="T58">[1]!unf_pvt_Zgas_d($D58,T$36,gg,zcor)</f>
        <v>0.95121734426188964</v>
      </c>
      <c r="U58" s="1" cm="1">
        <f t="array" ref="U58">[1]!unf_pvt_Zgas_d($D58,U$36,gg,zcor)</f>
        <v>0.95119541534907315</v>
      </c>
      <c r="V58" s="1" cm="1">
        <f t="array" ref="V58">[1]!unf_pvt_Zgas_d($D58,V$36,gg,zcor)</f>
        <v>0.95165973298407647</v>
      </c>
      <c r="W58" s="1" cm="1">
        <f t="array" ref="W58">[1]!unf_pvt_Zgas_d($D58,W$36,gg,zcor)</f>
        <v>0.95259487738618109</v>
      </c>
      <c r="X58" s="1" cm="1">
        <f t="array" ref="X58">[1]!unf_pvt_Zgas_d($D58,X$36,gg,zcor)</f>
        <v>0.95398463157930669</v>
      </c>
      <c r="Y58" s="1" cm="1">
        <f t="array" ref="Y58">[1]!unf_pvt_Zgas_d($D58,Y$36,gg,zcor)</f>
        <v>0.95581236360498334</v>
      </c>
      <c r="Z58" s="1" cm="1">
        <f t="array" ref="Z58">[1]!unf_pvt_Zgas_d($D58,Z$36,gg,zcor)</f>
        <v>0.95806128586541961</v>
      </c>
      <c r="AA58" s="1" cm="1">
        <f t="array" ref="AA58">[1]!unf_pvt_Zgas_d($D58,AA$36,gg,zcor)</f>
        <v>0.96071462760708148</v>
      </c>
      <c r="AB58" s="1" cm="1">
        <f t="array" ref="AB58">[1]!unf_pvt_Zgas_d($D58,AB$36,gg,zcor)</f>
        <v>0.96375574813868503</v>
      </c>
      <c r="AC58" s="1" cm="1">
        <f t="array" ref="AC58">[1]!unf_pvt_Zgas_d($D58,AC$36,gg,zcor)</f>
        <v>0.96716821108115425</v>
      </c>
      <c r="AD58" s="1" cm="1">
        <f t="array" ref="AD58">[1]!unf_pvt_Zgas_d($D58,AD$36,gg,zcor)</f>
        <v>0.97093583399202577</v>
      </c>
      <c r="AE58" s="1" cm="1">
        <f t="array" ref="AE58">[1]!unf_pvt_Zgas_d($D58,AE$36,gg,zcor)</f>
        <v>0.97504272307360484</v>
      </c>
      <c r="AF58" s="1" cm="1">
        <f t="array" ref="AF58">[1]!unf_pvt_Zgas_d($D58,AF$36,gg,zcor)</f>
        <v>0.9794732992180093</v>
      </c>
      <c r="AG58" s="1" cm="1">
        <f t="array" ref="AG58">[1]!unf_pvt_Zgas_d($D58,AG$36,gg,zcor)</f>
        <v>0.98421231916706675</v>
      </c>
      <c r="AH58" s="1" cm="1">
        <f t="array" ref="AH58">[1]!unf_pvt_Zgas_d($D58,AH$36,gg,zcor)</f>
        <v>0.98924489386766368</v>
      </c>
      <c r="AI58" s="1" cm="1">
        <f t="array" ref="AI58">[1]!unf_pvt_Zgas_d($D58,AI$36,gg,zcor)</f>
        <v>0.99455650499716608</v>
      </c>
      <c r="AJ58" s="1" cm="1">
        <f t="array" ref="AJ58">[1]!unf_pvt_Zgas_d($D58,AJ$36,gg,zcor)</f>
        <v>1.0001330199599594</v>
      </c>
      <c r="AK58" s="1" cm="1">
        <f t="array" ref="AK58">[1]!unf_pvt_Zgas_d($D58,AK$36,gg,zcor)</f>
        <v>1.0059607052863262</v>
      </c>
    </row>
    <row r="59" spans="3:37" x14ac:dyDescent="0.45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3:37" x14ac:dyDescent="0.45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3:37" x14ac:dyDescent="0.45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3:37" x14ac:dyDescent="0.45">
      <c r="E62" t="str">
        <f t="shared" ref="E62:E82" si="3">E38</f>
        <v>t=0 C</v>
      </c>
      <c r="F62" s="1" cm="1">
        <f t="array" ref="F62">[1]!unf_pvt_dZdt($D38,F$36,gg,zcor)*100</f>
        <v>5.118247939250864E-3</v>
      </c>
      <c r="G62" s="1" cm="1">
        <f t="array" ref="G62">[1]!unf_pvt_dZdt($D38,G$36,gg,zcor)*100</f>
        <v>5.1947722708556299E-2</v>
      </c>
      <c r="H62" s="1" cm="1">
        <f t="array" ref="H62">[1]!unf_pvt_dZdt($D38,H$36,gg,zcor)*100</f>
        <v>0.10751313197454593</v>
      </c>
      <c r="I62" s="1" cm="1">
        <f t="array" ref="I62">[1]!unf_pvt_dZdt($D38,I$36,gg,zcor)*100</f>
        <v>0.17635622420419939</v>
      </c>
      <c r="J62" s="1" cm="1">
        <f t="array" ref="J62">[1]!unf_pvt_dZdt($D38,J$36,gg,zcor)*100</f>
        <v>0.25600983574980418</v>
      </c>
      <c r="K62" s="1" cm="1">
        <f t="array" ref="K62">[1]!unf_pvt_dZdt($D38,K$36,gg,zcor)*100</f>
        <v>0.33837391678792628</v>
      </c>
      <c r="L62" s="1" cm="1">
        <f t="array" ref="L62">[1]!unf_pvt_dZdt($D38,L$36,gg,zcor)*100</f>
        <v>0.4131202219013197</v>
      </c>
      <c r="M62" s="1" cm="1">
        <f t="array" ref="M62">[1]!unf_pvt_dZdt($D38,M$36,gg,zcor)*100</f>
        <v>0.47190831997223626</v>
      </c>
      <c r="N62" s="1" cm="1">
        <f t="array" ref="N62">[1]!unf_pvt_dZdt($D38,N$36,gg,zcor)*100</f>
        <v>0.51094670226514705</v>
      </c>
      <c r="O62" s="1" cm="1">
        <f t="array" ref="O62">[1]!unf_pvt_dZdt($D38,O$36,gg,zcor)*100</f>
        <v>0.53083588857849584</v>
      </c>
      <c r="P62" s="1" cm="1">
        <f t="array" ref="P62">[1]!unf_pvt_dZdt($D38,P$36,gg,zcor)*100</f>
        <v>0.53471723399056703</v>
      </c>
      <c r="Q62" s="1" cm="1">
        <f t="array" ref="Q62">[1]!unf_pvt_dZdt($D38,Q$36,gg,zcor)*100</f>
        <v>0.52638053744036295</v>
      </c>
      <c r="R62" s="1" cm="1">
        <f t="array" ref="R62">[1]!unf_pvt_dZdt($D38,R$36,gg,zcor)*100</f>
        <v>0.50921252277946749</v>
      </c>
      <c r="S62" s="1" cm="1">
        <f t="array" ref="S62">[1]!unf_pvt_dZdt($D38,S$36,gg,zcor)*100</f>
        <v>0.48593128294094345</v>
      </c>
      <c r="T62" s="1" cm="1">
        <f t="array" ref="T62">[1]!unf_pvt_dZdt($D38,T$36,gg,zcor)*100</f>
        <v>0.45867997879533995</v>
      </c>
      <c r="U62" s="1" cm="1">
        <f t="array" ref="U62">[1]!unf_pvt_dZdt($D38,U$36,gg,zcor)*100</f>
        <v>0.4291610463562634</v>
      </c>
      <c r="V62" s="1" cm="1">
        <f t="array" ref="V62">[1]!unf_pvt_dZdt($D38,V$36,gg,zcor)*100</f>
        <v>0.39871129766788638</v>
      </c>
      <c r="W62" s="1" cm="1">
        <f t="array" ref="W62">[1]!unf_pvt_dZdt($D38,W$36,gg,zcor)*100</f>
        <v>0.36833783979883794</v>
      </c>
      <c r="X62" s="1" cm="1">
        <f t="array" ref="X62">[1]!unf_pvt_dZdt($D38,X$36,gg,zcor)*100</f>
        <v>0.33875095646351827</v>
      </c>
      <c r="Y62" s="1" cm="1">
        <f t="array" ref="Y62">[1]!unf_pvt_dZdt($D38,Y$36,gg,zcor)*100</f>
        <v>0.3104084601512902</v>
      </c>
      <c r="Z62" s="1" cm="1">
        <f t="array" ref="Z62">[1]!unf_pvt_dZdt($D38,Z$36,gg,zcor)*100</f>
        <v>0.28356828534192857</v>
      </c>
      <c r="AA62" s="1" cm="1">
        <f t="array" ref="AA62">[1]!unf_pvt_dZdt($D38,AA$36,gg,zcor)*100</f>
        <v>0.2583408261499498</v>
      </c>
      <c r="AB62" s="1" cm="1">
        <f t="array" ref="AB62">[1]!unf_pvt_dZdt($D38,AB$36,gg,zcor)*100</f>
        <v>0.2347345506441556</v>
      </c>
      <c r="AC62" s="1" cm="1">
        <f t="array" ref="AC62">[1]!unf_pvt_dZdt($D38,AC$36,gg,zcor)*100</f>
        <v>0.21269213994989933</v>
      </c>
      <c r="AD62" s="1" cm="1">
        <f t="array" ref="AD62">[1]!unf_pvt_dZdt($D38,AD$36,gg,zcor)*100</f>
        <v>0.19211718640144149</v>
      </c>
      <c r="AE62" s="1" cm="1">
        <f t="array" ref="AE62">[1]!unf_pvt_dZdt($D38,AE$36,gg,zcor)*100</f>
        <v>0.17289288400190728</v>
      </c>
      <c r="AF62" s="1" cm="1">
        <f t="array" ref="AF62">[1]!unf_pvt_dZdt($D38,AF$36,gg,zcor)*100</f>
        <v>0.1548945374493238</v>
      </c>
      <c r="AG62" s="1" cm="1">
        <f t="array" ref="AG62">[1]!unf_pvt_dZdt($D38,AG$36,gg,zcor)*100</f>
        <v>0.13799758172794441</v>
      </c>
      <c r="AH62" s="1" cm="1">
        <f t="array" ref="AH62">[1]!unf_pvt_dZdt($D38,AH$36,gg,zcor)*100</f>
        <v>0.12208247581535492</v>
      </c>
      <c r="AI62" s="1" cm="1">
        <f t="array" ref="AI62">[1]!unf_pvt_dZdt($D38,AI$36,gg,zcor)*100</f>
        <v>0.10703748714602224</v>
      </c>
      <c r="AJ62" s="1" cm="1">
        <f t="array" ref="AJ62">[1]!unf_pvt_dZdt($D38,AJ$36,gg,zcor)*100</f>
        <v>9.276008941649927E-2</v>
      </c>
      <c r="AK62" s="1" cm="1">
        <f t="array" ref="AK62">[1]!unf_pvt_dZdt($D38,AK$36,gg,zcor)*100</f>
        <v>7.9157471483792818E-2</v>
      </c>
    </row>
    <row r="63" spans="3:37" x14ac:dyDescent="0.45">
      <c r="E63" t="str">
        <f t="shared" si="3"/>
        <v>t=10 C</v>
      </c>
      <c r="F63" s="1" cm="1">
        <f t="array" ref="F63">[1]!unf_pvt_dZdt($D39,F$36,gg,zcor)*100</f>
        <v>4.3293145660650012E-3</v>
      </c>
      <c r="G63" s="1" cm="1">
        <f t="array" ref="G63">[1]!unf_pvt_dZdt($D39,G$36,gg,zcor)*100</f>
        <v>4.3859598441109426E-2</v>
      </c>
      <c r="H63" s="1" cm="1">
        <f t="array" ref="H63">[1]!unf_pvt_dZdt($D39,H$36,gg,zcor)*100</f>
        <v>8.9807223251581192E-2</v>
      </c>
      <c r="I63" s="1" cm="1">
        <f t="array" ref="I63">[1]!unf_pvt_dZdt($D39,I$36,gg,zcor)*100</f>
        <v>0.14572640137167081</v>
      </c>
      <c r="J63" s="1" cm="1">
        <f t="array" ref="J63">[1]!unf_pvt_dZdt($D39,J$36,gg,zcor)*100</f>
        <v>0.21033981231832755</v>
      </c>
      <c r="K63" s="1" cm="1">
        <f t="array" ref="K63">[1]!unf_pvt_dZdt($D39,K$36,gg,zcor)*100</f>
        <v>0.27842335938188523</v>
      </c>
      <c r="L63" s="1" cm="1">
        <f t="array" ref="L63">[1]!unf_pvt_dZdt($D39,L$36,gg,zcor)*100</f>
        <v>0.34280858620461263</v>
      </c>
      <c r="M63" s="1" cm="1">
        <f t="array" ref="M63">[1]!unf_pvt_dZdt($D39,M$36,gg,zcor)*100</f>
        <v>0.39698306133006955</v>
      </c>
      <c r="N63" s="1" cm="1">
        <f t="array" ref="N63">[1]!unf_pvt_dZdt($D39,N$36,gg,zcor)*100</f>
        <v>0.43700242976663084</v>
      </c>
      <c r="O63" s="1" cm="1">
        <f t="array" ref="O63">[1]!unf_pvt_dZdt($D39,O$36,gg,zcor)*100</f>
        <v>0.46193239022140897</v>
      </c>
      <c r="P63" s="1" cm="1">
        <f t="array" ref="P63">[1]!unf_pvt_dZdt($D39,P$36,gg,zcor)*100</f>
        <v>0.4730889332600352</v>
      </c>
      <c r="Q63" s="1" cm="1">
        <f t="array" ref="Q63">[1]!unf_pvt_dZdt($D39,Q$36,gg,zcor)*100</f>
        <v>0.47289189723509484</v>
      </c>
      <c r="R63" s="1" cm="1">
        <f t="array" ref="R63">[1]!unf_pvt_dZdt($D39,R$36,gg,zcor)*100</f>
        <v>0.46396616923749523</v>
      </c>
      <c r="S63" s="1" cm="1">
        <f t="array" ref="S63">[1]!unf_pvt_dZdt($D39,S$36,gg,zcor)*100</f>
        <v>0.44867638990064851</v>
      </c>
      <c r="T63" s="1" cm="1">
        <f t="array" ref="T63">[1]!unf_pvt_dZdt($D39,T$36,gg,zcor)*100</f>
        <v>0.42898495516208168</v>
      </c>
      <c r="U63" s="1" cm="1">
        <f t="array" ref="U63">[1]!unf_pvt_dZdt($D39,U$36,gg,zcor)*100</f>
        <v>0.40646209347150464</v>
      </c>
      <c r="V63" s="1" cm="1">
        <f t="array" ref="V63">[1]!unf_pvt_dZdt($D39,V$36,gg,zcor)*100</f>
        <v>0.38233717817126589</v>
      </c>
      <c r="W63" s="1" cm="1">
        <f t="array" ref="W63">[1]!unf_pvt_dZdt($D39,W$36,gg,zcor)*100</f>
        <v>0.35754942021648528</v>
      </c>
      <c r="X63" s="1" cm="1">
        <f t="array" ref="X63">[1]!unf_pvt_dZdt($D39,X$36,gg,zcor)*100</f>
        <v>0.33279206234571035</v>
      </c>
      <c r="Y63" s="1" cm="1">
        <f t="array" ref="Y63">[1]!unf_pvt_dZdt($D39,Y$36,gg,zcor)*100</f>
        <v>0.30855326290868401</v>
      </c>
      <c r="Z63" s="1" cm="1">
        <f t="array" ref="Z63">[1]!unf_pvt_dZdt($D39,Z$36,gg,zcor)*100</f>
        <v>0.28515530542394529</v>
      </c>
      <c r="AA63" s="1" cm="1">
        <f t="array" ref="AA63">[1]!unf_pvt_dZdt($D39,AA$36,gg,zcor)*100</f>
        <v>0.26279128641093497</v>
      </c>
      <c r="AB63" s="1" cm="1">
        <f t="array" ref="AB63">[1]!unf_pvt_dZdt($D39,AB$36,gg,zcor)*100</f>
        <v>0.24155766899636166</v>
      </c>
      <c r="AC63" s="1" cm="1">
        <f t="array" ref="AC63">[1]!unf_pvt_dZdt($D39,AC$36,gg,zcor)*100</f>
        <v>0.22148158795765038</v>
      </c>
      <c r="AD63" s="1" cm="1">
        <f t="array" ref="AD63">[1]!unf_pvt_dZdt($D39,AD$36,gg,zcor)*100</f>
        <v>0.2025426363571059</v>
      </c>
      <c r="AE63" s="1" cm="1">
        <f t="array" ref="AE63">[1]!unf_pvt_dZdt($D39,AE$36,gg,zcor)*100</f>
        <v>0.18468953280581513</v>
      </c>
      <c r="AF63" s="1" cm="1">
        <f t="array" ref="AF63">[1]!unf_pvt_dZdt($D39,AF$36,gg,zcor)*100</f>
        <v>0.16785242689476565</v>
      </c>
      <c r="AG63" s="1" cm="1">
        <f t="array" ref="AG63">[1]!unf_pvt_dZdt($D39,AG$36,gg,zcor)*100</f>
        <v>0.15195170346071762</v>
      </c>
      <c r="AH63" s="1" cm="1">
        <f t="array" ref="AH63">[1]!unf_pvt_dZdt($D39,AH$36,gg,zcor)*100</f>
        <v>0.13690409508637646</v>
      </c>
      <c r="AI63" s="1" cm="1">
        <f t="array" ref="AI63">[1]!unf_pvt_dZdt($D39,AI$36,gg,zcor)*100</f>
        <v>0.12262679072183591</v>
      </c>
      <c r="AJ63" s="1" cm="1">
        <f t="array" ref="AJ63">[1]!unf_pvt_dZdt($D39,AJ$36,gg,zcor)*100</f>
        <v>0.10904008972723034</v>
      </c>
      <c r="AK63" s="1" cm="1">
        <f t="array" ref="AK63">[1]!unf_pvt_dZdt($D39,AK$36,gg,zcor)*100</f>
        <v>9.6069022150868655E-2</v>
      </c>
    </row>
    <row r="64" spans="3:37" x14ac:dyDescent="0.45">
      <c r="E64" t="str">
        <f t="shared" si="3"/>
        <v>t=20 C</v>
      </c>
      <c r="F64" s="1" cm="1">
        <f t="array" ref="F64">[1]!unf_pvt_dZdt($D40,F$36,gg,zcor)*100</f>
        <v>3.6855688945180987E-3</v>
      </c>
      <c r="G64" s="1" cm="1">
        <f t="array" ref="G64">[1]!unf_pvt_dZdt($D40,G$36,gg,zcor)*100</f>
        <v>3.7292161492286091E-2</v>
      </c>
      <c r="H64" s="1" cm="1">
        <f t="array" ref="H64">[1]!unf_pvt_dZdt($D40,H$36,gg,zcor)*100</f>
        <v>7.5668189137956254E-2</v>
      </c>
      <c r="I64" s="1" cm="1">
        <f t="array" ref="I64">[1]!unf_pvt_dZdt($D40,I$36,gg,zcor)*100</f>
        <v>0.12157870431184215</v>
      </c>
      <c r="J64" s="1" cm="1">
        <f t="array" ref="J64">[1]!unf_pvt_dZdt($D40,J$36,gg,zcor)*100</f>
        <v>0.17440087886466671</v>
      </c>
      <c r="K64" s="1" cm="1">
        <f t="array" ref="K64">[1]!unf_pvt_dZdt($D40,K$36,gg,zcor)*100</f>
        <v>0.23071581570466293</v>
      </c>
      <c r="L64" s="1" cm="1">
        <f t="array" ref="L64">[1]!unf_pvt_dZdt($D40,L$36,gg,zcor)*100</f>
        <v>0.285533605156707</v>
      </c>
      <c r="M64" s="1" cm="1">
        <f t="array" ref="M64">[1]!unf_pvt_dZdt($D40,M$36,gg,zcor)*100</f>
        <v>0.33392090088224524</v>
      </c>
      <c r="N64" s="1" cm="1">
        <f t="array" ref="N64">[1]!unf_pvt_dZdt($D40,N$36,gg,zcor)*100</f>
        <v>0.37235187935125147</v>
      </c>
      <c r="O64" s="1" cm="1">
        <f t="array" ref="O64">[1]!unf_pvt_dZdt($D40,O$36,gg,zcor)*100</f>
        <v>0.39927178380272377</v>
      </c>
      <c r="P64" s="1" cm="1">
        <f t="array" ref="P64">[1]!unf_pvt_dZdt($D40,P$36,gg,zcor)*100</f>
        <v>0.41487892469160847</v>
      </c>
      <c r="Q64" s="1" cm="1">
        <f t="array" ref="Q64">[1]!unf_pvt_dZdt($D40,Q$36,gg,zcor)*100</f>
        <v>0.42050042010355337</v>
      </c>
      <c r="R64" s="1" cm="1">
        <f t="array" ref="R64">[1]!unf_pvt_dZdt($D40,R$36,gg,zcor)*100</f>
        <v>0.41795528116284064</v>
      </c>
      <c r="S64" s="1" cm="1">
        <f t="array" ref="S64">[1]!unf_pvt_dZdt($D40,S$36,gg,zcor)*100</f>
        <v>0.40910957557027672</v>
      </c>
      <c r="T64" s="1" cm="1">
        <f t="array" ref="T64">[1]!unf_pvt_dZdt($D40,T$36,gg,zcor)*100</f>
        <v>0.39564475588949044</v>
      </c>
      <c r="U64" s="1" cm="1">
        <f t="array" ref="U64">[1]!unf_pvt_dZdt($D40,U$36,gg,zcor)*100</f>
        <v>0.37897430526256937</v>
      </c>
      <c r="V64" s="1" cm="1">
        <f t="array" ref="V64">[1]!unf_pvt_dZdt($D40,V$36,gg,zcor)*100</f>
        <v>0.36023776106530736</v>
      </c>
      <c r="W64" s="1" cm="1">
        <f t="array" ref="W64">[1]!unf_pvt_dZdt($D40,W$36,gg,zcor)*100</f>
        <v>0.34032604911105047</v>
      </c>
      <c r="X64" s="1" cm="1">
        <f t="array" ref="X64">[1]!unf_pvt_dZdt($D40,X$36,gg,zcor)*100</f>
        <v>0.31991598797498355</v>
      </c>
      <c r="Y64" s="1" cm="1">
        <f t="array" ref="Y64">[1]!unf_pvt_dZdt($D40,Y$36,gg,zcor)*100</f>
        <v>0.29950551700153039</v>
      </c>
      <c r="Z64" s="1" cm="1">
        <f t="array" ref="Z64">[1]!unf_pvt_dZdt($D40,Z$36,gg,zcor)*100</f>
        <v>0.27944682683878064</v>
      </c>
      <c r="AA64" s="1" cm="1">
        <f t="array" ref="AA64">[1]!unf_pvt_dZdt($D40,AA$36,gg,zcor)*100</f>
        <v>0.25997631101348784</v>
      </c>
      <c r="AB64" s="1" cm="1">
        <f t="array" ref="AB64">[1]!unf_pvt_dZdt($D40,AB$36,gg,zcor)*100</f>
        <v>0.24124076184472987</v>
      </c>
      <c r="AC64" s="1" cm="1">
        <f t="array" ref="AC64">[1]!unf_pvt_dZdt($D40,AC$36,gg,zcor)*100</f>
        <v>0.22331953564813656</v>
      </c>
      <c r="AD64" s="1" cm="1">
        <f t="array" ref="AD64">[1]!unf_pvt_dZdt($D40,AD$36,gg,zcor)*100</f>
        <v>0.20624271452218679</v>
      </c>
      <c r="AE64" s="1" cm="1">
        <f t="array" ref="AE64">[1]!unf_pvt_dZdt($D40,AE$36,gg,zcor)*100</f>
        <v>0.19000555210146874</v>
      </c>
      <c r="AF64" s="1" cm="1">
        <f t="array" ref="AF64">[1]!unf_pvt_dZdt($D40,AF$36,gg,zcor)*100</f>
        <v>0.17457965934120079</v>
      </c>
      <c r="AG64" s="1" cm="1">
        <f t="array" ref="AG64">[1]!unf_pvt_dZdt($D40,AG$36,gg,zcor)*100</f>
        <v>0.1599214578044128</v>
      </c>
      <c r="AH64" s="1" cm="1">
        <f t="array" ref="AH64">[1]!unf_pvt_dZdt($D40,AH$36,gg,zcor)*100</f>
        <v>0.14597842421082419</v>
      </c>
      <c r="AI64" s="1" cm="1">
        <f t="array" ref="AI64">[1]!unf_pvt_dZdt($D40,AI$36,gg,zcor)*100</f>
        <v>0.13269360065892855</v>
      </c>
      <c r="AJ64" s="1" cm="1">
        <f t="array" ref="AJ64">[1]!unf_pvt_dZdt($D40,AJ$36,gg,zcor)*100</f>
        <v>0.12000877464568571</v>
      </c>
      <c r="AK64" s="1" cm="1">
        <f t="array" ref="AK64">[1]!unf_pvt_dZdt($D40,AK$36,gg,zcor)*100</f>
        <v>0.10786665865569756</v>
      </c>
    </row>
    <row r="65" spans="5:37" x14ac:dyDescent="0.45">
      <c r="E65" t="str">
        <f t="shared" si="3"/>
        <v>t=30 C</v>
      </c>
      <c r="F65" s="1" cm="1">
        <f t="array" ref="F65">[1]!unf_pvt_dZdt($D41,F$36,gg,zcor)*100</f>
        <v>3.1575357277713323E-3</v>
      </c>
      <c r="G65" s="1" cm="1">
        <f t="array" ref="G65">[1]!unf_pvt_dZdt($D41,G$36,gg,zcor)*100</f>
        <v>3.1925443162217348E-2</v>
      </c>
      <c r="H65" s="1" cm="1">
        <f t="array" ref="H65">[1]!unf_pvt_dZdt($D41,H$36,gg,zcor)*100</f>
        <v>6.4279126944288834E-2</v>
      </c>
      <c r="I65" s="1" cm="1">
        <f t="array" ref="I65">[1]!unf_pvt_dZdt($D41,I$36,gg,zcor)*100</f>
        <v>0.10236187407308694</v>
      </c>
      <c r="J65" s="1" cm="1">
        <f t="array" ref="J65">[1]!unf_pvt_dZdt($D41,J$36,gg,zcor)*100</f>
        <v>0.14590694013394412</v>
      </c>
      <c r="K65" s="1" cm="1">
        <f t="array" ref="K65">[1]!unf_pvt_dZdt($D41,K$36,gg,zcor)*100</f>
        <v>0.19264350119851947</v>
      </c>
      <c r="L65" s="1" cm="1">
        <f t="array" ref="L65">[1]!unf_pvt_dZdt($D41,L$36,gg,zcor)*100</f>
        <v>0.23907413957668933</v>
      </c>
      <c r="M65" s="1" cm="1">
        <f t="array" ref="M65">[1]!unf_pvt_dZdt($D41,M$36,gg,zcor)*100</f>
        <v>0.28151388781783027</v>
      </c>
      <c r="N65" s="1" cm="1">
        <f t="array" ref="N65">[1]!unf_pvt_dZdt($D41,N$36,gg,zcor)*100</f>
        <v>0.31702424159207876</v>
      </c>
      <c r="O65" s="1" cm="1">
        <f t="array" ref="O65">[1]!unf_pvt_dZdt($D41,O$36,gg,zcor)*100</f>
        <v>0.34392399444005406</v>
      </c>
      <c r="P65" s="1" cm="1">
        <f t="array" ref="P65">[1]!unf_pvt_dZdt($D41,P$36,gg,zcor)*100</f>
        <v>0.36181182147043689</v>
      </c>
      <c r="Q65" s="1" cm="1">
        <f t="array" ref="Q65">[1]!unf_pvt_dZdt($D41,Q$36,gg,zcor)*100</f>
        <v>0.3712614102582279</v>
      </c>
      <c r="R65" s="1" cm="1">
        <f t="array" ref="R65">[1]!unf_pvt_dZdt($D41,R$36,gg,zcor)*100</f>
        <v>0.3734144937396211</v>
      </c>
      <c r="S65" s="1" cm="1">
        <f t="array" ref="S65">[1]!unf_pvt_dZdt($D41,S$36,gg,zcor)*100</f>
        <v>0.36963104853415807</v>
      </c>
      <c r="T65" s="1" cm="1">
        <f t="array" ref="T65">[1]!unf_pvt_dZdt($D41,T$36,gg,zcor)*100</f>
        <v>0.36125650171148216</v>
      </c>
      <c r="U65" s="1" cm="1">
        <f t="array" ref="U65">[1]!unf_pvt_dZdt($D41,U$36,gg,zcor)*100</f>
        <v>0.34949776631176821</v>
      </c>
      <c r="V65" s="1" cm="1">
        <f t="array" ref="V65">[1]!unf_pvt_dZdt($D41,V$36,gg,zcor)*100</f>
        <v>0.33537457554622119</v>
      </c>
      <c r="W65" s="1" cm="1">
        <f t="array" ref="W65">[1]!unf_pvt_dZdt($D41,W$36,gg,zcor)*100</f>
        <v>0.31971381661322074</v>
      </c>
      <c r="X65" s="1" cm="1">
        <f t="array" ref="X65">[1]!unf_pvt_dZdt($D41,X$36,gg,zcor)*100</f>
        <v>0.30316473500835439</v>
      </c>
      <c r="Y65" s="1" cm="1">
        <f t="array" ref="Y65">[1]!unf_pvt_dZdt($D41,Y$36,gg,zcor)*100</f>
        <v>0.28622240479247996</v>
      </c>
      <c r="Z65" s="1" cm="1">
        <f t="array" ref="Z65">[1]!unf_pvt_dZdt($D41,Z$36,gg,zcor)*100</f>
        <v>0.26925306251168735</v>
      </c>
      <c r="AA65" s="1" cm="1">
        <f t="array" ref="AA65">[1]!unf_pvt_dZdt($D41,AA$36,gg,zcor)*100</f>
        <v>0.25251827479355615</v>
      </c>
      <c r="AB65" s="1" cm="1">
        <f t="array" ref="AB65">[1]!unf_pvt_dZdt($D41,AB$36,gg,zcor)*100</f>
        <v>0.23619659332807519</v>
      </c>
      <c r="AC65" s="1" cm="1">
        <f t="array" ref="AC65">[1]!unf_pvt_dZdt($D41,AC$36,gg,zcor)*100</f>
        <v>0.22040219056640442</v>
      </c>
      <c r="AD65" s="1" cm="1">
        <f t="array" ref="AD65">[1]!unf_pvt_dZdt($D41,AD$36,gg,zcor)*100</f>
        <v>0.2052004135220109</v>
      </c>
      <c r="AE65" s="1" cm="1">
        <f t="array" ref="AE65">[1]!unf_pvt_dZdt($D41,AE$36,gg,zcor)*100</f>
        <v>0.19062043943041118</v>
      </c>
      <c r="AF65" s="1" cm="1">
        <f t="array" ref="AF65">[1]!unf_pvt_dZdt($D41,AF$36,gg,zcor)*100</f>
        <v>0.17666534818117086</v>
      </c>
      <c r="AG65" s="1" cm="1">
        <f t="array" ref="AG65">[1]!unf_pvt_dZdt($D41,AG$36,gg,zcor)*100</f>
        <v>0.16331998188834351</v>
      </c>
      <c r="AH65" s="1" cm="1">
        <f t="array" ref="AH65">[1]!unf_pvt_dZdt($D41,AH$36,gg,zcor)*100</f>
        <v>0.15055696719601386</v>
      </c>
      <c r="AI65" s="1" cm="1">
        <f t="array" ref="AI65">[1]!unf_pvt_dZdt($D41,AI$36,gg,zcor)*100</f>
        <v>0.13834125027767374</v>
      </c>
      <c r="AJ65" s="1" cm="1">
        <f t="array" ref="AJ65">[1]!unf_pvt_dZdt($D41,AJ$36,gg,zcor)*100</f>
        <v>0.12663345271690662</v>
      </c>
      <c r="AK65" s="1" cm="1">
        <f t="array" ref="AK65">[1]!unf_pvt_dZdt($D41,AK$36,gg,zcor)*100</f>
        <v>0.11539230886326024</v>
      </c>
    </row>
    <row r="66" spans="5:37" x14ac:dyDescent="0.45">
      <c r="E66" t="str">
        <f t="shared" si="3"/>
        <v>t=40 C</v>
      </c>
      <c r="F66" s="1" cm="1">
        <f t="array" ref="F66">[1]!unf_pvt_dZdt($D42,F$36,gg,zcor)*100</f>
        <v>2.7218672687956413E-3</v>
      </c>
      <c r="G66" s="1" cm="1">
        <f t="array" ref="G66">[1]!unf_pvt_dZdt($D42,G$36,gg,zcor)*100</f>
        <v>2.7510408217468196E-2</v>
      </c>
      <c r="H66" s="1" cm="1">
        <f t="array" ref="H66">[1]!unf_pvt_dZdt($D42,H$36,gg,zcor)*100</f>
        <v>5.5026241901123818E-2</v>
      </c>
      <c r="I66" s="1" cm="1">
        <f t="array" ref="I66">[1]!unf_pvt_dZdt($D42,I$36,gg,zcor)*100</f>
        <v>8.6926081259708354E-2</v>
      </c>
      <c r="J66" s="1" cm="1">
        <f t="array" ref="J66">[1]!unf_pvt_dZdt($D42,J$36,gg,zcor)*100</f>
        <v>0.12313137086117365</v>
      </c>
      <c r="K66" s="1" cm="1">
        <f t="array" ref="K66">[1]!unf_pvt_dZdt($D42,K$36,gg,zcor)*100</f>
        <v>0.16211107876640263</v>
      </c>
      <c r="L66" s="1" cm="1">
        <f t="array" ref="L66">[1]!unf_pvt_dZdt($D42,L$36,gg,zcor)*100</f>
        <v>0.20139145554864957</v>
      </c>
      <c r="M66" s="1" cm="1">
        <f t="array" ref="M66">[1]!unf_pvt_dZdt($D42,M$36,gg,zcor)*100</f>
        <v>0.23823404796807779</v>
      </c>
      <c r="N66" s="1" cm="1">
        <f t="array" ref="N66">[1]!unf_pvt_dZdt($D42,N$36,gg,zcor)*100</f>
        <v>0.27027805962154261</v>
      </c>
      <c r="O66" s="1" cm="1">
        <f t="array" ref="O66">[1]!unf_pvt_dZdt($D42,O$36,gg,zcor)*100</f>
        <v>0.29595221931622007</v>
      </c>
      <c r="P66" s="1" cm="1">
        <f t="array" ref="P66">[1]!unf_pvt_dZdt($D42,P$36,gg,zcor)*100</f>
        <v>0.31458645563720022</v>
      </c>
      <c r="Q66" s="1" cm="1">
        <f t="array" ref="Q66">[1]!unf_pvt_dZdt($D42,Q$36,gg,zcor)*100</f>
        <v>0.32628573206894274</v>
      </c>
      <c r="R66" s="1" cm="1">
        <f t="array" ref="R66">[1]!unf_pvt_dZdt($D42,R$36,gg,zcor)*100</f>
        <v>0.3316887753606057</v>
      </c>
      <c r="S66" s="1" cm="1">
        <f t="array" ref="S66">[1]!unf_pvt_dZdt($D42,S$36,gg,zcor)*100</f>
        <v>0.33171989295244231</v>
      </c>
      <c r="T66" s="1" cm="1">
        <f t="array" ref="T66">[1]!unf_pvt_dZdt($D42,T$36,gg,zcor)*100</f>
        <v>0.32739362319078591</v>
      </c>
      <c r="U66" s="1" cm="1">
        <f t="array" ref="U66">[1]!unf_pvt_dZdt($D42,U$36,gg,zcor)*100</f>
        <v>0.31968759078837561</v>
      </c>
      <c r="V66" s="1" cm="1">
        <f t="array" ref="V66">[1]!unf_pvt_dZdt($D42,V$36,gg,zcor)*100</f>
        <v>0.30947386688107148</v>
      </c>
      <c r="W66" s="1" cm="1">
        <f t="array" ref="W66">[1]!unf_pvt_dZdt($D42,W$36,gg,zcor)*100</f>
        <v>0.29749122422617624</v>
      </c>
      <c r="X66" s="1" cm="1">
        <f t="array" ref="X66">[1]!unf_pvt_dZdt($D42,X$36,gg,zcor)*100</f>
        <v>0.28434215397654672</v>
      </c>
      <c r="Y66" s="1" cm="1">
        <f t="array" ref="Y66">[1]!unf_pvt_dZdt($D42,Y$36,gg,zcor)*100</f>
        <v>0.27050302092601619</v>
      </c>
      <c r="Z66" s="1" cm="1">
        <f t="array" ref="Z66">[1]!unf_pvt_dZdt($D42,Z$36,gg,zcor)*100</f>
        <v>0.25634004056007687</v>
      </c>
      <c r="AA66" s="1" cm="1">
        <f t="array" ref="AA66">[1]!unf_pvt_dZdt($D42,AA$36,gg,zcor)*100</f>
        <v>0.24212687304470126</v>
      </c>
      <c r="AB66" s="1" cm="1">
        <f t="array" ref="AB66">[1]!unf_pvt_dZdt($D42,AB$36,gg,zcor)*100</f>
        <v>0.22806159812482907</v>
      </c>
      <c r="AC66" s="1" cm="1">
        <f t="array" ref="AC66">[1]!unf_pvt_dZdt($D42,AC$36,gg,zcor)*100</f>
        <v>0.21428199595030506</v>
      </c>
      <c r="AD66" s="1" cm="1">
        <f t="array" ref="AD66">[1]!unf_pvt_dZdt($D42,AD$36,gg,zcor)*100</f>
        <v>0.20087871819263192</v>
      </c>
      <c r="AE66" s="1" cm="1">
        <f t="array" ref="AE66">[1]!unf_pvt_dZdt($D42,AE$36,gg,zcor)*100</f>
        <v>0.18790629770903955</v>
      </c>
      <c r="AF66" s="1" cm="1">
        <f t="array" ref="AF66">[1]!unf_pvt_dZdt($D42,AF$36,gg,zcor)*100</f>
        <v>0.17539213670048071</v>
      </c>
      <c r="AG66" s="1" cm="1">
        <f t="array" ref="AG66">[1]!unf_pvt_dZdt($D42,AG$36,gg,zcor)*100</f>
        <v>0.16334370383397356</v>
      </c>
      <c r="AH66" s="1" cm="1">
        <f t="array" ref="AH66">[1]!unf_pvt_dZdt($D42,AH$36,gg,zcor)*100</f>
        <v>0.15175420183521915</v>
      </c>
      <c r="AI66" s="1" cm="1">
        <f t="array" ref="AI66">[1]!unf_pvt_dZdt($D42,AI$36,gg,zcor)*100</f>
        <v>0.14060696386331006</v>
      </c>
      <c r="AJ66" s="1" cm="1">
        <f t="array" ref="AJ66">[1]!unf_pvt_dZdt($D42,AJ$36,gg,zcor)*100</f>
        <v>0.12987881553905289</v>
      </c>
      <c r="AK66" s="1" cm="1">
        <f t="array" ref="AK66">[1]!unf_pvt_dZdt($D42,AK$36,gg,zcor)*100</f>
        <v>0.11954260969471164</v>
      </c>
    </row>
    <row r="67" spans="5:37" x14ac:dyDescent="0.45">
      <c r="E67" t="str">
        <f t="shared" si="3"/>
        <v>t=50 C</v>
      </c>
      <c r="F67" s="1" cm="1">
        <f t="array" ref="F67">[1]!unf_pvt_dZdt($D43,F$36,gg,zcor)*100</f>
        <v>2.3601642469284201E-3</v>
      </c>
      <c r="G67" s="1" cm="1">
        <f t="array" ref="G67">[1]!unf_pvt_dZdt($D43,G$36,gg,zcor)*100</f>
        <v>2.3853282484220806E-2</v>
      </c>
      <c r="H67" s="1" cm="1">
        <f t="array" ref="H67">[1]!unf_pvt_dZdt($D43,H$36,gg,zcor)*100</f>
        <v>4.7445448657312816E-2</v>
      </c>
      <c r="I67" s="1" cm="1">
        <f t="array" ref="I67">[1]!unf_pvt_dZdt($D43,I$36,gg,zcor)*100</f>
        <v>7.441366460358978E-2</v>
      </c>
      <c r="J67" s="1" cm="1">
        <f t="array" ref="J67">[1]!unf_pvt_dZdt($D43,J$36,gg,zcor)*100</f>
        <v>0.104772806999609</v>
      </c>
      <c r="K67" s="1" cm="1">
        <f t="array" ref="K67">[1]!unf_pvt_dZdt($D43,K$36,gg,zcor)*100</f>
        <v>0.13747450609058465</v>
      </c>
      <c r="L67" s="1" cm="1">
        <f t="array" ref="L67">[1]!unf_pvt_dZdt($D43,L$36,gg,zcor)*100</f>
        <v>0.1707507916022255</v>
      </c>
      <c r="M67" s="1" cm="1">
        <f t="array" ref="M67">[1]!unf_pvt_dZdt($D43,M$36,gg,zcor)*100</f>
        <v>0.20256637694582302</v>
      </c>
      <c r="N67" s="1" cm="1">
        <f t="array" ref="N67">[1]!unf_pvt_dZdt($D43,N$36,gg,zcor)*100</f>
        <v>0.23106196043942706</v>
      </c>
      <c r="O67" s="1" cm="1">
        <f t="array" ref="O67">[1]!unf_pvt_dZdt($D43,O$36,gg,zcor)*100</f>
        <v>0.25486923660056338</v>
      </c>
      <c r="P67" s="1" cm="1">
        <f t="array" ref="P67">[1]!unf_pvt_dZdt($D43,P$36,gg,zcor)*100</f>
        <v>0.27324157830121987</v>
      </c>
      <c r="Q67" s="1" cm="1">
        <f t="array" ref="Q67">[1]!unf_pvt_dZdt($D43,Q$36,gg,zcor)*100</f>
        <v>0.28602027368740401</v>
      </c>
      <c r="R67" s="1" cm="1">
        <f t="array" ref="R67">[1]!unf_pvt_dZdt($D43,R$36,gg,zcor)*100</f>
        <v>0.29350098519886902</v>
      </c>
      <c r="S67" s="1" cm="1">
        <f t="array" ref="S67">[1]!unf_pvt_dZdt($D43,S$36,gg,zcor)*100</f>
        <v>0.29626897002010821</v>
      </c>
      <c r="T67" s="1" cm="1">
        <f t="array" ref="T67">[1]!unf_pvt_dZdt($D43,T$36,gg,zcor)*100</f>
        <v>0.29505040776134361</v>
      </c>
      <c r="U67" s="1" cm="1">
        <f t="array" ref="U67">[1]!unf_pvt_dZdt($D43,U$36,gg,zcor)*100</f>
        <v>0.29060119488510949</v>
      </c>
      <c r="V67" s="1" cm="1">
        <f t="array" ref="V67">[1]!unf_pvt_dZdt($D43,V$36,gg,zcor)*100</f>
        <v>0.28363560607214122</v>
      </c>
      <c r="W67" s="1" cm="1">
        <f t="array" ref="W67">[1]!unf_pvt_dZdt($D43,W$36,gg,zcor)*100</f>
        <v>0.27478771781797029</v>
      </c>
      <c r="X67" s="1" cm="1">
        <f t="array" ref="X67">[1]!unf_pvt_dZdt($D43,X$36,gg,zcor)*100</f>
        <v>0.26459594197225655</v>
      </c>
      <c r="Y67" s="1" cm="1">
        <f t="array" ref="Y67">[1]!unf_pvt_dZdt($D43,Y$36,gg,zcor)*100</f>
        <v>0.2535020517070441</v>
      </c>
      <c r="Z67" s="1" cm="1">
        <f t="array" ref="Z67">[1]!unf_pvt_dZdt($D43,Z$36,gg,zcor)*100</f>
        <v>0.24185828307088375</v>
      </c>
      <c r="AA67" s="1" cm="1">
        <f t="array" ref="AA67">[1]!unf_pvt_dZdt($D43,AA$36,gg,zcor)*100</f>
        <v>0.22993823329875429</v>
      </c>
      <c r="AB67" s="1" cm="1">
        <f t="array" ref="AB67">[1]!unf_pvt_dZdt($D43,AB$36,gg,zcor)*100</f>
        <v>0.21794892896842555</v>
      </c>
      <c r="AC67" s="1" cm="1">
        <f t="array" ref="AC67">[1]!unf_pvt_dZdt($D43,AC$36,gg,zcor)*100</f>
        <v>0.20604257402045967</v>
      </c>
      <c r="AD67" s="1" cm="1">
        <f t="array" ref="AD67">[1]!unf_pvt_dZdt($D43,AD$36,gg,zcor)*100</f>
        <v>0.19432721679712994</v>
      </c>
      <c r="AE67" s="1" cm="1">
        <f t="array" ref="AE67">[1]!unf_pvt_dZdt($D43,AE$36,gg,zcor)*100</f>
        <v>0.18287601917721386</v>
      </c>
      <c r="AF67" s="1" cm="1">
        <f t="array" ref="AF67">[1]!unf_pvt_dZdt($D43,AF$36,gg,zcor)*100</f>
        <v>0.1717350681398333</v>
      </c>
      <c r="AG67" s="1" cm="1">
        <f t="array" ref="AG67">[1]!unf_pvt_dZdt($D43,AG$36,gg,zcor)*100</f>
        <v>0.16092980958748448</v>
      </c>
      <c r="AH67" s="1" cm="1">
        <f t="array" ref="AH67">[1]!unf_pvt_dZdt($D43,AH$36,gg,zcor)*100</f>
        <v>0.15047025160741523</v>
      </c>
      <c r="AI67" s="1" cm="1">
        <f t="array" ref="AI67">[1]!unf_pvt_dZdt($D43,AI$36,gg,zcor)*100</f>
        <v>0.14035510872201229</v>
      </c>
      <c r="AJ67" s="1" cm="1">
        <f t="array" ref="AJ67">[1]!unf_pvt_dZdt($D43,AJ$36,gg,zcor)*100</f>
        <v>0.13057505861679974</v>
      </c>
      <c r="AK67" s="1" cm="1">
        <f t="array" ref="AK67">[1]!unf_pvt_dZdt($D43,AK$36,gg,zcor)*100</f>
        <v>0.12111526978775267</v>
      </c>
    </row>
    <row r="68" spans="5:37" x14ac:dyDescent="0.45">
      <c r="E68" t="str">
        <f t="shared" si="3"/>
        <v>t=60 C</v>
      </c>
      <c r="F68" s="1" cm="1">
        <f t="array" ref="F68">[1]!unf_pvt_dZdt($D44,F$36,gg,zcor)*100</f>
        <v>2.057952154799203E-3</v>
      </c>
      <c r="G68" s="1" cm="1">
        <f t="array" ref="G68">[1]!unf_pvt_dZdt($D44,G$36,gg,zcor)*100</f>
        <v>2.0803072965702718E-2</v>
      </c>
      <c r="H68" s="1" cm="1">
        <f t="array" ref="H68">[1]!unf_pvt_dZdt($D44,H$36,gg,zcor)*100</f>
        <v>4.1183635629882254E-2</v>
      </c>
      <c r="I68" s="1" cm="1">
        <f t="array" ref="I68">[1]!unf_pvt_dZdt($D44,I$36,gg,zcor)*100</f>
        <v>6.4180521089363118E-2</v>
      </c>
      <c r="J68" s="1" cm="1">
        <f t="array" ref="J68">[1]!unf_pvt_dZdt($D44,J$36,gg,zcor)*100</f>
        <v>8.9848850850615669E-2</v>
      </c>
      <c r="K68" s="1" cm="1">
        <f t="array" ref="K68">[1]!unf_pvt_dZdt($D44,K$36,gg,zcor)*100</f>
        <v>0.11745875622160007</v>
      </c>
      <c r="L68" s="1" cm="1">
        <f t="array" ref="L68">[1]!unf_pvt_dZdt($D44,L$36,gg,zcor)*100</f>
        <v>0.145732452156766</v>
      </c>
      <c r="M68" s="1" cm="1">
        <f t="array" ref="M68">[1]!unf_pvt_dZdt($D44,M$36,gg,zcor)*100</f>
        <v>0.1731522967226562</v>
      </c>
      <c r="N68" s="1" cm="1">
        <f t="array" ref="N68">[1]!unf_pvt_dZdt($D44,N$36,gg,zcor)*100</f>
        <v>0.19826916068799161</v>
      </c>
      <c r="O68" s="1" cm="1">
        <f t="array" ref="O68">[1]!unf_pvt_dZdt($D44,O$36,gg,zcor)*100</f>
        <v>0.21993732340497285</v>
      </c>
      <c r="P68" s="1" cm="1">
        <f t="array" ref="P68">[1]!unf_pvt_dZdt($D44,P$36,gg,zcor)*100</f>
        <v>0.23743524359021162</v>
      </c>
      <c r="Q68" s="1" cm="1">
        <f t="array" ref="Q68">[1]!unf_pvt_dZdt($D44,Q$36,gg,zcor)*100</f>
        <v>0.25047522074861384</v>
      </c>
      <c r="R68" s="1" cm="1">
        <f t="array" ref="R68">[1]!unf_pvt_dZdt($D44,R$36,gg,zcor)*100</f>
        <v>0.25913526191978509</v>
      </c>
      <c r="S68" s="1" cm="1">
        <f t="array" ref="S68">[1]!unf_pvt_dZdt($D44,S$36,gg,zcor)*100</f>
        <v>0.26375492098762443</v>
      </c>
      <c r="T68" s="1" cm="1">
        <f t="array" ref="T68">[1]!unf_pvt_dZdt($D44,T$36,gg,zcor)*100</f>
        <v>0.26482894185442252</v>
      </c>
      <c r="U68" s="1" cm="1">
        <f t="array" ref="U68">[1]!unf_pvt_dZdt($D44,U$36,gg,zcor)*100</f>
        <v>0.26291841365766455</v>
      </c>
      <c r="V68" s="1" cm="1">
        <f t="array" ref="V68">[1]!unf_pvt_dZdt($D44,V$36,gg,zcor)*100</f>
        <v>0.25858650453924881</v>
      </c>
      <c r="W68" s="1" cm="1">
        <f t="array" ref="W68">[1]!unf_pvt_dZdt($D44,W$36,gg,zcor)*100</f>
        <v>0.25235776371035357</v>
      </c>
      <c r="X68" s="1" cm="1">
        <f t="array" ref="X68">[1]!unf_pvt_dZdt($D44,X$36,gg,zcor)*100</f>
        <v>0.24469628627010742</v>
      </c>
      <c r="Y68" s="1" cm="1">
        <f t="array" ref="Y68">[1]!unf_pvt_dZdt($D44,Y$36,gg,zcor)*100</f>
        <v>0.23599725646383796</v>
      </c>
      <c r="Z68" s="1" cm="1">
        <f t="array" ref="Z68">[1]!unf_pvt_dZdt($D44,Z$36,gg,zcor)*100</f>
        <v>0.22658706495748415</v>
      </c>
      <c r="AA68" s="1" cm="1">
        <f t="array" ref="AA68">[1]!unf_pvt_dZdt($D44,AA$36,gg,zcor)*100</f>
        <v>0.21672835340913466</v>
      </c>
      <c r="AB68" s="1" cm="1">
        <f t="array" ref="AB68">[1]!unf_pvt_dZdt($D44,AB$36,gg,zcor)*100</f>
        <v>0.20662746787036834</v>
      </c>
      <c r="AC68" s="1" cm="1">
        <f t="array" ref="AC68">[1]!unf_pvt_dZdt($D44,AC$36,gg,zcor)*100</f>
        <v>0.19644270880536663</v>
      </c>
      <c r="AD68" s="1" cm="1">
        <f t="array" ref="AD68">[1]!unf_pvt_dZdt($D44,AD$36,gg,zcor)*100</f>
        <v>0.18629242132717216</v>
      </c>
      <c r="AE68" s="1" cm="1">
        <f t="array" ref="AE68">[1]!unf_pvt_dZdt($D44,AE$36,gg,zcor)*100</f>
        <v>0.17626241197354897</v>
      </c>
      <c r="AF68" s="1" cm="1">
        <f t="array" ref="AF68">[1]!unf_pvt_dZdt($D44,AF$36,gg,zcor)*100</f>
        <v>0.16641246127202525</v>
      </c>
      <c r="AG68" s="1" cm="1">
        <f t="array" ref="AG68">[1]!unf_pvt_dZdt($D44,AG$36,gg,zcor)*100</f>
        <v>0.15678187268075572</v>
      </c>
      <c r="AH68" s="1" cm="1">
        <f t="array" ref="AH68">[1]!unf_pvt_dZdt($D44,AH$36,gg,zcor)*100</f>
        <v>0.14739409559993977</v>
      </c>
      <c r="AI68" s="1" cm="1">
        <f t="array" ref="AI68">[1]!unf_pvt_dZdt($D44,AI$36,gg,zcor)*100</f>
        <v>0.13826050969778514</v>
      </c>
      <c r="AJ68" s="1" cm="1">
        <f t="array" ref="AJ68">[1]!unf_pvt_dZdt($D44,AJ$36,gg,zcor)*100</f>
        <v>0.12938347813251649</v>
      </c>
      <c r="AK68" s="1" cm="1">
        <f t="array" ref="AK68">[1]!unf_pvt_dZdt($D44,AK$36,gg,zcor)*100</f>
        <v>0.12075878031492238</v>
      </c>
    </row>
    <row r="69" spans="5:37" x14ac:dyDescent="0.45">
      <c r="E69" t="str">
        <f t="shared" si="3"/>
        <v>t=70 C</v>
      </c>
      <c r="F69" s="1" cm="1">
        <f t="array" ref="F69">[1]!unf_pvt_dZdt($D45,F$36,gg,zcor)*100</f>
        <v>1.8038366041972509E-3</v>
      </c>
      <c r="G69" s="1" cm="1">
        <f t="array" ref="G69">[1]!unf_pvt_dZdt($D45,G$36,gg,zcor)*100</f>
        <v>1.8241793609763413E-2</v>
      </c>
      <c r="H69" s="1" cm="1">
        <f t="array" ref="H69">[1]!unf_pvt_dZdt($D45,H$36,gg,zcor)*100</f>
        <v>3.597038607494607E-2</v>
      </c>
      <c r="I69" s="1" cm="1">
        <f t="array" ref="I69">[1]!unf_pvt_dZdt($D45,I$36,gg,zcor)*100</f>
        <v>5.5739460793291506E-2</v>
      </c>
      <c r="J69" s="1" cm="1">
        <f t="array" ref="J69">[1]!unf_pvt_dZdt($D45,J$36,gg,zcor)*100</f>
        <v>7.7615070324110746E-2</v>
      </c>
      <c r="K69" s="1" cm="1">
        <f t="array" ref="K69">[1]!unf_pvt_dZdt($D45,K$36,gg,zcor)*100</f>
        <v>0.10107966393091417</v>
      </c>
      <c r="L69" s="1" cm="1">
        <f t="array" ref="L69">[1]!unf_pvt_dZdt($D45,L$36,gg,zcor)*100</f>
        <v>0.12519874893202054</v>
      </c>
      <c r="M69" s="1" cm="1">
        <f t="array" ref="M69">[1]!unf_pvt_dZdt($D45,M$36,gg,zcor)*100</f>
        <v>0.14883470303972413</v>
      </c>
      <c r="N69" s="1" cm="1">
        <f t="array" ref="N69">[1]!unf_pvt_dZdt($D45,N$36,gg,zcor)*100</f>
        <v>0.17086342859862214</v>
      </c>
      <c r="O69" s="1" cm="1">
        <f t="array" ref="O69">[1]!unf_pvt_dZdt($D45,O$36,gg,zcor)*100</f>
        <v>0.19034747585999767</v>
      </c>
      <c r="P69" s="1" cm="1">
        <f t="array" ref="P69">[1]!unf_pvt_dZdt($D45,P$36,gg,zcor)*100</f>
        <v>0.20663746472093791</v>
      </c>
      <c r="Q69" s="1" cm="1">
        <f t="array" ref="Q69">[1]!unf_pvt_dZdt($D45,Q$36,gg,zcor)*100</f>
        <v>0.21939905592760489</v>
      </c>
      <c r="R69" s="1" cm="1">
        <f t="array" ref="R69">[1]!unf_pvt_dZdt($D45,R$36,gg,zcor)*100</f>
        <v>0.22858237986611574</v>
      </c>
      <c r="S69" s="1" cm="1">
        <f t="array" ref="S69">[1]!unf_pvt_dZdt($D45,S$36,gg,zcor)*100</f>
        <v>0.23435886723888188</v>
      </c>
      <c r="T69" s="1" cm="1">
        <f t="array" ref="T69">[1]!unf_pvt_dZdt($D45,T$36,gg,zcor)*100</f>
        <v>0.23704835618798548</v>
      </c>
      <c r="U69" s="1" cm="1">
        <f t="array" ref="U69">[1]!unf_pvt_dZdt($D45,U$36,gg,zcor)*100</f>
        <v>0.23705212653535312</v>
      </c>
      <c r="V69" s="1" cm="1">
        <f t="array" ref="V69">[1]!unf_pvt_dZdt($D45,V$36,gg,zcor)*100</f>
        <v>0.23479968842110566</v>
      </c>
      <c r="W69" s="1" cm="1">
        <f t="array" ref="W69">[1]!unf_pvt_dZdt($D45,W$36,gg,zcor)*100</f>
        <v>0.23071121801621075</v>
      </c>
      <c r="X69" s="1" cm="1">
        <f t="array" ref="X69">[1]!unf_pvt_dZdt($D45,X$36,gg,zcor)*100</f>
        <v>0.22517407295241654</v>
      </c>
      <c r="Y69" s="1" cm="1">
        <f t="array" ref="Y69">[1]!unf_pvt_dZdt($D45,Y$36,gg,zcor)*100</f>
        <v>0.2185303757791246</v>
      </c>
      <c r="Z69" s="1" cm="1">
        <f t="array" ref="Z69">[1]!unf_pvt_dZdt($D45,Z$36,gg,zcor)*100</f>
        <v>0.21107247346374702</v>
      </c>
      <c r="AA69" s="1" cm="1">
        <f t="array" ref="AA69">[1]!unf_pvt_dZdt($D45,AA$36,gg,zcor)*100</f>
        <v>0.20304352060496189</v>
      </c>
      <c r="AB69" s="1" cm="1">
        <f t="array" ref="AB69">[1]!unf_pvt_dZdt($D45,AB$36,gg,zcor)*100</f>
        <v>0.19464107387801022</v>
      </c>
      <c r="AC69" s="1" cm="1">
        <f t="array" ref="AC69">[1]!unf_pvt_dZdt($D45,AC$36,gg,zcor)*100</f>
        <v>0.18602220398611369</v>
      </c>
      <c r="AD69" s="1" cm="1">
        <f t="array" ref="AD69">[1]!unf_pvt_dZdt($D45,AD$36,gg,zcor)*100</f>
        <v>0.17730913950120275</v>
      </c>
      <c r="AE69" s="1" cm="1">
        <f t="array" ref="AE69">[1]!unf_pvt_dZdt($D45,AE$36,gg,zcor)*100</f>
        <v>0.16859483670994546</v>
      </c>
      <c r="AF69" s="1" cm="1">
        <f t="array" ref="AF69">[1]!unf_pvt_dZdt($D45,AF$36,gg,zcor)*100</f>
        <v>0.15994813542474784</v>
      </c>
      <c r="AG69" s="1" cm="1">
        <f t="array" ref="AG69">[1]!unf_pvt_dZdt($D45,AG$36,gg,zcor)*100</f>
        <v>0.15141833706711072</v>
      </c>
      <c r="AH69" s="1" cm="1">
        <f t="array" ref="AH69">[1]!unf_pvt_dZdt($D45,AH$36,gg,zcor)*100</f>
        <v>0.14303915242552812</v>
      </c>
      <c r="AI69" s="1" cm="1">
        <f t="array" ref="AI69">[1]!unf_pvt_dZdt($D45,AI$36,gg,zcor)*100</f>
        <v>0.13483203228370488</v>
      </c>
      <c r="AJ69" s="1" cm="1">
        <f t="array" ref="AJ69">[1]!unf_pvt_dZdt($D45,AJ$36,gg,zcor)*100</f>
        <v>0.12680892975458491</v>
      </c>
      <c r="AK69" s="1" cm="1">
        <f t="array" ref="AK69">[1]!unf_pvt_dZdt($D45,AK$36,gg,zcor)*100</f>
        <v>0.11897455957743386</v>
      </c>
    </row>
    <row r="70" spans="5:37" x14ac:dyDescent="0.45">
      <c r="E70" t="str">
        <f t="shared" si="3"/>
        <v>t=80 C</v>
      </c>
      <c r="F70" s="1" cm="1">
        <f t="array" ref="F70">[1]!unf_pvt_dZdt($D46,F$36,gg,zcor)*100</f>
        <v>1.5888268005692652E-3</v>
      </c>
      <c r="G70" s="1" cm="1">
        <f t="array" ref="G70">[1]!unf_pvt_dZdt($D46,G$36,gg,zcor)*100</f>
        <v>1.6076895140160197E-2</v>
      </c>
      <c r="H70" s="1" cm="1">
        <f t="array" ref="H70">[1]!unf_pvt_dZdt($D46,H$36,gg,zcor)*100</f>
        <v>3.1597229829039009E-2</v>
      </c>
      <c r="I70" s="1" cm="1">
        <f t="array" ref="I70">[1]!unf_pvt_dZdt($D46,I$36,gg,zcor)*100</f>
        <v>4.8719256669049749E-2</v>
      </c>
      <c r="J70" s="1" cm="1">
        <f t="array" ref="J70">[1]!unf_pvt_dZdt($D46,J$36,gg,zcor)*100</f>
        <v>6.7504433595377833E-2</v>
      </c>
      <c r="K70" s="1" cm="1">
        <f t="array" ref="K70">[1]!unf_pvt_dZdt($D46,K$36,gg,zcor)*100</f>
        <v>8.7578015278366728E-2</v>
      </c>
      <c r="L70" s="1" cm="1">
        <f t="array" ref="L70">[1]!unf_pvt_dZdt($D46,L$36,gg,zcor)*100</f>
        <v>0.10824801669240269</v>
      </c>
      <c r="M70" s="1" cm="1">
        <f t="array" ref="M70">[1]!unf_pvt_dZdt($D46,M$36,gg,zcor)*100</f>
        <v>0.12865606177026034</v>
      </c>
      <c r="N70" s="1" cm="1">
        <f t="array" ref="N70">[1]!unf_pvt_dZdt($D46,N$36,gg,zcor)*100</f>
        <v>0.14793118724332199</v>
      </c>
      <c r="O70" s="1" cm="1">
        <f t="array" ref="O70">[1]!unf_pvt_dZdt($D46,O$36,gg,zcor)*100</f>
        <v>0.16531687845711129</v>
      </c>
      <c r="P70" s="1" cm="1">
        <f t="array" ref="P70">[1]!unf_pvt_dZdt($D46,P$36,gg,zcor)*100</f>
        <v>0.18025221047290874</v>
      </c>
      <c r="Q70" s="1" cm="1">
        <f t="array" ref="Q70">[1]!unf_pvt_dZdt($D46,Q$36,gg,zcor)*100</f>
        <v>0.19240307409307267</v>
      </c>
      <c r="R70" s="1" cm="1">
        <f t="array" ref="R70">[1]!unf_pvt_dZdt($D46,R$36,gg,zcor)*100</f>
        <v>0.20165199804089706</v>
      </c>
      <c r="S70" s="1" cm="1">
        <f t="array" ref="S70">[1]!unf_pvt_dZdt($D46,S$36,gg,zcor)*100</f>
        <v>0.20806135693707262</v>
      </c>
      <c r="T70" s="1" cm="1">
        <f t="array" ref="T70">[1]!unf_pvt_dZdt($D46,T$36,gg,zcor)*100</f>
        <v>0.21182496909688542</v>
      </c>
      <c r="U70" s="1" cm="1">
        <f t="array" ref="U70">[1]!unf_pvt_dZdt($D46,U$36,gg,zcor)*100</f>
        <v>0.21321959966624782</v>
      </c>
      <c r="V70" s="1" cm="1">
        <f t="array" ref="V70">[1]!unf_pvt_dZdt($D46,V$36,gg,zcor)*100</f>
        <v>0.21256327333618596</v>
      </c>
      <c r="W70" s="1" cm="1">
        <f t="array" ref="W70">[1]!unf_pvt_dZdt($D46,W$36,gg,zcor)*100</f>
        <v>0.21018327958399752</v>
      </c>
      <c r="X70" s="1" cm="1">
        <f t="array" ref="X70">[1]!unf_pvt_dZdt($D46,X$36,gg,zcor)*100</f>
        <v>0.20639400882804804</v>
      </c>
      <c r="Y70" s="1" cm="1">
        <f t="array" ref="Y70">[1]!unf_pvt_dZdt($D46,Y$36,gg,zcor)*100</f>
        <v>0.20148327359736928</v>
      </c>
      <c r="Z70" s="1" cm="1">
        <f t="array" ref="Z70">[1]!unf_pvt_dZdt($D46,Z$36,gg,zcor)*100</f>
        <v>0.19570521738521141</v>
      </c>
      <c r="AA70" s="1" cm="1">
        <f t="array" ref="AA70">[1]!unf_pvt_dZdt($D46,AA$36,gg,zcor)*100</f>
        <v>0.1892779243333198</v>
      </c>
      <c r="AB70" s="1" cm="1">
        <f t="array" ref="AB70">[1]!unf_pvt_dZdt($D46,AB$36,gg,zcor)*100</f>
        <v>0.18238412365267909</v>
      </c>
      <c r="AC70" s="1" cm="1">
        <f t="array" ref="AC70">[1]!unf_pvt_dZdt($D46,AC$36,gg,zcor)*100</f>
        <v>0.1751737469729564</v>
      </c>
      <c r="AD70" s="1" cm="1">
        <f t="array" ref="AD70">[1]!unf_pvt_dZdt($D46,AD$36,gg,zcor)*100</f>
        <v>0.16776744483415484</v>
      </c>
      <c r="AE70" s="1" cm="1">
        <f t="array" ref="AE70">[1]!unf_pvt_dZdt($D46,AE$36,gg,zcor)*100</f>
        <v>0.16026045793859911</v>
      </c>
      <c r="AF70" s="1" cm="1">
        <f t="array" ref="AF70">[1]!unf_pvt_dZdt($D46,AF$36,gg,zcor)*100</f>
        <v>0.15272646019104386</v>
      </c>
      <c r="AG70" s="1" cm="1">
        <f t="array" ref="AG70">[1]!unf_pvt_dZdt($D46,AG$36,gg,zcor)*100</f>
        <v>0.14522114986736945</v>
      </c>
      <c r="AH70" s="1" cm="1">
        <f t="array" ref="AH70">[1]!unf_pvt_dZdt($D46,AH$36,gg,zcor)*100</f>
        <v>0.13778547438059174</v>
      </c>
      <c r="AI70" s="1" cm="1">
        <f t="array" ref="AI70">[1]!unf_pvt_dZdt($D46,AI$36,gg,zcor)*100</f>
        <v>0.13044844522935861</v>
      </c>
      <c r="AJ70" s="1" cm="1">
        <f t="array" ref="AJ70">[1]!unf_pvt_dZdt($D46,AJ$36,gg,zcor)*100</f>
        <v>0.12322954365806549</v>
      </c>
      <c r="AK70" s="1" cm="1">
        <f t="array" ref="AK70">[1]!unf_pvt_dZdt($D46,AK$36,gg,zcor)*100</f>
        <v>0.11614074270505093</v>
      </c>
    </row>
    <row r="71" spans="5:37" x14ac:dyDescent="0.45">
      <c r="E71" t="str">
        <f t="shared" si="3"/>
        <v>t=90 C</v>
      </c>
      <c r="F71" s="1" cm="1">
        <f t="array" ref="F71">[1]!unf_pvt_dZdt($D47,F$36,gg,zcor)*100</f>
        <v>1.40580322915973E-3</v>
      </c>
      <c r="G71" s="1" cm="1">
        <f t="array" ref="G71">[1]!unf_pvt_dZdt($D47,G$36,gg,zcor)*100</f>
        <v>1.4235443456578345E-2</v>
      </c>
      <c r="H71" s="1" cm="1">
        <f t="array" ref="H71">[1]!unf_pvt_dZdt($D47,H$36,gg,zcor)*100</f>
        <v>2.7902352408570863E-2</v>
      </c>
      <c r="I71" s="1" cm="1">
        <f t="array" ref="I71">[1]!unf_pvt_dZdt($D47,I$36,gg,zcor)*100</f>
        <v>4.2834913920763995E-2</v>
      </c>
      <c r="J71" s="1" cm="1">
        <f t="array" ref="J71">[1]!unf_pvt_dZdt($D47,J$36,gg,zcor)*100</f>
        <v>5.9082424575196413E-2</v>
      </c>
      <c r="K71" s="1" cm="1">
        <f t="array" ref="K71">[1]!unf_pvt_dZdt($D47,K$36,gg,zcor)*100</f>
        <v>7.6366947156736309E-2</v>
      </c>
      <c r="L71" s="1" cm="1">
        <f t="array" ref="L71">[1]!unf_pvt_dZdt($D47,L$36,gg,zcor)*100</f>
        <v>9.4169290380863302E-2</v>
      </c>
      <c r="M71" s="1" cm="1">
        <f t="array" ref="M71">[1]!unf_pvt_dZdt($D47,M$36,gg,zcor)*100</f>
        <v>0.11183691087601755</v>
      </c>
      <c r="N71" s="1" cm="1">
        <f t="array" ref="N71">[1]!unf_pvt_dZdt($D47,N$36,gg,zcor)*100</f>
        <v>0.12869417012772999</v>
      </c>
      <c r="O71" s="1" cm="1">
        <f t="array" ref="O71">[1]!unf_pvt_dZdt($D47,O$36,gg,zcor)*100</f>
        <v>0.14413549391378844</v>
      </c>
      <c r="P71" s="1" cm="1">
        <f t="array" ref="P71">[1]!unf_pvt_dZdt($D47,P$36,gg,zcor)*100</f>
        <v>0.15768854356423834</v>
      </c>
      <c r="Q71" s="1" cm="1">
        <f t="array" ref="Q71">[1]!unf_pvt_dZdt($D47,Q$36,gg,zcor)*100</f>
        <v>0.16904372250714506</v>
      </c>
      <c r="R71" s="1" cm="1">
        <f t="array" ref="R71">[1]!unf_pvt_dZdt($D47,R$36,gg,zcor)*100</f>
        <v>0.17805430176742743</v>
      </c>
      <c r="S71" s="1" cm="1">
        <f t="array" ref="S71">[1]!unf_pvt_dZdt($D47,S$36,gg,zcor)*100</f>
        <v>0.18471595749791625</v>
      </c>
      <c r="T71" s="1" cm="1">
        <f t="array" ref="T71">[1]!unf_pvt_dZdt($D47,T$36,gg,zcor)*100</f>
        <v>0.18913541472320716</v>
      </c>
      <c r="U71" s="1" cm="1">
        <f t="array" ref="U71">[1]!unf_pvt_dZdt($D47,U$36,gg,zcor)*100</f>
        <v>0.19149631205450657</v>
      </c>
      <c r="V71" s="1" cm="1">
        <f t="array" ref="V71">[1]!unf_pvt_dZdt($D47,V$36,gg,zcor)*100</f>
        <v>0.19202777146132277</v>
      </c>
      <c r="W71" s="1" cm="1">
        <f t="array" ref="W71">[1]!unf_pvt_dZdt($D47,W$36,gg,zcor)*100</f>
        <v>0.19097856534189273</v>
      </c>
      <c r="X71" s="1" cm="1">
        <f t="array" ref="X71">[1]!unf_pvt_dZdt($D47,X$36,gg,zcor)*100</f>
        <v>0.18859778200086552</v>
      </c>
      <c r="Y71" s="1" cm="1">
        <f t="array" ref="Y71">[1]!unf_pvt_dZdt($D47,Y$36,gg,zcor)*100</f>
        <v>0.18512163314843288</v>
      </c>
      <c r="Z71" s="1" cm="1">
        <f t="array" ref="Z71">[1]!unf_pvt_dZdt($D47,Z$36,gg,zcor)*100</f>
        <v>0.18076541515954503</v>
      </c>
      <c r="AA71" s="1" cm="1">
        <f t="array" ref="AA71">[1]!unf_pvt_dZdt($D47,AA$36,gg,zcor)*100</f>
        <v>0.17571943916860899</v>
      </c>
      <c r="AB71" s="1" cm="1">
        <f t="array" ref="AB71">[1]!unf_pvt_dZdt($D47,AB$36,gg,zcor)*100</f>
        <v>0.17014780259794193</v>
      </c>
      <c r="AC71" s="1" cm="1">
        <f t="array" ref="AC71">[1]!unf_pvt_dZdt($D47,AC$36,gg,zcor)*100</f>
        <v>0.16418905177306709</v>
      </c>
      <c r="AD71" s="1" cm="1">
        <f t="array" ref="AD71">[1]!unf_pvt_dZdt($D47,AD$36,gg,zcor)*100</f>
        <v>0.15795799641249442</v>
      </c>
      <c r="AE71" s="1" cm="1">
        <f t="array" ref="AE71">[1]!unf_pvt_dZdt($D47,AE$36,gg,zcor)*100</f>
        <v>0.15154813592743732</v>
      </c>
      <c r="AF71" s="1" cm="1">
        <f t="array" ref="AF71">[1]!unf_pvt_dZdt($D47,AF$36,gg,zcor)*100</f>
        <v>0.14503432450529985</v>
      </c>
      <c r="AG71" s="1" cm="1">
        <f t="array" ref="AG71">[1]!unf_pvt_dZdt($D47,AG$36,gg,zcor)*100</f>
        <v>0.13847543199874135</v>
      </c>
      <c r="AH71" s="1" cm="1">
        <f t="array" ref="AH71">[1]!unf_pvt_dZdt($D47,AH$36,gg,zcor)*100</f>
        <v>0.13191685348290516</v>
      </c>
      <c r="AI71" s="1" cm="1">
        <f t="array" ref="AI71">[1]!unf_pvt_dZdt($D47,AI$36,gg,zcor)*100</f>
        <v>0.12539278775947071</v>
      </c>
      <c r="AJ71" s="1" cm="1">
        <f t="array" ref="AJ71">[1]!unf_pvt_dZdt($D47,AJ$36,gg,zcor)*100</f>
        <v>0.11892825047710165</v>
      </c>
      <c r="AK71" s="1" cm="1">
        <f t="array" ref="AK71">[1]!unf_pvt_dZdt($D47,AK$36,gg,zcor)*100</f>
        <v>0.11254081662748217</v>
      </c>
    </row>
    <row r="72" spans="5:37" x14ac:dyDescent="0.45">
      <c r="E72" t="str">
        <f t="shared" si="3"/>
        <v>t=100 C</v>
      </c>
      <c r="F72" s="1" cm="1">
        <f t="array" ref="F72">[1]!unf_pvt_dZdt($D48,F$36,gg,zcor)*100</f>
        <v>1.2491032072015074E-3</v>
      </c>
      <c r="G72" s="1" cm="1">
        <f t="array" ref="G72">[1]!unf_pvt_dZdt($D48,G$36,gg,zcor)*100</f>
        <v>1.2659660786895621E-2</v>
      </c>
      <c r="H72" s="1" cm="1">
        <f t="array" ref="H72">[1]!unf_pvt_dZdt($D48,H$36,gg,zcor)*100</f>
        <v>2.4759276742614134E-2</v>
      </c>
      <c r="I72" s="1" cm="1">
        <f t="array" ref="I72">[1]!unf_pvt_dZdt($D48,I$36,gg,zcor)*100</f>
        <v>3.7865978078532869E-2</v>
      </c>
      <c r="J72" s="1" cm="1">
        <f t="array" ref="J72">[1]!unf_pvt_dZdt($D48,J$36,gg,zcor)*100</f>
        <v>5.2013885646462477E-2</v>
      </c>
      <c r="K72" s="1" cm="1">
        <f t="array" ref="K72">[1]!unf_pvt_dZdt($D48,K$36,gg,zcor)*100</f>
        <v>6.699114981856269E-2</v>
      </c>
      <c r="L72" s="1" cm="1">
        <f t="array" ref="L72">[1]!unf_pvt_dZdt($D48,L$36,gg,zcor)*100</f>
        <v>8.2402737679010407E-2</v>
      </c>
      <c r="M72" s="1" cm="1">
        <f t="array" ref="M72">[1]!unf_pvt_dZdt($D48,M$36,gg,zcor)*100</f>
        <v>9.7748484485959963E-2</v>
      </c>
      <c r="N72" s="1" cm="1">
        <f t="array" ref="N72">[1]!unf_pvt_dZdt($D48,N$36,gg,zcor)*100</f>
        <v>0.11250280637697951</v>
      </c>
      <c r="O72" s="1" cm="1">
        <f t="array" ref="O72">[1]!unf_pvt_dZdt($D48,O$36,gg,zcor)*100</f>
        <v>0.12618308786127574</v>
      </c>
      <c r="P72" s="1" cm="1">
        <f t="array" ref="P72">[1]!unf_pvt_dZdt($D48,P$36,gg,zcor)*100</f>
        <v>0.13839806045978786</v>
      </c>
      <c r="Q72" s="1" cm="1">
        <f t="array" ref="Q72">[1]!unf_pvt_dZdt($D48,Q$36,gg,zcor)*100</f>
        <v>0.14887327329748956</v>
      </c>
      <c r="R72" s="1" cm="1">
        <f t="array" ref="R72">[1]!unf_pvt_dZdt($D48,R$36,gg,zcor)*100</f>
        <v>0.15745583680537578</v>
      </c>
      <c r="S72" s="1" cm="1">
        <f t="array" ref="S72">[1]!unf_pvt_dZdt($D48,S$36,gg,zcor)*100</f>
        <v>0.16410372523167904</v>
      </c>
      <c r="T72" s="1" cm="1">
        <f t="array" ref="T72">[1]!unf_pvt_dZdt($D48,T$36,gg,zcor)*100</f>
        <v>0.16886587145403809</v>
      </c>
      <c r="U72" s="1" cm="1">
        <f t="array" ref="U72">[1]!unf_pvt_dZdt($D48,U$36,gg,zcor)*100</f>
        <v>0.17185863201141238</v>
      </c>
      <c r="V72" s="1" cm="1">
        <f t="array" ref="V72">[1]!unf_pvt_dZdt($D48,V$36,gg,zcor)*100</f>
        <v>0.17324273030216997</v>
      </c>
      <c r="W72" s="1" cm="1">
        <f t="array" ref="W72">[1]!unf_pvt_dZdt($D48,W$36,gg,zcor)*100</f>
        <v>0.17320316693647531</v>
      </c>
      <c r="X72" s="1" cm="1">
        <f t="array" ref="X72">[1]!unf_pvt_dZdt($D48,X$36,gg,zcor)*100</f>
        <v>0.17193321849329202</v>
      </c>
      <c r="Y72" s="1" cm="1">
        <f t="array" ref="Y72">[1]!unf_pvt_dZdt($D48,Y$36,gg,zcor)*100</f>
        <v>0.16962268183917661</v>
      </c>
      <c r="Z72" s="1" cm="1">
        <f t="array" ref="Z72">[1]!unf_pvt_dZdt($D48,Z$36,gg,zcor)*100</f>
        <v>0.16644995048331612</v>
      </c>
      <c r="AA72" s="1" cm="1">
        <f t="array" ref="AA72">[1]!unf_pvt_dZdt($D48,AA$36,gg,zcor)*100</f>
        <v>0.16257724574497701</v>
      </c>
      <c r="AB72" s="1" cm="1">
        <f t="array" ref="AB72">[1]!unf_pvt_dZdt($D48,AB$36,gg,zcor)*100</f>
        <v>0.15814826627558176</v>
      </c>
      <c r="AC72" s="1" cm="1">
        <f t="array" ref="AC72">[1]!unf_pvt_dZdt($D48,AC$36,gg,zcor)*100</f>
        <v>0.1532875766665498</v>
      </c>
      <c r="AD72" s="1" cm="1">
        <f t="array" ref="AD72">[1]!unf_pvt_dZdt($D48,AD$36,gg,zcor)*100</f>
        <v>0.14810116624219827</v>
      </c>
      <c r="AE72" s="1" cm="1">
        <f t="array" ref="AE72">[1]!unf_pvt_dZdt($D48,AE$36,gg,zcor)*100</f>
        <v>0.14267773290110863</v>
      </c>
      <c r="AF72" s="1" cm="1">
        <f t="array" ref="AF72">[1]!unf_pvt_dZdt($D48,AF$36,gg,zcor)*100</f>
        <v>0.13709036228870541</v>
      </c>
      <c r="AG72" s="1" cm="1">
        <f t="array" ref="AG72">[1]!unf_pvt_dZdt($D48,AG$36,gg,zcor)*100</f>
        <v>0.13139837006626021</v>
      </c>
      <c r="AH72" s="1" cm="1">
        <f t="array" ref="AH72">[1]!unf_pvt_dZdt($D48,AH$36,gg,zcor)*100</f>
        <v>0.12564915207002869</v>
      </c>
      <c r="AI72" s="1" cm="1">
        <f t="array" ref="AI72">[1]!unf_pvt_dZdt($D48,AI$36,gg,zcor)*100</f>
        <v>0.11987994513318334</v>
      </c>
      <c r="AJ72" s="1" cm="1">
        <f t="array" ref="AJ72">[1]!unf_pvt_dZdt($D48,AJ$36,gg,zcor)*100</f>
        <v>0.11411944310779631</v>
      </c>
      <c r="AK72" s="1" cm="1">
        <f t="array" ref="AK72">[1]!unf_pvt_dZdt($D48,AK$36,gg,zcor)*100</f>
        <v>0.10838924161216124</v>
      </c>
    </row>
    <row r="73" spans="5:37" x14ac:dyDescent="0.45">
      <c r="E73" t="str">
        <f t="shared" si="3"/>
        <v>t=110 C</v>
      </c>
      <c r="F73" s="1" cm="1">
        <f t="array" ref="F73">[1]!unf_pvt_dZdt($D49,F$36,gg,zcor)*100</f>
        <v>1.1142001127284473E-3</v>
      </c>
      <c r="G73" s="1" cm="1">
        <f t="array" ref="G73">[1]!unf_pvt_dZdt($D49,G$36,gg,zcor)*100</f>
        <v>1.130351647893324E-2</v>
      </c>
      <c r="H73" s="1" cm="1">
        <f t="array" ref="H73">[1]!unf_pvt_dZdt($D49,H$36,gg,zcor)*100</f>
        <v>2.2068447665835045E-2</v>
      </c>
      <c r="I73" s="1" cm="1">
        <f t="array" ref="I73">[1]!unf_pvt_dZdt($D49,I$36,gg,zcor)*100</f>
        <v>3.3640622498665174E-2</v>
      </c>
      <c r="J73" s="1" cm="1">
        <f t="array" ref="J73">[1]!unf_pvt_dZdt($D49,J$36,gg,zcor)*100</f>
        <v>4.6038518362156999E-2</v>
      </c>
      <c r="K73" s="1" cm="1">
        <f t="array" ref="K73">[1]!unf_pvt_dZdt($D49,K$36,gg,zcor)*100</f>
        <v>5.9095696840372192E-2</v>
      </c>
      <c r="L73" s="1" cm="1">
        <f t="array" ref="L73">[1]!unf_pvt_dZdt($D49,L$36,gg,zcor)*100</f>
        <v>7.2507064388771525E-2</v>
      </c>
      <c r="M73" s="1" cm="1">
        <f t="array" ref="M73">[1]!unf_pvt_dZdt($D49,M$36,gg,zcor)*100</f>
        <v>8.5885828740028813E-2</v>
      </c>
      <c r="N73" s="1" cm="1">
        <f t="array" ref="N73">[1]!unf_pvt_dZdt($D49,N$36,gg,zcor)*100</f>
        <v>9.8821520092329251E-2</v>
      </c>
      <c r="O73" s="1" cm="1">
        <f t="array" ref="O73">[1]!unf_pvt_dZdt($D49,O$36,gg,zcor)*100</f>
        <v>0.11093025901254272</v>
      </c>
      <c r="P73" s="1" cm="1">
        <f t="array" ref="P73">[1]!unf_pvt_dZdt($D49,P$36,gg,zcor)*100</f>
        <v>0.12189140632035134</v>
      </c>
      <c r="Q73" s="1" cm="1">
        <f t="array" ref="Q73">[1]!unf_pvt_dZdt($D49,Q$36,gg,zcor)*100</f>
        <v>0.13146846626299613</v>
      </c>
      <c r="R73" s="1" cm="1">
        <f t="array" ref="R73">[1]!unf_pvt_dZdt($D49,R$36,gg,zcor)*100</f>
        <v>0.13951538723966372</v>
      </c>
      <c r="S73" s="1" cm="1">
        <f t="array" ref="S73">[1]!unf_pvt_dZdt($D49,S$36,gg,zcor)*100</f>
        <v>0.14597149441741841</v>
      </c>
      <c r="T73" s="1" cm="1">
        <f t="array" ref="T73">[1]!unf_pvt_dZdt($D49,T$36,gg,zcor)*100</f>
        <v>0.15084907215223708</v>
      </c>
      <c r="U73" s="1" cm="1">
        <f t="array" ref="U73">[1]!unf_pvt_dZdt($D49,U$36,gg,zcor)*100</f>
        <v>0.15421737887388876</v>
      </c>
      <c r="V73" s="1" cm="1">
        <f t="array" ref="V73">[1]!unf_pvt_dZdt($D49,V$36,gg,zcor)*100</f>
        <v>0.15618606386780254</v>
      </c>
      <c r="W73" s="1" cm="1">
        <f t="array" ref="W73">[1]!unf_pvt_dZdt($D49,W$36,gg,zcor)*100</f>
        <v>0.15688996249418885</v>
      </c>
      <c r="X73" s="1" cm="1">
        <f t="array" ref="X73">[1]!unf_pvt_dZdt($D49,X$36,gg,zcor)*100</f>
        <v>0.15647633902082791</v>
      </c>
      <c r="Y73" s="1" cm="1">
        <f t="array" ref="Y73">[1]!unf_pvt_dZdt($D49,Y$36,gg,zcor)*100</f>
        <v>0.15509495076371227</v>
      </c>
      <c r="Z73" s="1" cm="1">
        <f t="array" ref="Z73">[1]!unf_pvt_dZdt($D49,Z$36,gg,zcor)*100</f>
        <v>0.15289084793201901</v>
      </c>
      <c r="AA73" s="1" cm="1">
        <f t="array" ref="AA73">[1]!unf_pvt_dZdt($D49,AA$36,gg,zcor)*100</f>
        <v>0.14999956779060408</v>
      </c>
      <c r="AB73" s="1" cm="1">
        <f t="array" ref="AB73">[1]!unf_pvt_dZdt($D49,AB$36,gg,zcor)*100</f>
        <v>0.14654427579852136</v>
      </c>
      <c r="AC73" s="1" cm="1">
        <f t="array" ref="AC73">[1]!unf_pvt_dZdt($D49,AC$36,gg,zcor)*100</f>
        <v>0.14263439701212022</v>
      </c>
      <c r="AD73" s="1" cm="1">
        <f t="array" ref="AD73">[1]!unf_pvt_dZdt($D49,AD$36,gg,zcor)*100</f>
        <v>0.13836532548827662</v>
      </c>
      <c r="AE73" s="1" cm="1">
        <f t="array" ref="AE73">[1]!unf_pvt_dZdt($D49,AE$36,gg,zcor)*100</f>
        <v>0.13381886758234707</v>
      </c>
      <c r="AF73" s="1" cm="1">
        <f t="array" ref="AF73">[1]!unf_pvt_dZdt($D49,AF$36,gg,zcor)*100</f>
        <v>0.1290641481085375</v>
      </c>
      <c r="AG73" s="1" cm="1">
        <f t="array" ref="AG73">[1]!unf_pvt_dZdt($D49,AG$36,gg,zcor)*100</f>
        <v>0.12415877591298585</v>
      </c>
      <c r="AH73" s="1" cm="1">
        <f t="array" ref="AH73">[1]!unf_pvt_dZdt($D49,AH$36,gg,zcor)*100</f>
        <v>0.11915012283303383</v>
      </c>
      <c r="AI73" s="1" cm="1">
        <f t="array" ref="AI73">[1]!unf_pvt_dZdt($D49,AI$36,gg,zcor)*100</f>
        <v>0.11407661605933317</v>
      </c>
      <c r="AJ73" s="1" cm="1">
        <f t="array" ref="AJ73">[1]!unf_pvt_dZdt($D49,AJ$36,gg,zcor)*100</f>
        <v>0.10896897917722637</v>
      </c>
      <c r="AK73" s="1" cm="1">
        <f t="array" ref="AK73">[1]!unf_pvt_dZdt($D49,AK$36,gg,zcor)*100</f>
        <v>0.10385138322988041</v>
      </c>
    </row>
    <row r="74" spans="5:37" x14ac:dyDescent="0.45">
      <c r="E74" t="str">
        <f t="shared" si="3"/>
        <v>t=120 C</v>
      </c>
      <c r="F74" s="1" cm="1">
        <f t="array" ref="F74">[1]!unf_pvt_dZdt($D50,F$36,gg,zcor)*100</f>
        <v>9.9745578618914976E-4</v>
      </c>
      <c r="G74" s="1" cm="1">
        <f t="array" ref="G74">[1]!unf_pvt_dZdt($D50,G$36,gg,zcor)*100</f>
        <v>1.0130120207452187E-2</v>
      </c>
      <c r="H74" s="1" cm="1">
        <f t="array" ref="H74">[1]!unf_pvt_dZdt($D50,H$36,gg,zcor)*100</f>
        <v>1.9750945072005699E-2</v>
      </c>
      <c r="I74" s="1" cm="1">
        <f t="array" ref="I74">[1]!unf_pvt_dZdt($D50,I$36,gg,zcor)*100</f>
        <v>3.0023908464293925E-2</v>
      </c>
      <c r="J74" s="1" cm="1">
        <f t="array" ref="J74">[1]!unf_pvt_dZdt($D50,J$36,gg,zcor)*100</f>
        <v>4.0952738779465037E-2</v>
      </c>
      <c r="K74" s="1" cm="1">
        <f t="array" ref="K74">[1]!unf_pvt_dZdt($D50,K$36,gg,zcor)*100</f>
        <v>5.2402407670126827E-2</v>
      </c>
      <c r="L74" s="1" cm="1">
        <f t="array" ref="L74">[1]!unf_pvt_dZdt($D50,L$36,gg,zcor)*100</f>
        <v>6.4133488530071503E-2</v>
      </c>
      <c r="M74" s="1" cm="1">
        <f t="array" ref="M74">[1]!unf_pvt_dZdt($D50,M$36,gg,zcor)*100</f>
        <v>7.5843991541701961E-2</v>
      </c>
      <c r="N74" s="1" cm="1">
        <f t="array" ref="N74">[1]!unf_pvt_dZdt($D50,N$36,gg,zcor)*100</f>
        <v>8.7211797135333669E-2</v>
      </c>
      <c r="O74" s="1" cm="1">
        <f t="array" ref="O74">[1]!unf_pvt_dZdt($D50,O$36,gg,zcor)*100</f>
        <v>9.7931626277913963E-2</v>
      </c>
      <c r="P74" s="1" cm="1">
        <f t="array" ref="P74">[1]!unf_pvt_dZdt($D50,P$36,gg,zcor)*100</f>
        <v>0.10774257610801641</v>
      </c>
      <c r="Q74" s="1" cm="1">
        <f t="array" ref="Q74">[1]!unf_pvt_dZdt($D50,Q$36,gg,zcor)*100</f>
        <v>0.1164447234687227</v>
      </c>
      <c r="R74" s="1" cm="1">
        <f t="array" ref="R74">[1]!unf_pvt_dZdt($D50,R$36,gg,zcor)*100</f>
        <v>0.12390543096185702</v>
      </c>
      <c r="S74" s="1" cm="1">
        <f t="array" ref="S74">[1]!unf_pvt_dZdt($D50,S$36,gg,zcor)*100</f>
        <v>0.13005738050930749</v>
      </c>
      <c r="T74" s="1" cm="1">
        <f t="array" ref="T74">[1]!unf_pvt_dZdt($D50,T$36,gg,zcor)*100</f>
        <v>0.13489094332808094</v>
      </c>
      <c r="U74" s="1" cm="1">
        <f t="array" ref="U74">[1]!unf_pvt_dZdt($D50,U$36,gg,zcor)*100</f>
        <v>0.13844343555913241</v>
      </c>
      <c r="V74" s="1" cm="1">
        <f t="array" ref="V74">[1]!unf_pvt_dZdt($D50,V$36,gg,zcor)*100</f>
        <v>0.14078735833422673</v>
      </c>
      <c r="W74" s="1" cm="1">
        <f t="array" ref="W74">[1]!unf_pvt_dZdt($D50,W$36,gg,zcor)*100</f>
        <v>0.14201911704481152</v>
      </c>
      <c r="X74" s="1" cm="1">
        <f t="array" ref="X74">[1]!unf_pvt_dZdt($D50,X$36,gg,zcor)*100</f>
        <v>0.14224912566807024</v>
      </c>
      <c r="Y74" s="1" cm="1">
        <f t="array" ref="Y74">[1]!unf_pvt_dZdt($D50,Y$36,gg,zcor)*100</f>
        <v>0.14159371998589965</v>
      </c>
      <c r="Z74" s="1" cm="1">
        <f t="array" ref="Z74">[1]!unf_pvt_dZdt($D50,Z$36,gg,zcor)*100</f>
        <v>0.14016895856405753</v>
      </c>
      <c r="AA74" s="1" cm="1">
        <f t="array" ref="AA74">[1]!unf_pvt_dZdt($D50,AA$36,gg,zcor)*100</f>
        <v>0.1380861746111961</v>
      </c>
      <c r="AB74" s="1" cm="1">
        <f t="array" ref="AB74">[1]!unf_pvt_dZdt($D50,AB$36,gg,zcor)*100</f>
        <v>0.13544902919393476</v>
      </c>
      <c r="AC74" s="1" cm="1">
        <f t="array" ref="AC74">[1]!unf_pvt_dZdt($D50,AC$36,gg,zcor)*100</f>
        <v>0.13235177654791208</v>
      </c>
      <c r="AD74" s="1" cm="1">
        <f t="array" ref="AD74">[1]!unf_pvt_dZdt($D50,AD$36,gg,zcor)*100</f>
        <v>0.12887845836551115</v>
      </c>
      <c r="AE74" s="1" cm="1">
        <f t="array" ref="AE74">[1]!unf_pvt_dZdt($D50,AE$36,gg,zcor)*100</f>
        <v>0.12510277510935364</v>
      </c>
      <c r="AF74" s="1" cm="1">
        <f t="array" ref="AF74">[1]!unf_pvt_dZdt($D50,AF$36,gg,zcor)*100</f>
        <v>0.12108842420099908</v>
      </c>
      <c r="AG74" s="1" cm="1">
        <f t="array" ref="AG74">[1]!unf_pvt_dZdt($D50,AG$36,gg,zcor)*100</f>
        <v>0.11688973826096127</v>
      </c>
      <c r="AH74" s="1" cm="1">
        <f t="array" ref="AH74">[1]!unf_pvt_dZdt($D50,AH$36,gg,zcor)*100</f>
        <v>0.11255249649444465</v>
      </c>
      <c r="AI74" s="1" cm="1">
        <f t="array" ref="AI74">[1]!unf_pvt_dZdt($D50,AI$36,gg,zcor)*100</f>
        <v>0.10811481642902798</v>
      </c>
      <c r="AJ74" s="1" cm="1">
        <f t="array" ref="AJ74">[1]!unf_pvt_dZdt($D50,AJ$36,gg,zcor)*100</f>
        <v>0.10360806093334674</v>
      </c>
      <c r="AK74" s="1" cm="1">
        <f t="array" ref="AK74">[1]!unf_pvt_dZdt($D50,AK$36,gg,zcor)*100</f>
        <v>9.9057717108053112E-2</v>
      </c>
    </row>
    <row r="75" spans="5:37" x14ac:dyDescent="0.45">
      <c r="E75" t="str">
        <f t="shared" si="3"/>
        <v>t=130 C</v>
      </c>
      <c r="F75" s="1" cm="1">
        <f t="array" ref="F75">[1]!unf_pvt_dZdt($D51,F$36,gg,zcor)*100</f>
        <v>8.9592951224570783E-4</v>
      </c>
      <c r="G75" s="1" cm="1">
        <f t="array" ref="G75">[1]!unf_pvt_dZdt($D51,G$36,gg,zcor)*100</f>
        <v>9.1097259068417813E-3</v>
      </c>
      <c r="H75" s="1" cm="1">
        <f t="array" ref="H75">[1]!unf_pvt_dZdt($D51,H$36,gg,zcor)*100</f>
        <v>1.7743763863764528E-2</v>
      </c>
      <c r="I75" s="1" cm="1">
        <f t="array" ref="I75">[1]!unf_pvt_dZdt($D51,I$36,gg,zcor)*100</f>
        <v>2.6909072026071179E-2</v>
      </c>
      <c r="J75" s="1" cm="1">
        <f t="array" ref="J75">[1]!unf_pvt_dZdt($D51,J$36,gg,zcor)*100</f>
        <v>3.6596189107562793E-2</v>
      </c>
      <c r="K75" s="1" cm="1">
        <f t="array" ref="K75">[1]!unf_pvt_dZdt($D51,K$36,gg,zcor)*100</f>
        <v>4.6691973875745418E-2</v>
      </c>
      <c r="L75" s="1" cm="1">
        <f t="array" ref="L75">[1]!unf_pvt_dZdt($D51,L$36,gg,zcor)*100</f>
        <v>5.7005318064629051E-2</v>
      </c>
      <c r="M75" s="1" cm="1">
        <f t="array" ref="M75">[1]!unf_pvt_dZdt($D51,M$36,gg,zcor)*100</f>
        <v>6.7298012104699545E-2</v>
      </c>
      <c r="N75" s="1" cm="1">
        <f t="array" ref="N75">[1]!unf_pvt_dZdt($D51,N$36,gg,zcor)*100</f>
        <v>7.7315856137682992E-2</v>
      </c>
      <c r="O75" s="1" cm="1">
        <f t="array" ref="O75">[1]!unf_pvt_dZdt($D51,O$36,gg,zcor)*100</f>
        <v>8.6815824577368694E-2</v>
      </c>
      <c r="P75" s="1" cm="1">
        <f t="array" ref="P75">[1]!unf_pvt_dZdt($D51,P$36,gg,zcor)*100</f>
        <v>9.5586594749397236E-2</v>
      </c>
      <c r="Q75" s="1" cm="1">
        <f t="array" ref="Q75">[1]!unf_pvt_dZdt($D51,Q$36,gg,zcor)*100</f>
        <v>0.10346141973804901</v>
      </c>
      <c r="R75" s="1" cm="1">
        <f t="array" ref="R75">[1]!unf_pvt_dZdt($D51,R$36,gg,zcor)*100</f>
        <v>0.11032372844865801</v>
      </c>
      <c r="S75" s="1" cm="1">
        <f t="array" ref="S75">[1]!unf_pvt_dZdt($D51,S$36,gg,zcor)*100</f>
        <v>0.11610675420381522</v>
      </c>
      <c r="T75" s="1" cm="1">
        <f t="array" ref="T75">[1]!unf_pvt_dZdt($D51,T$36,gg,zcor)*100</f>
        <v>0.12078890338562687</v>
      </c>
      <c r="U75" s="1" cm="1">
        <f t="array" ref="U75">[1]!unf_pvt_dZdt($D51,U$36,gg,zcor)*100</f>
        <v>0.1243865791207277</v>
      </c>
      <c r="V75" s="1" cm="1">
        <f t="array" ref="V75">[1]!unf_pvt_dZdt($D51,V$36,gg,zcor)*100</f>
        <v>0.1269459219467306</v>
      </c>
      <c r="W75" s="1" cm="1">
        <f t="array" ref="W75">[1]!unf_pvt_dZdt($D51,W$36,gg,zcor)*100</f>
        <v>0.12853456175854205</v>
      </c>
      <c r="X75" s="1" cm="1">
        <f t="array" ref="X75">[1]!unf_pvt_dZdt($D51,X$36,gg,zcor)*100</f>
        <v>0.12923409802767516</v>
      </c>
      <c r="Y75" s="1" cm="1">
        <f t="array" ref="Y75">[1]!unf_pvt_dZdt($D51,Y$36,gg,zcor)*100</f>
        <v>0.12913370013156733</v>
      </c>
      <c r="Z75" s="1" cm="1">
        <f t="array" ref="Z75">[1]!unf_pvt_dZdt($D51,Z$36,gg,zcor)*100</f>
        <v>0.12832497233095097</v>
      </c>
      <c r="AA75" s="1" cm="1">
        <f t="array" ref="AA75">[1]!unf_pvt_dZdt($D51,AA$36,gg,zcor)*100</f>
        <v>0.12689806006604964</v>
      </c>
      <c r="AB75" s="1" cm="1">
        <f t="array" ref="AB75">[1]!unf_pvt_dZdt($D51,AB$36,gg,zcor)*100</f>
        <v>0.12493887428532968</v>
      </c>
      <c r="AC75" s="1" cm="1">
        <f t="array" ref="AC75">[1]!unf_pvt_dZdt($D51,AC$36,gg,zcor)*100</f>
        <v>0.12252726212935716</v>
      </c>
      <c r="AD75" s="1" cm="1">
        <f t="array" ref="AD75">[1]!unf_pvt_dZdt($D51,AD$36,gg,zcor)*100</f>
        <v>0.11973593934366811</v>
      </c>
      <c r="AE75" s="1" cm="1">
        <f t="array" ref="AE75">[1]!unf_pvt_dZdt($D51,AE$36,gg,zcor)*100</f>
        <v>0.11663000873651796</v>
      </c>
      <c r="AF75" s="1" cm="1">
        <f t="array" ref="AF75">[1]!unf_pvt_dZdt($D51,AF$36,gg,zcor)*100</f>
        <v>0.11326690967572439</v>
      </c>
      <c r="AG75" s="1" cm="1">
        <f t="array" ref="AG75">[1]!unf_pvt_dZdt($D51,AG$36,gg,zcor)*100</f>
        <v>0.10969666906079922</v>
      </c>
      <c r="AH75" s="1" cm="1">
        <f t="array" ref="AH75">[1]!unf_pvt_dZdt($D51,AH$36,gg,zcor)*100</f>
        <v>0.10596235001281151</v>
      </c>
      <c r="AI75" s="1" cm="1">
        <f t="array" ref="AI75">[1]!unf_pvt_dZdt($D51,AI$36,gg,zcor)*100</f>
        <v>0.10210061822846228</v>
      </c>
      <c r="AJ75" s="1" cm="1">
        <f t="array" ref="AJ75">[1]!unf_pvt_dZdt($D51,AJ$36,gg,zcor)*100</f>
        <v>9.8142366371845036E-2</v>
      </c>
      <c r="AK75" s="1" cm="1">
        <f t="array" ref="AK75">[1]!unf_pvt_dZdt($D51,AK$36,gg,zcor)*100</f>
        <v>9.411335372622176E-2</v>
      </c>
    </row>
    <row r="76" spans="5:37" x14ac:dyDescent="0.45">
      <c r="E76" t="str">
        <f t="shared" si="3"/>
        <v>t=140 C</v>
      </c>
      <c r="F76" s="1" cm="1">
        <f t="array" ref="F76">[1]!unf_pvt_dZdt($D52,F$36,gg,zcor)*100</f>
        <v>8.0723047812814031E-4</v>
      </c>
      <c r="G76" s="1" cm="1">
        <f t="array" ref="G76">[1]!unf_pvt_dZdt($D52,G$36,gg,zcor)*100</f>
        <v>8.2181995597618851E-3</v>
      </c>
      <c r="H76" s="1" cm="1">
        <f t="array" ref="H76">[1]!unf_pvt_dZdt($D52,H$36,gg,zcor)*100</f>
        <v>1.5996251693128904E-2</v>
      </c>
      <c r="I76" s="1" cm="1">
        <f t="array" ref="I76">[1]!unf_pvt_dZdt($D52,I$36,gg,zcor)*100</f>
        <v>2.4211017615960451E-2</v>
      </c>
      <c r="J76" s="1" cm="1">
        <f t="array" ref="J76">[1]!unf_pvt_dZdt($D52,J$36,gg,zcor)*100</f>
        <v>3.2841664422966765E-2</v>
      </c>
      <c r="K76" s="1" cm="1">
        <f t="array" ref="K76">[1]!unf_pvt_dZdt($D52,K$36,gg,zcor)*100</f>
        <v>4.1790443325750992E-2</v>
      </c>
      <c r="L76" s="1" cm="1">
        <f t="array" ref="L76">[1]!unf_pvt_dZdt($D52,L$36,gg,zcor)*100</f>
        <v>5.0902077475933893E-2</v>
      </c>
      <c r="M76" s="1" cm="1">
        <f t="array" ref="M76">[1]!unf_pvt_dZdt($D52,M$36,gg,zcor)*100</f>
        <v>5.9986592217287082E-2</v>
      </c>
      <c r="N76" s="1" cm="1">
        <f t="array" ref="N76">[1]!unf_pvt_dZdt($D52,N$36,gg,zcor)*100</f>
        <v>6.8842124477663802E-2</v>
      </c>
      <c r="O76" s="1" cm="1">
        <f t="array" ref="O76">[1]!unf_pvt_dZdt($D52,O$36,gg,zcor)*100</f>
        <v>7.7274818422790048E-2</v>
      </c>
      <c r="P76" s="1" cm="1">
        <f t="array" ref="P76">[1]!unf_pvt_dZdt($D52,P$36,gg,zcor)*100</f>
        <v>8.5113996280306026E-2</v>
      </c>
      <c r="Q76" s="1" cm="1">
        <f t="array" ref="Q76">[1]!unf_pvt_dZdt($D52,Q$36,gg,zcor)*100</f>
        <v>9.2221932204927803E-2</v>
      </c>
      <c r="R76" s="1" cm="1">
        <f t="array" ref="R76">[1]!unf_pvt_dZdt($D52,R$36,gg,zcor)*100</f>
        <v>9.8498485835984972E-2</v>
      </c>
      <c r="S76" s="1" cm="1">
        <f t="array" ref="S76">[1]!unf_pvt_dZdt($D52,S$36,gg,zcor)*100</f>
        <v>0.10388145477324695</v>
      </c>
      <c r="T76" s="1" cm="1">
        <f t="array" ref="T76">[1]!unf_pvt_dZdt($D52,T$36,gg,zcor)*100</f>
        <v>0.10834378157320579</v>
      </c>
      <c r="U76" s="1" cm="1">
        <f t="array" ref="U76">[1]!unf_pvt_dZdt($D52,U$36,gg,zcor)*100</f>
        <v>0.11188876963719174</v>
      </c>
      <c r="V76" s="1" cm="1">
        <f t="array" ref="V76">[1]!unf_pvt_dZdt($D52,V$36,gg,zcor)*100</f>
        <v>0.11454431601909398</v>
      </c>
      <c r="W76" s="1" cm="1">
        <f t="array" ref="W76">[1]!unf_pvt_dZdt($D52,W$36,gg,zcor)*100</f>
        <v>0.1163569437085954</v>
      </c>
      <c r="X76" s="1" cm="1">
        <f t="array" ref="X76">[1]!unf_pvt_dZdt($D52,X$36,gg,zcor)*100</f>
        <v>0.11738617577072841</v>
      </c>
      <c r="Y76" s="1" cm="1">
        <f t="array" ref="Y76">[1]!unf_pvt_dZdt($D52,Y$36,gg,zcor)*100</f>
        <v>0.11769957851970325</v>
      </c>
      <c r="Z76" s="1" cm="1">
        <f t="array" ref="Z76">[1]!unf_pvt_dZdt($D52,Z$36,gg,zcor)*100</f>
        <v>0.11736862945965765</v>
      </c>
      <c r="AA76" s="1" cm="1">
        <f t="array" ref="AA76">[1]!unf_pvt_dZdt($D52,AA$36,gg,zcor)*100</f>
        <v>0.11646544207111198</v>
      </c>
      <c r="AB76" s="1" cm="1">
        <f t="array" ref="AB76">[1]!unf_pvt_dZdt($D52,AB$36,gg,zcor)*100</f>
        <v>0.11506029909669202</v>
      </c>
      <c r="AC76" s="1" cm="1">
        <f t="array" ref="AC76">[1]!unf_pvt_dZdt($D52,AC$36,gg,zcor)*100</f>
        <v>0.11321990034884877</v>
      </c>
      <c r="AD76" s="1" cm="1">
        <f t="array" ref="AD76">[1]!unf_pvt_dZdt($D52,AD$36,gg,zcor)*100</f>
        <v>0.11100621100124108</v>
      </c>
      <c r="AE76" s="1" cm="1">
        <f t="array" ref="AE76">[1]!unf_pvt_dZdt($D52,AE$36,gg,zcor)*100</f>
        <v>0.10847579346351388</v>
      </c>
      <c r="AF76" s="1" cm="1">
        <f t="array" ref="AF76">[1]!unf_pvt_dZdt($D52,AF$36,gg,zcor)*100</f>
        <v>0.10567951360596073</v>
      </c>
      <c r="AG76" s="1" cm="1">
        <f t="array" ref="AG76">[1]!unf_pvt_dZdt($D52,AG$36,gg,zcor)*100</f>
        <v>0.10266252534918419</v>
      </c>
      <c r="AH76" s="1" cm="1">
        <f t="array" ref="AH76">[1]!unf_pvt_dZdt($D52,AH$36,gg,zcor)*100</f>
        <v>9.946445298669726E-2</v>
      </c>
      <c r="AI76" s="1" cm="1">
        <f t="array" ref="AI76">[1]!unf_pvt_dZdt($D52,AI$36,gg,zcor)*100</f>
        <v>9.6119706034847319E-2</v>
      </c>
      <c r="AJ76" s="1" cm="1">
        <f t="array" ref="AJ76">[1]!unf_pvt_dZdt($D52,AJ$36,gg,zcor)*100</f>
        <v>9.2657875540247403E-2</v>
      </c>
      <c r="AK76" s="1" cm="1">
        <f t="array" ref="AK76">[1]!unf_pvt_dZdt($D52,AK$36,gg,zcor)*100</f>
        <v>8.9104173092491301E-2</v>
      </c>
    </row>
    <row r="77" spans="5:37" x14ac:dyDescent="0.45">
      <c r="E77" t="str">
        <f t="shared" si="3"/>
        <v>t=150 C</v>
      </c>
      <c r="F77" s="1" cm="1">
        <f t="array" ref="F77">[1]!unf_pvt_dZdt($D53,F$36,gg,zcor)*100</f>
        <v>7.2940355388961819E-4</v>
      </c>
      <c r="G77" s="1" cm="1">
        <f t="array" ref="G77">[1]!unf_pvt_dZdt($D53,G$36,gg,zcor)*100</f>
        <v>7.4358391759510312E-3</v>
      </c>
      <c r="H77" s="1" cm="1">
        <f t="array" ref="H77">[1]!unf_pvt_dZdt($D53,H$36,gg,zcor)*100</f>
        <v>1.4467405866525063E-2</v>
      </c>
      <c r="I77" s="1" cm="1">
        <f t="array" ref="I77">[1]!unf_pvt_dZdt($D53,I$36,gg,zcor)*100</f>
        <v>2.1861429226444073E-2</v>
      </c>
      <c r="J77" s="1" cm="1">
        <f t="array" ref="J77">[1]!unf_pvt_dZdt($D53,J$36,gg,zcor)*100</f>
        <v>2.9587550664844642E-2</v>
      </c>
      <c r="K77" s="1" cm="1">
        <f t="array" ref="K77">[1]!unf_pvt_dZdt($D53,K$36,gg,zcor)*100</f>
        <v>3.7558980177432311E-2</v>
      </c>
      <c r="L77" s="1" cm="1">
        <f t="array" ref="L77">[1]!unf_pvt_dZdt($D53,L$36,gg,zcor)*100</f>
        <v>4.5647227388423417E-2</v>
      </c>
      <c r="M77" s="1" cm="1">
        <f t="array" ref="M77">[1]!unf_pvt_dZdt($D53,M$36,gg,zcor)*100</f>
        <v>5.369899913743037E-2</v>
      </c>
      <c r="N77" s="1" cm="1">
        <f t="array" ref="N77">[1]!unf_pvt_dZdt($D53,N$36,gg,zcor)*100</f>
        <v>6.1552874390025103E-2</v>
      </c>
      <c r="O77" s="1" cm="1">
        <f t="array" ref="O77">[1]!unf_pvt_dZdt($D53,O$36,gg,zcor)*100</f>
        <v>6.9053784339745405E-2</v>
      </c>
      <c r="P77" s="1" cm="1">
        <f t="array" ref="P77">[1]!unf_pvt_dZdt($D53,P$36,gg,zcor)*100</f>
        <v>7.6064096596661912E-2</v>
      </c>
      <c r="Q77" s="1" cm="1">
        <f t="array" ref="Q77">[1]!unf_pvt_dZdt($D53,Q$36,gg,zcor)*100</f>
        <v>8.247087999069258E-2</v>
      </c>
      <c r="R77" s="1" cm="1">
        <f t="array" ref="R77">[1]!unf_pvt_dZdt($D53,R$36,gg,zcor)*100</f>
        <v>8.8189541007532846E-2</v>
      </c>
      <c r="S77" s="1" cm="1">
        <f t="array" ref="S77">[1]!unf_pvt_dZdt($D53,S$36,gg,zcor)*100</f>
        <v>9.316441415485599E-2</v>
      </c>
      <c r="T77" s="1" cm="1">
        <f t="array" ref="T77">[1]!unf_pvt_dZdt($D53,T$36,gg,zcor)*100</f>
        <v>9.736706784657656E-2</v>
      </c>
      <c r="U77" s="1" cm="1">
        <f t="array" ref="U77">[1]!unf_pvt_dZdt($D53,U$36,gg,zcor)*100</f>
        <v>0.1007931034169296</v>
      </c>
      <c r="V77" s="1" cm="1">
        <f t="array" ref="V77">[1]!unf_pvt_dZdt($D53,V$36,gg,zcor)*100</f>
        <v>0.10345813645562529</v>
      </c>
      <c r="W77" s="1" cm="1">
        <f t="array" ref="W77">[1]!unf_pvt_dZdt($D53,W$36,gg,zcor)*100</f>
        <v>0.10539350957172733</v>
      </c>
      <c r="X77" s="1" cm="1">
        <f t="array" ref="X77">[1]!unf_pvt_dZdt($D53,X$36,gg,zcor)*100</f>
        <v>0.10664213314126592</v>
      </c>
      <c r="Y77" s="1" cm="1">
        <f t="array" ref="Y77">[1]!unf_pvt_dZdt($D53,Y$36,gg,zcor)*100</f>
        <v>0.10725471019867872</v>
      </c>
      <c r="Z77" s="1" cm="1">
        <f t="array" ref="Z77">[1]!unf_pvt_dZdt($D53,Z$36,gg,zcor)*100</f>
        <v>0.10728648585600631</v>
      </c>
      <c r="AA77" s="1" cm="1">
        <f t="array" ref="AA77">[1]!unf_pvt_dZdt($D53,AA$36,gg,zcor)*100</f>
        <v>0.10679457421403082</v>
      </c>
      <c r="AB77" s="1" cm="1">
        <f t="array" ref="AB77">[1]!unf_pvt_dZdt($D53,AB$36,gg,zcor)*100</f>
        <v>0.10583585515056004</v>
      </c>
      <c r="AC77" s="1" cm="1">
        <f t="array" ref="AC77">[1]!unf_pvt_dZdt($D53,AC$36,gg,zcor)*100</f>
        <v>0.10446539534636479</v>
      </c>
      <c r="AD77" s="1" cm="1">
        <f t="array" ref="AD77">[1]!unf_pvt_dZdt($D53,AD$36,gg,zcor)*100</f>
        <v>0.10273532741778002</v>
      </c>
      <c r="AE77" s="1" cm="1">
        <f t="array" ref="AE77">[1]!unf_pvt_dZdt($D53,AE$36,gg,zcor)*100</f>
        <v>0.10069411306046216</v>
      </c>
      <c r="AF77" s="1" cm="1">
        <f t="array" ref="AF77">[1]!unf_pvt_dZdt($D53,AF$36,gg,zcor)*100</f>
        <v>9.8386116576865135E-2</v>
      </c>
      <c r="AG77" s="1" cm="1">
        <f t="array" ref="AG77">[1]!unf_pvt_dZdt($D53,AG$36,gg,zcor)*100</f>
        <v>9.5851420700121537E-2</v>
      </c>
      <c r="AH77" s="1" cm="1">
        <f t="array" ref="AH77">[1]!unf_pvt_dZdt($D53,AH$36,gg,zcor)*100</f>
        <v>9.3125824857764883E-2</v>
      </c>
      <c r="AI77" s="1" cm="1">
        <f t="array" ref="AI77">[1]!unf_pvt_dZdt($D53,AI$36,gg,zcor)*100</f>
        <v>9.0240975268440771E-2</v>
      </c>
      <c r="AJ77" s="1" cm="1">
        <f t="array" ref="AJ77">[1]!unf_pvt_dZdt($D53,AJ$36,gg,zcor)*100</f>
        <v>8.7224585433198776E-2</v>
      </c>
      <c r="AK77" s="1" cm="1">
        <f t="array" ref="AK77">[1]!unf_pvt_dZdt($D53,AK$36,gg,zcor)*100</f>
        <v>8.4100714076495997E-2</v>
      </c>
    </row>
    <row r="78" spans="5:37" x14ac:dyDescent="0.45">
      <c r="E78" t="str">
        <f t="shared" si="3"/>
        <v>t=160 C</v>
      </c>
      <c r="F78" s="1" cm="1">
        <f t="array" ref="F78">[1]!unf_pvt_dZdt($D54,F$36,gg,zcor)*100</f>
        <v>6.6084058436555182E-4</v>
      </c>
      <c r="G78" s="1" cm="1">
        <f t="array" ref="G78">[1]!unf_pvt_dZdt($D54,G$36,gg,zcor)*100</f>
        <v>6.7464624269319984E-3</v>
      </c>
      <c r="H78" s="1" cm="1">
        <f t="array" ref="H78">[1]!unf_pvt_dZdt($D54,H$36,gg,zcor)*100</f>
        <v>1.3123810665316427E-2</v>
      </c>
      <c r="I78" s="1" cm="1">
        <f t="array" ref="I78">[1]!unf_pvt_dZdt($D54,I$36,gg,zcor)*100</f>
        <v>1.9805073880108104E-2</v>
      </c>
      <c r="J78" s="1" cm="1">
        <f t="array" ref="J78">[1]!unf_pvt_dZdt($D54,J$36,gg,zcor)*100</f>
        <v>2.67521161555484E-2</v>
      </c>
      <c r="K78" s="1" cm="1">
        <f t="array" ref="K78">[1]!unf_pvt_dZdt($D54,K$36,gg,zcor)*100</f>
        <v>3.3886082114853444E-2</v>
      </c>
      <c r="L78" s="1" cm="1">
        <f t="array" ref="L78">[1]!unf_pvt_dZdt($D54,L$36,gg,zcor)*100</f>
        <v>4.1098678541073852E-2</v>
      </c>
      <c r="M78" s="1" cm="1">
        <f t="array" ref="M78">[1]!unf_pvt_dZdt($D54,M$36,gg,zcor)*100</f>
        <v>4.8264664779140709E-2</v>
      </c>
      <c r="N78" s="1" cm="1">
        <f t="array" ref="N78">[1]!unf_pvt_dZdt($D54,N$36,gg,zcor)*100</f>
        <v>5.5253966443569169E-2</v>
      </c>
      <c r="O78" s="1" cm="1">
        <f t="array" ref="O78">[1]!unf_pvt_dZdt($D54,O$36,gg,zcor)*100</f>
        <v>6.1942103341872112E-2</v>
      </c>
      <c r="P78" s="1" cm="1">
        <f t="array" ref="P78">[1]!unf_pvt_dZdt($D54,P$36,gg,zcor)*100</f>
        <v>6.8218159813504542E-2</v>
      </c>
      <c r="Q78" s="1" cm="1">
        <f t="array" ref="Q78">[1]!unf_pvt_dZdt($D54,Q$36,gg,zcor)*100</f>
        <v>7.3990050623029546E-2</v>
      </c>
      <c r="R78" s="1" cm="1">
        <f t="array" ref="R78">[1]!unf_pvt_dZdt($D54,R$36,gg,zcor)*100</f>
        <v>7.9187237506328501E-2</v>
      </c>
      <c r="S78" s="1" cm="1">
        <f t="array" ref="S78">[1]!unf_pvt_dZdt($D54,S$36,gg,zcor)*100</f>
        <v>8.3761300433637942E-2</v>
      </c>
      <c r="T78" s="1" cm="1">
        <f t="array" ref="T78">[1]!unf_pvt_dZdt($D54,T$36,gg,zcor)*100</f>
        <v>8.7684878716687287E-2</v>
      </c>
      <c r="U78" s="1" cm="1">
        <f t="array" ref="U78">[1]!unf_pvt_dZdt($D54,U$36,gg,zcor)*100</f>
        <v>9.0949505243465012E-2</v>
      </c>
      <c r="V78" s="1" cm="1">
        <f t="array" ref="V78">[1]!unf_pvt_dZdt($D54,V$36,gg,zcor)*100</f>
        <v>9.3562800690061287E-2</v>
      </c>
      <c r="W78" s="1" cm="1">
        <f t="array" ref="W78">[1]!unf_pvt_dZdt($D54,W$36,gg,zcor)*100</f>
        <v>9.5545406087360618E-2</v>
      </c>
      <c r="X78" s="1" cm="1">
        <f t="array" ref="X78">[1]!unf_pvt_dZdt($D54,X$36,gg,zcor)*100</f>
        <v>9.6927935286594824E-2</v>
      </c>
      <c r="Y78" s="1" cm="1">
        <f t="array" ref="Y78">[1]!unf_pvt_dZdt($D54,Y$36,gg,zcor)*100</f>
        <v>9.7748138410791441E-2</v>
      </c>
      <c r="Z78" s="1" cm="1">
        <f t="array" ref="Z78">[1]!unf_pvt_dZdt($D54,Z$36,gg,zcor)*100</f>
        <v>9.8048391015570502E-2</v>
      </c>
      <c r="AA78" s="1" cm="1">
        <f t="array" ref="AA78">[1]!unf_pvt_dZdt($D54,AA$36,gg,zcor)*100</f>
        <v>9.7873564007033842E-2</v>
      </c>
      <c r="AB78" s="1" cm="1">
        <f t="array" ref="AB78">[1]!unf_pvt_dZdt($D54,AB$36,gg,zcor)*100</f>
        <v>9.7269286002177324E-2</v>
      </c>
      <c r="AC78" s="1" cm="1">
        <f t="array" ref="AC78">[1]!unf_pvt_dZdt($D54,AC$36,gg,zcor)*100</f>
        <v>9.6280580597185583E-2</v>
      </c>
      <c r="AD78" s="1" cm="1">
        <f t="array" ref="AD78">[1]!unf_pvt_dZdt($D54,AD$36,gg,zcor)*100</f>
        <v>9.4950843244512306E-2</v>
      </c>
      <c r="AE78" s="1" cm="1">
        <f t="array" ref="AE78">[1]!unf_pvt_dZdt($D54,AE$36,gg,zcor)*100</f>
        <v>9.3321113315392168E-2</v>
      </c>
      <c r="AF78" s="1" cm="1">
        <f t="array" ref="AF78">[1]!unf_pvt_dZdt($D54,AF$36,gg,zcor)*100</f>
        <v>9.1429593973568757E-2</v>
      </c>
      <c r="AG78" s="1" cm="1">
        <f t="array" ref="AG78">[1]!unf_pvt_dZdt($D54,AG$36,gg,zcor)*100</f>
        <v>8.9311373623002233E-2</v>
      </c>
      <c r="AH78" s="1" cm="1">
        <f t="array" ref="AH78">[1]!unf_pvt_dZdt($D54,AH$36,gg,zcor)*100</f>
        <v>8.6998306377483736E-2</v>
      </c>
      <c r="AI78" s="1" cm="1">
        <f t="array" ref="AI78">[1]!unf_pvt_dZdt($D54,AI$36,gg,zcor)*100</f>
        <v>8.4519013966777301E-2</v>
      </c>
      <c r="AJ78" s="1" cm="1">
        <f t="array" ref="AJ78">[1]!unf_pvt_dZdt($D54,AJ$36,gg,zcor)*100</f>
        <v>8.1898977020933295E-2</v>
      </c>
      <c r="AK78" s="1" cm="1">
        <f t="array" ref="AK78">[1]!unf_pvt_dZdt($D54,AK$36,gg,zcor)*100</f>
        <v>7.9160689127166783E-2</v>
      </c>
    </row>
    <row r="79" spans="5:37" x14ac:dyDescent="0.45">
      <c r="E79" t="str">
        <f t="shared" si="3"/>
        <v>t=170 C</v>
      </c>
      <c r="F79" s="1" cm="1">
        <f t="array" ref="F79">[1]!unf_pvt_dZdt($D55,F$36,gg,zcor)*100</f>
        <v>6.0021122838538332E-4</v>
      </c>
      <c r="G79" s="1" cm="1">
        <f t="array" ref="G79">[1]!unf_pvt_dZdt($D55,G$36,gg,zcor)*100</f>
        <v>6.1366981199961756E-3</v>
      </c>
      <c r="H79" s="1" cm="1">
        <f t="array" ref="H79">[1]!unf_pvt_dZdt($D55,H$36,gg,zcor)*100</f>
        <v>1.1938054295446143E-2</v>
      </c>
      <c r="I79" s="1" cm="1">
        <f t="array" ref="I79">[1]!unf_pvt_dZdt($D55,I$36,gg,zcor)*100</f>
        <v>1.799698890070367E-2</v>
      </c>
      <c r="J79" s="1" cm="1">
        <f t="array" ref="J79">[1]!unf_pvt_dZdt($D55,J$36,gg,zcor)*100</f>
        <v>2.4269177266500463E-2</v>
      </c>
      <c r="K79" s="1" cm="1">
        <f t="array" ref="K79">[1]!unf_pvt_dZdt($D55,K$36,gg,zcor)*100</f>
        <v>3.0681641452812158E-2</v>
      </c>
      <c r="L79" s="1" cm="1">
        <f t="array" ref="L79">[1]!unf_pvt_dZdt($D55,L$36,gg,zcor)*100</f>
        <v>3.7141460367373647E-2</v>
      </c>
      <c r="M79" s="1" cm="1">
        <f t="array" ref="M79">[1]!unf_pvt_dZdt($D55,M$36,gg,zcor)*100</f>
        <v>4.3544970725117871E-2</v>
      </c>
      <c r="N79" s="1" cm="1">
        <f t="array" ref="N79">[1]!unf_pvt_dZdt($D55,N$36,gg,zcor)*100</f>
        <v>4.9786473920065966E-2</v>
      </c>
      <c r="O79" s="1" cm="1">
        <f t="array" ref="O79">[1]!unf_pvt_dZdt($D55,O$36,gg,zcor)*100</f>
        <v>5.5765622075987231E-2</v>
      </c>
      <c r="P79" s="1" cm="1">
        <f t="array" ref="P79">[1]!unf_pvt_dZdt($D55,P$36,gg,zcor)*100</f>
        <v>6.13930171364796E-2</v>
      </c>
      <c r="Q79" s="1" cm="1">
        <f t="array" ref="Q79">[1]!unf_pvt_dZdt($D55,Q$36,gg,zcor)*100</f>
        <v>6.659390156749101E-2</v>
      </c>
      <c r="R79" s="1" cm="1">
        <f t="array" ref="R79">[1]!unf_pvt_dZdt($D55,R$36,gg,zcor)*100</f>
        <v>7.1310074736152806E-2</v>
      </c>
      <c r="S79" s="1" cm="1">
        <f t="array" ref="S79">[1]!unf_pvt_dZdt($D55,S$36,gg,zcor)*100</f>
        <v>7.5500321287336192E-2</v>
      </c>
      <c r="T79" s="1" cm="1">
        <f t="array" ref="T79">[1]!unf_pvt_dZdt($D55,T$36,gg,zcor)*100</f>
        <v>7.9139701635644322E-2</v>
      </c>
      <c r="U79" s="1" cm="1">
        <f t="array" ref="U79">[1]!unf_pvt_dZdt($D55,U$36,gg,zcor)*100</f>
        <v>8.2218054992977407E-2</v>
      </c>
      <c r="V79" s="1" cm="1">
        <f t="array" ref="V79">[1]!unf_pvt_dZdt($D55,V$36,gg,zcor)*100</f>
        <v>8.4738027050001996E-2</v>
      </c>
      <c r="W79" s="1" cm="1">
        <f t="array" ref="W79">[1]!unf_pvt_dZdt($D55,W$36,gg,zcor)*100</f>
        <v>8.671287764794311E-2</v>
      </c>
      <c r="X79" s="1" cm="1">
        <f t="array" ref="X79">[1]!unf_pvt_dZdt($D55,X$36,gg,zcor)*100</f>
        <v>8.816426240432218E-2</v>
      </c>
      <c r="Y79" s="1" cm="1">
        <f t="array" ref="Y79">[1]!unf_pvt_dZdt($D55,Y$36,gg,zcor)*100</f>
        <v>8.9120124822761326E-2</v>
      </c>
      <c r="Z79" s="1" cm="1">
        <f t="array" ref="Z79">[1]!unf_pvt_dZdt($D55,Z$36,gg,zcor)*100</f>
        <v>8.9612786279169576E-2</v>
      </c>
      <c r="AA79" s="1" cm="1">
        <f t="array" ref="AA79">[1]!unf_pvt_dZdt($D55,AA$36,gg,zcor)*100</f>
        <v>8.967728195008462E-2</v>
      </c>
      <c r="AB79" s="1" cm="1">
        <f t="array" ref="AB79">[1]!unf_pvt_dZdt($D55,AB$36,gg,zcor)*100</f>
        <v>8.9349961107987319E-2</v>
      </c>
      <c r="AC79" s="1" cm="1">
        <f t="array" ref="AC79">[1]!unf_pvt_dZdt($D55,AC$36,gg,zcor)*100</f>
        <v>8.8667349167015352E-2</v>
      </c>
      <c r="AD79" s="1" cm="1">
        <f t="array" ref="AD79">[1]!unf_pvt_dZdt($D55,AD$36,gg,zcor)*100</f>
        <v>8.7665254927871139E-2</v>
      </c>
      <c r="AE79" s="1" cm="1">
        <f t="array" ref="AE79">[1]!unf_pvt_dZdt($D55,AE$36,gg,zcor)*100</f>
        <v>8.6378098207773313E-2</v>
      </c>
      <c r="AF79" s="1" cm="1">
        <f t="array" ref="AF79">[1]!unf_pvt_dZdt($D55,AF$36,gg,zcor)*100</f>
        <v>8.4838428956568457E-2</v>
      </c>
      <c r="AG79" s="1" cm="1">
        <f t="array" ref="AG79">[1]!unf_pvt_dZdt($D55,AG$36,gg,zcor)*100</f>
        <v>8.3076607927390356E-2</v>
      </c>
      <c r="AH79" s="1" cm="1">
        <f t="array" ref="AH79">[1]!unf_pvt_dZdt($D55,AH$36,gg,zcor)*100</f>
        <v>8.1120619943697569E-2</v>
      </c>
      <c r="AI79" s="1" cm="1">
        <f t="array" ref="AI79">[1]!unf_pvt_dZdt($D55,AI$36,gg,zcor)*100</f>
        <v>7.8995993062713765E-2</v>
      </c>
      <c r="AJ79" s="1" cm="1">
        <f t="array" ref="AJ79">[1]!unf_pvt_dZdt($D55,AJ$36,gg,zcor)*100</f>
        <v>7.6725799891708135E-2</v>
      </c>
      <c r="AK79" s="1" cm="1">
        <f t="array" ref="AK79">[1]!unf_pvt_dZdt($D55,AK$36,gg,zcor)*100</f>
        <v>7.4330720555071395E-2</v>
      </c>
    </row>
    <row r="80" spans="5:37" x14ac:dyDescent="0.45">
      <c r="E80" t="str">
        <f t="shared" si="3"/>
        <v>t=180 C</v>
      </c>
      <c r="F80" s="1" cm="1">
        <f t="array" ref="F80">[1]!unf_pvt_dZdt($D56,F$36,gg,zcor)*100</f>
        <v>5.4640880320366847E-4</v>
      </c>
      <c r="G80" s="1" cm="1">
        <f t="array" ref="G80">[1]!unf_pvt_dZdt($D56,G$36,gg,zcor)*100</f>
        <v>5.5954333324503835E-3</v>
      </c>
      <c r="H80" s="1" cm="1">
        <f t="array" ref="H80">[1]!unf_pvt_dZdt($D56,H$36,gg,zcor)*100</f>
        <v>1.0887506809109659E-2</v>
      </c>
      <c r="I80" s="1" cm="1">
        <f t="array" ref="I80">[1]!unf_pvt_dZdt($D56,I$36,gg,zcor)*100</f>
        <v>1.6400328128551855E-2</v>
      </c>
      <c r="J80" s="1" cm="1">
        <f t="array" ref="J80">[1]!unf_pvt_dZdt($D56,J$36,gg,zcor)*100</f>
        <v>2.2084787856813115E-2</v>
      </c>
      <c r="K80" s="1" cm="1">
        <f t="array" ref="K80">[1]!unf_pvt_dZdt($D56,K$36,gg,zcor)*100</f>
        <v>2.7872392549643799E-2</v>
      </c>
      <c r="L80" s="1" cm="1">
        <f t="array" ref="L80">[1]!unf_pvt_dZdt($D56,L$36,gg,zcor)*100</f>
        <v>3.368204379872175E-2</v>
      </c>
      <c r="M80" s="1" cm="1">
        <f t="array" ref="M80">[1]!unf_pvt_dZdt($D56,M$36,gg,zcor)*100</f>
        <v>3.9426775369943989E-2</v>
      </c>
      <c r="N80" s="1" cm="1">
        <f t="array" ref="N80">[1]!unf_pvt_dZdt($D56,N$36,gg,zcor)*100</f>
        <v>4.5019908077259529E-2</v>
      </c>
      <c r="O80" s="1" cm="1">
        <f t="array" ref="O80">[1]!unf_pvt_dZdt($D56,O$36,gg,zcor)*100</f>
        <v>5.0380148059359087E-2</v>
      </c>
      <c r="P80" s="1" cm="1">
        <f t="array" ref="P80">[1]!unf_pvt_dZdt($D56,P$36,gg,zcor)*100</f>
        <v>5.5435381711599341E-2</v>
      </c>
      <c r="Q80" s="1" cm="1">
        <f t="array" ref="Q80">[1]!unf_pvt_dZdt($D56,Q$36,gg,zcor)*100</f>
        <v>6.0125135196043011E-2</v>
      </c>
      <c r="R80" s="1" cm="1">
        <f t="array" ref="R80">[1]!unf_pvt_dZdt($D56,R$36,gg,zcor)*100</f>
        <v>6.4401819373283153E-2</v>
      </c>
      <c r="S80" s="1" cm="1">
        <f t="array" ref="S80">[1]!unf_pvt_dZdt($D56,S$36,gg,zcor)*100</f>
        <v>6.8230966900451051E-2</v>
      </c>
      <c r="T80" s="1" cm="1">
        <f t="array" ref="T80">[1]!unf_pvt_dZdt($D56,T$36,gg,zcor)*100</f>
        <v>7.1590699470602814E-2</v>
      </c>
      <c r="U80" s="1" cm="1">
        <f t="array" ref="U80">[1]!unf_pvt_dZdt($D56,U$36,gg,zcor)*100</f>
        <v>7.4470657103531401E-2</v>
      </c>
      <c r="V80" s="1" cm="1">
        <f t="array" ref="V80">[1]!unf_pvt_dZdt($D56,V$36,gg,zcor)*100</f>
        <v>7.6870593906597229E-2</v>
      </c>
      <c r="W80" s="1" cm="1">
        <f t="array" ref="W80">[1]!unf_pvt_dZdt($D56,W$36,gg,zcor)*100</f>
        <v>7.8798807686686345E-2</v>
      </c>
      <c r="X80" s="1" cm="1">
        <f t="array" ref="X80">[1]!unf_pvt_dZdt($D56,X$36,gg,zcor)*100</f>
        <v>8.0270532227255664E-2</v>
      </c>
      <c r="Y80" s="1" cm="1">
        <f t="array" ref="Y80">[1]!unf_pvt_dZdt($D56,Y$36,gg,zcor)*100</f>
        <v>8.1306385313895113E-2</v>
      </c>
      <c r="Z80" s="1" cm="1">
        <f t="array" ref="Z80">[1]!unf_pvt_dZdt($D56,Z$36,gg,zcor)*100</f>
        <v>8.193093500141746E-2</v>
      </c>
      <c r="AA80" s="1" cm="1">
        <f t="array" ref="AA80">[1]!unf_pvt_dZdt($D56,AA$36,gg,zcor)*100</f>
        <v>8.2171421771581876E-2</v>
      </c>
      <c r="AB80" s="1" cm="1">
        <f t="array" ref="AB80">[1]!unf_pvt_dZdt($D56,AB$36,gg,zcor)*100</f>
        <v>8.2056654977180621E-2</v>
      </c>
      <c r="AC80" s="1" cm="1">
        <f t="array" ref="AC80">[1]!unf_pvt_dZdt($D56,AC$36,gg,zcor)*100</f>
        <v>8.1616087708513696E-2</v>
      </c>
      <c r="AD80" s="1" cm="1">
        <f t="array" ref="AD80">[1]!unf_pvt_dZdt($D56,AD$36,gg,zcor)*100</f>
        <v>8.0879064187300287E-2</v>
      </c>
      <c r="AE80" s="1" cm="1">
        <f t="array" ref="AE80">[1]!unf_pvt_dZdt($D56,AE$36,gg,zcor)*100</f>
        <v>7.987422717126158E-2</v>
      </c>
      <c r="AF80" s="1" cm="1">
        <f t="array" ref="AF80">[1]!unf_pvt_dZdt($D56,AF$36,gg,zcor)*100</f>
        <v>7.8629068939517488E-2</v>
      </c>
      <c r="AG80" s="1" cm="1">
        <f t="array" ref="AG80">[1]!unf_pvt_dZdt($D56,AG$36,gg,zcor)*100</f>
        <v>7.7169607530791495E-2</v>
      </c>
      <c r="AH80" s="1" cm="1">
        <f t="array" ref="AH80">[1]!unf_pvt_dZdt($D56,AH$36,gg,zcor)*100</f>
        <v>7.5520169517839797E-2</v>
      </c>
      <c r="AI80" s="1" cm="1">
        <f t="array" ref="AI80">[1]!unf_pvt_dZdt($D56,AI$36,gg,zcor)*100</f>
        <v>7.3703261202817671E-2</v>
      </c>
      <c r="AJ80" s="1" cm="1">
        <f t="array" ref="AJ80">[1]!unf_pvt_dZdt($D56,AJ$36,gg,zcor)*100</f>
        <v>7.1739511444790516E-2</v>
      </c>
      <c r="AK80" s="1" cm="1">
        <f t="array" ref="AK80">[1]!unf_pvt_dZdt($D56,AK$36,gg,zcor)*100</f>
        <v>6.9647670992045718E-2</v>
      </c>
    </row>
    <row r="81" spans="5:37" x14ac:dyDescent="0.45">
      <c r="E81" t="str">
        <f t="shared" si="3"/>
        <v>t=190 C</v>
      </c>
      <c r="F81" s="1" cm="1">
        <f t="array" ref="F81">[1]!unf_pvt_dZdt($D57,F$36,gg,zcor)*100</f>
        <v>4.9850768646386712E-4</v>
      </c>
      <c r="G81" s="1" cm="1">
        <f t="array" ref="G81">[1]!unf_pvt_dZdt($D57,G$36,gg,zcor)*100</f>
        <v>5.1133798296687516E-3</v>
      </c>
      <c r="H81" s="1" cm="1">
        <f t="array" ref="H81">[1]!unf_pvt_dZdt($D57,H$36,gg,zcor)*100</f>
        <v>9.9533710981036805E-3</v>
      </c>
      <c r="I81" s="1" cm="1">
        <f t="array" ref="I81">[1]!unf_pvt_dZdt($D57,I$36,gg,zcor)*100</f>
        <v>1.498470227523363E-2</v>
      </c>
      <c r="J81" s="1" cm="1">
        <f t="array" ref="J81">[1]!unf_pvt_dZdt($D57,J$36,gg,zcor)*100</f>
        <v>2.0154695440921522E-2</v>
      </c>
      <c r="K81" s="1" cm="1">
        <f t="array" ref="K81">[1]!unf_pvt_dZdt($D57,K$36,gg,zcor)*100</f>
        <v>2.5398404686405307E-2</v>
      </c>
      <c r="L81" s="1" cm="1">
        <f t="array" ref="L81">[1]!unf_pvt_dZdt($D57,L$36,gg,zcor)*100</f>
        <v>3.0643932287244269E-2</v>
      </c>
      <c r="M81" s="1" cm="1">
        <f t="array" ref="M81">[1]!unf_pvt_dZdt($D57,M$36,gg,zcor)*100</f>
        <v>3.5817315715447329E-2</v>
      </c>
      <c r="N81" s="1" cm="1">
        <f t="array" ref="N81">[1]!unf_pvt_dZdt($D57,N$36,gg,zcor)*100</f>
        <v>4.0846768500357733E-2</v>
      </c>
      <c r="O81" s="1" cm="1">
        <f t="array" ref="O81">[1]!unf_pvt_dZdt($D57,O$36,gg,zcor)*100</f>
        <v>4.5666057364557311E-2</v>
      </c>
      <c r="P81" s="1" cm="1">
        <f t="array" ref="P81">[1]!unf_pvt_dZdt($D57,P$36,gg,zcor)*100</f>
        <v>5.0216926912094451E-2</v>
      </c>
      <c r="Q81" s="1" cm="1">
        <f t="array" ref="Q81">[1]!unf_pvt_dZdt($D57,Q$36,gg,zcor)*100</f>
        <v>5.4450603540923126E-2</v>
      </c>
      <c r="R81" s="1" cm="1">
        <f t="array" ref="R81">[1]!unf_pvt_dZdt($D57,R$36,gg,zcor)*100</f>
        <v>5.8328490676440303E-2</v>
      </c>
      <c r="S81" s="1" cm="1">
        <f t="array" ref="S81">[1]!unf_pvt_dZdt($D57,S$36,gg,zcor)*100</f>
        <v>6.1822207259365491E-2</v>
      </c>
      <c r="T81" s="1" cm="1">
        <f t="array" ref="T81">[1]!unf_pvt_dZdt($D57,T$36,gg,zcor)*100</f>
        <v>6.4913130268573482E-2</v>
      </c>
      <c r="U81" s="1" cm="1">
        <f t="array" ref="U81">[1]!unf_pvt_dZdt($D57,U$36,gg,zcor)*100</f>
        <v>6.7591591336957357E-2</v>
      </c>
      <c r="V81" s="1" cm="1">
        <f t="array" ref="V81">[1]!unf_pvt_dZdt($D57,V$36,gg,zcor)*100</f>
        <v>6.9855856689282625E-2</v>
      </c>
      <c r="W81" s="1" cm="1">
        <f t="array" ref="W81">[1]!unf_pvt_dZdt($D57,W$36,gg,zcor)*100</f>
        <v>7.1710995299123503E-2</v>
      </c>
      <c r="X81" s="1" cm="1">
        <f t="array" ref="X81">[1]!unf_pvt_dZdt($D57,X$36,gg,zcor)*100</f>
        <v>7.3167716304833874E-2</v>
      </c>
      <c r="Y81" s="1" cm="1">
        <f t="array" ref="Y81">[1]!unf_pvt_dZdt($D57,Y$36,gg,zcor)*100</f>
        <v>7.4241235340166689E-2</v>
      </c>
      <c r="Z81" s="1" cm="1">
        <f t="array" ref="Z81">[1]!unf_pvt_dZdt($D57,Z$36,gg,zcor)*100</f>
        <v>7.4950211341628936E-2</v>
      </c>
      <c r="AA81" s="1" cm="1">
        <f t="array" ref="AA81">[1]!unf_pvt_dZdt($D57,AA$36,gg,zcor)*100</f>
        <v>7.5315780627360773E-2</v>
      </c>
      <c r="AB81" s="1" cm="1">
        <f t="array" ref="AB81">[1]!unf_pvt_dZdt($D57,AB$36,gg,zcor)*100</f>
        <v>7.5360703387317152E-2</v>
      </c>
      <c r="AC81" s="1" cm="1">
        <f t="array" ref="AC81">[1]!unf_pvt_dZdt($D57,AC$36,gg,zcor)*100</f>
        <v>7.5108628774689379E-2</v>
      </c>
      <c r="AD81" s="1" cm="1">
        <f t="array" ref="AD81">[1]!unf_pvt_dZdt($D57,AD$36,gg,zcor)*100</f>
        <v>7.4583478123391167E-2</v>
      </c>
      <c r="AE81" s="1" cm="1">
        <f t="array" ref="AE81">[1]!unf_pvt_dZdt($D57,AE$36,gg,zcor)*100</f>
        <v>7.380894107589242E-2</v>
      </c>
      <c r="AF81" s="1" cm="1">
        <f t="array" ref="AF81">[1]!unf_pvt_dZdt($D57,AF$36,gg,zcor)*100</f>
        <v>7.2808076193142668E-2</v>
      </c>
      <c r="AG81" s="1" cm="1">
        <f t="array" ref="AG81">[1]!unf_pvt_dZdt($D57,AG$36,gg,zcor)*100</f>
        <v>7.1603005672438158E-2</v>
      </c>
      <c r="AH81" s="1" cm="1">
        <f t="array" ref="AH81">[1]!unf_pvt_dZdt($D57,AH$36,gg,zcor)*100</f>
        <v>7.0214692817316404E-2</v>
      </c>
      <c r="AI81" s="1" cm="1">
        <f t="array" ref="AI81">[1]!unf_pvt_dZdt($D57,AI$36,gg,zcor)*100</f>
        <v>6.8662790653872818E-2</v>
      </c>
      <c r="AJ81" s="1" cm="1">
        <f t="array" ref="AJ81">[1]!unf_pvt_dZdt($D57,AJ$36,gg,zcor)*100</f>
        <v>6.6965550405195806E-2</v>
      </c>
      <c r="AK81" s="1" cm="1">
        <f t="array" ref="AK81">[1]!unf_pvt_dZdt($D57,AK$36,gg,zcor)*100</f>
        <v>6.5139779202194603E-2</v>
      </c>
    </row>
    <row r="82" spans="5:37" x14ac:dyDescent="0.45">
      <c r="E82" t="str">
        <f t="shared" si="3"/>
        <v>t=200 C</v>
      </c>
      <c r="F82" s="1" cm="1">
        <f t="array" ref="F82">[1]!unf_pvt_dZdt($D58,F$36,gg,zcor)*100</f>
        <v>4.5572963192075377E-4</v>
      </c>
      <c r="G82" s="1" cm="1">
        <f t="array" ref="G82">[1]!unf_pvt_dZdt($D58,G$36,gg,zcor)*100</f>
        <v>4.6827322484066514E-3</v>
      </c>
      <c r="H82" s="1" cm="1">
        <f t="array" ref="H82">[1]!unf_pvt_dZdt($D58,H$36,gg,zcor)*100</f>
        <v>9.1199415405140982E-3</v>
      </c>
      <c r="I82" s="1" cm="1">
        <f t="array" ref="I82">[1]!unf_pvt_dZdt($D58,I$36,gg,zcor)*100</f>
        <v>1.3724892019562063E-2</v>
      </c>
      <c r="J82" s="1" cm="1">
        <f t="array" ref="J82">[1]!unf_pvt_dZdt($D58,J$36,gg,zcor)*100</f>
        <v>1.8442374710603282E-2</v>
      </c>
      <c r="K82" s="1" cm="1">
        <f t="array" ref="K82">[1]!unf_pvt_dZdt($D58,K$36,gg,zcor)*100</f>
        <v>2.3210366367210078E-2</v>
      </c>
      <c r="L82" s="1" cm="1">
        <f t="array" ref="L82">[1]!unf_pvt_dZdt($D58,L$36,gg,zcor)*100</f>
        <v>2.7964225528087638E-2</v>
      </c>
      <c r="M82" s="1" cm="1">
        <f t="array" ref="M82">[1]!unf_pvt_dZdt($D58,M$36,gg,zcor)*100</f>
        <v>3.2640187776933338E-2</v>
      </c>
      <c r="N82" s="1" cm="1">
        <f t="array" ref="N82">[1]!unf_pvt_dZdt($D58,N$36,gg,zcor)*100</f>
        <v>3.7178171735097187E-2</v>
      </c>
      <c r="O82" s="1" cm="1">
        <f t="array" ref="O82">[1]!unf_pvt_dZdt($D58,O$36,gg,zcor)*100</f>
        <v>4.1523863347658896E-2</v>
      </c>
      <c r="P82" s="1" cm="1">
        <f t="array" ref="P82">[1]!unf_pvt_dZdt($D58,P$36,gg,zcor)*100</f>
        <v>4.5630103216232065E-2</v>
      </c>
      <c r="Q82" s="1" cm="1">
        <f t="array" ref="Q82">[1]!unf_pvt_dZdt($D58,Q$36,gg,zcor)*100</f>
        <v>4.9457654064055667E-2</v>
      </c>
      <c r="R82" s="1" cm="1">
        <f t="array" ref="R82">[1]!unf_pvt_dZdt($D58,R$36,gg,zcor)*100</f>
        <v>5.2975454378767495E-2</v>
      </c>
      <c r="S82" s="1" cm="1">
        <f t="array" ref="S82">[1]!unf_pvt_dZdt($D58,S$36,gg,zcor)*100</f>
        <v>5.6160471964550318E-2</v>
      </c>
      <c r="T82" s="1" cm="1">
        <f t="array" ref="T82">[1]!unf_pvt_dZdt($D58,T$36,gg,zcor)*100</f>
        <v>5.8997264544946582E-2</v>
      </c>
      <c r="U82" s="1" cm="1">
        <f t="array" ref="U82">[1]!unf_pvt_dZdt($D58,U$36,gg,zcor)*100</f>
        <v>6.1477340579929596E-2</v>
      </c>
      <c r="V82" s="1" cm="1">
        <f t="array" ref="V82">[1]!unf_pvt_dZdt($D58,V$36,gg,zcor)*100</f>
        <v>6.3598396949582359E-2</v>
      </c>
      <c r="W82" s="1" cm="1">
        <f t="array" ref="W82">[1]!unf_pvt_dZdt($D58,W$36,gg,zcor)*100</f>
        <v>6.5363494127446131E-2</v>
      </c>
      <c r="X82" s="1" cm="1">
        <f t="array" ref="X82">[1]!unf_pvt_dZdt($D58,X$36,gg,zcor)*100</f>
        <v>6.6780215277173482E-2</v>
      </c>
      <c r="Y82" s="1" cm="1">
        <f t="array" ref="Y82">[1]!unf_pvt_dZdt($D58,Y$36,gg,zcor)*100</f>
        <v>6.7859843789874752E-2</v>
      </c>
      <c r="Z82" s="1" cm="1">
        <f t="array" ref="Z82">[1]!unf_pvt_dZdt($D58,Z$36,gg,zcor)*100</f>
        <v>6.8616584051883756E-2</v>
      </c>
      <c r="AA82" s="1" cm="1">
        <f t="array" ref="AA82">[1]!unf_pvt_dZdt($D58,AA$36,gg,zcor)*100</f>
        <v>6.9066842420362207E-2</v>
      </c>
      <c r="AB82" s="1" cm="1">
        <f t="array" ref="AB82">[1]!unf_pvt_dZdt($D58,AB$36,gg,zcor)*100</f>
        <v>6.9228579097413423E-2</v>
      </c>
      <c r="AC82" s="1" cm="1">
        <f t="array" ref="AC82">[1]!unf_pvt_dZdt($D58,AC$36,gg,zcor)*100</f>
        <v>6.9120736630123858E-2</v>
      </c>
      <c r="AD82" s="1" cm="1">
        <f t="array" ref="AD82">[1]!unf_pvt_dZdt($D58,AD$36,gg,zcor)*100</f>
        <v>6.8762746829320598E-2</v>
      </c>
      <c r="AE82" s="1" cm="1">
        <f t="array" ref="AE82">[1]!unf_pvt_dZdt($D58,AE$36,gg,zcor)*100</f>
        <v>6.8174114847607825E-2</v>
      </c>
      <c r="AF82" s="1" cm="1">
        <f t="array" ref="AF82">[1]!unf_pvt_dZdt($D58,AF$36,gg,zcor)*100</f>
        <v>6.7374076881066003E-2</v>
      </c>
      <c r="AG82" s="1" cm="1">
        <f t="array" ref="AG82">[1]!unf_pvt_dZdt($D58,AG$36,gg,zcor)*100</f>
        <v>6.6381326317976885E-2</v>
      </c>
      <c r="AH82" s="1" cm="1">
        <f t="array" ref="AH82">[1]!unf_pvt_dZdt($D58,AH$36,gg,zcor)*100</f>
        <v>6.5213802073138538E-2</v>
      </c>
      <c r="AI82" s="1" cm="1">
        <f t="array" ref="AI82">[1]!unf_pvt_dZdt($D58,AI$36,gg,zcor)*100</f>
        <v>6.3888532229272599E-2</v>
      </c>
      <c r="AJ82" s="1" cm="1">
        <f t="array" ref="AJ82">[1]!unf_pvt_dZdt($D58,AJ$36,gg,zcor)*100</f>
        <v>6.2421525881983797E-2</v>
      </c>
      <c r="AK82" s="1" cm="1">
        <f t="array" ref="AK82">[1]!unf_pvt_dZdt($D58,AK$36,gg,zcor)*100</f>
        <v>6.0827706143795623E-2</v>
      </c>
    </row>
    <row r="83" spans="5:37" x14ac:dyDescent="0.45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5:37" x14ac:dyDescent="0.45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5:37" x14ac:dyDescent="0.45">
      <c r="E85" t="str">
        <f t="shared" ref="E85:E105" si="4">E62</f>
        <v>t=0 C</v>
      </c>
      <c r="F85" s="1" cm="1">
        <f t="array" ref="F85">[1]!unf_pvt_dZdp($D38,F$36,gg,zcor)*100</f>
        <v>-3.9331589516478083</v>
      </c>
      <c r="G85" s="1" cm="1">
        <f t="array" ref="G85">[1]!unf_pvt_dZdp($D38,G$36,gg,zcor)*100</f>
        <v>-4.1456414872564906</v>
      </c>
      <c r="H85" s="1" cm="1">
        <f t="array" ref="H85">[1]!unf_pvt_dZdp($D38,H$36,gg,zcor)*100</f>
        <v>-4.6521741350902257</v>
      </c>
      <c r="I85" s="1" cm="1">
        <f t="array" ref="I85">[1]!unf_pvt_dZdp($D38,I$36,gg,zcor)*100</f>
        <v>-5.2149171747351009</v>
      </c>
      <c r="J85" s="1" cm="1">
        <f t="array" ref="J85">[1]!unf_pvt_dZdp($D38,J$36,gg,zcor)*100</f>
        <v>-5.6218431520060896</v>
      </c>
      <c r="K85" s="1" cm="1">
        <f t="array" ref="K85">[1]!unf_pvt_dZdp($D38,K$36,gg,zcor)*100</f>
        <v>-5.7203921576920447</v>
      </c>
      <c r="L85" s="1" cm="1">
        <f t="array" ref="L85">[1]!unf_pvt_dZdp($D38,L$36,gg,zcor)*100</f>
        <v>-5.4574368151749653</v>
      </c>
      <c r="M85" s="1" cm="1">
        <f t="array" ref="M85">[1]!unf_pvt_dZdp($D38,M$36,gg,zcor)*100</f>
        <v>-4.8815268858526384</v>
      </c>
      <c r="N85" s="1" cm="1">
        <f t="array" ref="N85">[1]!unf_pvt_dZdp($D38,N$36,gg,zcor)*100</f>
        <v>-4.1023024606301473</v>
      </c>
      <c r="O85" s="1" cm="1">
        <f t="array" ref="O85">[1]!unf_pvt_dZdp($D38,O$36,gg,zcor)*100</f>
        <v>-3.237564016663752</v>
      </c>
      <c r="P85" s="1" cm="1">
        <f t="array" ref="P85">[1]!unf_pvt_dZdp($D38,P$36,gg,zcor)*100</f>
        <v>-2.3786341721854232</v>
      </c>
      <c r="Q85" s="1" cm="1">
        <f t="array" ref="Q85">[1]!unf_pvt_dZdp($D38,Q$36,gg,zcor)*100</f>
        <v>-1.5814917746670432</v>
      </c>
      <c r="R85" s="1" cm="1">
        <f t="array" ref="R85">[1]!unf_pvt_dZdp($D38,R$36,gg,zcor)*100</f>
        <v>-0.87358345362553713</v>
      </c>
      <c r="S85" s="1" cm="1">
        <f t="array" ref="S85">[1]!unf_pvt_dZdp($D38,S$36,gg,zcor)*100</f>
        <v>-0.26419366686569745</v>
      </c>
      <c r="T85" s="1" cm="1">
        <f t="array" ref="T85">[1]!unf_pvt_dZdp($D38,T$36,gg,zcor)*100</f>
        <v>0.24769634854648892</v>
      </c>
      <c r="U85" s="1" cm="1">
        <f t="array" ref="U85">[1]!unf_pvt_dZdp($D38,U$36,gg,zcor)*100</f>
        <v>0.66876679437943842</v>
      </c>
      <c r="V85" s="1" cm="1">
        <f t="array" ref="V85">[1]!unf_pvt_dZdp($D38,V$36,gg,zcor)*100</f>
        <v>1.0087105036893362</v>
      </c>
      <c r="W85" s="1" cm="1">
        <f t="array" ref="W85">[1]!unf_pvt_dZdp($D38,W$36,gg,zcor)*100</f>
        <v>1.2785391420777614</v>
      </c>
      <c r="X85" s="1" cm="1">
        <f t="array" ref="X85">[1]!unf_pvt_dZdp($D38,X$36,gg,zcor)*100</f>
        <v>1.4894002834653364</v>
      </c>
      <c r="Y85" s="1" cm="1">
        <f t="array" ref="Y85">[1]!unf_pvt_dZdp($D38,Y$36,gg,zcor)*100</f>
        <v>1.6517828197104567</v>
      </c>
      <c r="Z85" s="1" cm="1">
        <f t="array" ref="Z85">[1]!unf_pvt_dZdp($D38,Z$36,gg,zcor)*100</f>
        <v>1.7750581060682613</v>
      </c>
      <c r="AA85" s="1" cm="1">
        <f t="array" ref="AA85">[1]!unf_pvt_dZdp($D38,AA$36,gg,zcor)*100</f>
        <v>1.8672873243508192</v>
      </c>
      <c r="AB85" s="1" cm="1">
        <f t="array" ref="AB85">[1]!unf_pvt_dZdp($D38,AB$36,gg,zcor)*100</f>
        <v>1.9352119742754859</v>
      </c>
      <c r="AC85" s="1" cm="1">
        <f t="array" ref="AC85">[1]!unf_pvt_dZdp($D38,AC$36,gg,zcor)*100</f>
        <v>1.9843518195250542</v>
      </c>
      <c r="AD85" s="1" cm="1">
        <f t="array" ref="AD85">[1]!unf_pvt_dZdp($D38,AD$36,gg,zcor)*100</f>
        <v>2.0191536299885016</v>
      </c>
      <c r="AE85" s="1" cm="1">
        <f t="array" ref="AE85">[1]!unf_pvt_dZdp($D38,AE$36,gg,zcor)*100</f>
        <v>2.0431541123722141</v>
      </c>
      <c r="AF85" s="1" cm="1">
        <f t="array" ref="AF85">[1]!unf_pvt_dZdp($D38,AF$36,gg,zcor)*100</f>
        <v>2.0591363220245906</v>
      </c>
      <c r="AG85" s="1" cm="1">
        <f t="array" ref="AG85">[1]!unf_pvt_dZdp($D38,AG$36,gg,zcor)*100</f>
        <v>2.0692696004243061</v>
      </c>
      <c r="AH85" s="1" cm="1">
        <f t="array" ref="AH85">[1]!unf_pvt_dZdp($D38,AH$36,gg,zcor)*100</f>
        <v>2.0752295739301374</v>
      </c>
      <c r="AI85" s="1" cm="1">
        <f t="array" ref="AI85">[1]!unf_pvt_dZdp($D38,AI$36,gg,zcor)*100</f>
        <v>2.0782982876776934</v>
      </c>
      <c r="AJ85" s="1" cm="1">
        <f t="array" ref="AJ85">[1]!unf_pvt_dZdp($D38,AJ$36,gg,zcor)*100</f>
        <v>2.0794462506279476</v>
      </c>
      <c r="AK85" s="1" cm="1">
        <f t="array" ref="AK85">[1]!unf_pvt_dZdp($D38,AK$36,gg,zcor)*100</f>
        <v>2.079398815669764</v>
      </c>
    </row>
    <row r="86" spans="5:37" x14ac:dyDescent="0.45">
      <c r="E86" t="str">
        <f t="shared" si="4"/>
        <v>t=10 C</v>
      </c>
      <c r="F86" s="1" cm="1">
        <f t="array" ref="F86">[1]!unf_pvt_dZdp($D39,F$36,gg,zcor)*100</f>
        <v>-3.4637637142598265</v>
      </c>
      <c r="G86" s="1" cm="1">
        <f t="array" ref="G86">[1]!unf_pvt_dZdp($D39,G$36,gg,zcor)*100</f>
        <v>-3.6377635240514294</v>
      </c>
      <c r="H86" s="1" cm="1">
        <f t="array" ref="H86">[1]!unf_pvt_dZdp($D39,H$36,gg,zcor)*100</f>
        <v>-4.0267744958688567</v>
      </c>
      <c r="I86" s="1" cm="1">
        <f t="array" ref="I86">[1]!unf_pvt_dZdp($D39,I$36,gg,zcor)*100</f>
        <v>-4.4610243480380785</v>
      </c>
      <c r="J86" s="1" cm="1">
        <f t="array" ref="J86">[1]!unf_pvt_dZdp($D39,J$36,gg,zcor)*100</f>
        <v>-4.789733406024288</v>
      </c>
      <c r="K86" s="1" cm="1">
        <f t="array" ref="K86">[1]!unf_pvt_dZdp($D39,K$36,gg,zcor)*100</f>
        <v>-4.9010118980674644</v>
      </c>
      <c r="L86" s="1" cm="1">
        <f t="array" ref="L86">[1]!unf_pvt_dZdp($D39,L$36,gg,zcor)*100</f>
        <v>-4.7459149880968443</v>
      </c>
      <c r="M86" s="1" cm="1">
        <f t="array" ref="M86">[1]!unf_pvt_dZdp($D39,M$36,gg,zcor)*100</f>
        <v>-4.3430647269671052</v>
      </c>
      <c r="N86" s="1" cm="1">
        <f t="array" ref="N86">[1]!unf_pvt_dZdp($D39,N$36,gg,zcor)*100</f>
        <v>-3.7585785803939675</v>
      </c>
      <c r="O86" s="1" cm="1">
        <f t="array" ref="O86">[1]!unf_pvt_dZdp($D39,O$36,gg,zcor)*100</f>
        <v>-3.074814085506361</v>
      </c>
      <c r="P86" s="1" cm="1">
        <f t="array" ref="P86">[1]!unf_pvt_dZdp($D39,P$36,gg,zcor)*100</f>
        <v>-2.365061277168623</v>
      </c>
      <c r="Q86" s="1" cm="1">
        <f t="array" ref="Q86">[1]!unf_pvt_dZdp($D39,Q$36,gg,zcor)*100</f>
        <v>-1.6818675907659397</v>
      </c>
      <c r="R86" s="1" cm="1">
        <f t="array" ref="R86">[1]!unf_pvt_dZdp($D39,R$36,gg,zcor)*100</f>
        <v>-1.0566131248002097</v>
      </c>
      <c r="S86" s="1" cm="1">
        <f t="array" ref="S86">[1]!unf_pvt_dZdp($D39,S$36,gg,zcor)*100</f>
        <v>-0.5043250493996787</v>
      </c>
      <c r="T86" s="1" cm="1">
        <f t="array" ref="T86">[1]!unf_pvt_dZdp($D39,T$36,gg,zcor)*100</f>
        <v>-2.9179475253826581E-2</v>
      </c>
      <c r="U86" s="1" cm="1">
        <f t="array" ref="U86">[1]!unf_pvt_dZdp($D39,U$36,gg,zcor)*100</f>
        <v>0.37120063296924855</v>
      </c>
      <c r="V86" s="1" cm="1">
        <f t="array" ref="V86">[1]!unf_pvt_dZdp($D39,V$36,gg,zcor)*100</f>
        <v>0.70284599065995046</v>
      </c>
      <c r="W86" s="1" cm="1">
        <f t="array" ref="W86">[1]!unf_pvt_dZdp($D39,W$36,gg,zcor)*100</f>
        <v>0.97357167654354981</v>
      </c>
      <c r="X86" s="1" cm="1">
        <f t="array" ref="X86">[1]!unf_pvt_dZdp($D39,X$36,gg,zcor)*100</f>
        <v>1.1917774351577481</v>
      </c>
      <c r="Y86" s="1" cm="1">
        <f t="array" ref="Y86">[1]!unf_pvt_dZdp($D39,Y$36,gg,zcor)*100</f>
        <v>1.3656901253422671</v>
      </c>
      <c r="Z86" s="1" cm="1">
        <f t="array" ref="Z86">[1]!unf_pvt_dZdp($D39,Z$36,gg,zcor)*100</f>
        <v>1.5029147082457062</v>
      </c>
      <c r="AA86" s="1" cm="1">
        <f t="array" ref="AA86">[1]!unf_pvt_dZdp($D39,AA$36,gg,zcor)*100</f>
        <v>1.6102044852905895</v>
      </c>
      <c r="AB86" s="1" cm="1">
        <f t="array" ref="AB86">[1]!unf_pvt_dZdp($D39,AB$36,gg,zcor)*100</f>
        <v>1.6933819021547336</v>
      </c>
      <c r="AC86" s="1" cm="1">
        <f t="array" ref="AC86">[1]!unf_pvt_dZdp($D39,AC$36,gg,zcor)*100</f>
        <v>1.7573554752337017</v>
      </c>
      <c r="AD86" s="1" cm="1">
        <f t="array" ref="AD86">[1]!unf_pvt_dZdp($D39,AD$36,gg,zcor)*100</f>
        <v>1.8061916932010647</v>
      </c>
      <c r="AE86" s="1" cm="1">
        <f t="array" ref="AE86">[1]!unf_pvt_dZdp($D39,AE$36,gg,zcor)*100</f>
        <v>1.8432130221102128</v>
      </c>
      <c r="AF86" s="1" cm="1">
        <f t="array" ref="AF86">[1]!unf_pvt_dZdp($D39,AF$36,gg,zcor)*100</f>
        <v>1.8711033466722871</v>
      </c>
      <c r="AG86" s="1" cm="1">
        <f t="array" ref="AG86">[1]!unf_pvt_dZdp($D39,AG$36,gg,zcor)*100</f>
        <v>1.892009838139197</v>
      </c>
      <c r="AH86" s="1" cm="1">
        <f t="array" ref="AH86">[1]!unf_pvt_dZdp($D39,AH$36,gg,zcor)*100</f>
        <v>1.9076355127833899</v>
      </c>
      <c r="AI86" s="1" cm="1">
        <f t="array" ref="AI86">[1]!unf_pvt_dZdp($D39,AI$36,gg,zcor)*100</f>
        <v>1.9193201146050498</v>
      </c>
      <c r="AJ86" s="1" cm="1">
        <f t="array" ref="AJ86">[1]!unf_pvt_dZdp($D39,AJ$36,gg,zcor)*100</f>
        <v>1.9281089546552277</v>
      </c>
      <c r="AK86" s="1" cm="1">
        <f t="array" ref="AK86">[1]!unf_pvt_dZdp($D39,AK$36,gg,zcor)*100</f>
        <v>1.9348104225758167</v>
      </c>
    </row>
    <row r="87" spans="5:37" x14ac:dyDescent="0.45">
      <c r="E87" t="str">
        <f t="shared" si="4"/>
        <v>t=20 C</v>
      </c>
      <c r="F87" s="1" cm="1">
        <f t="array" ref="F87">[1]!unf_pvt_dZdp($D40,F$36,gg,zcor)*100</f>
        <v>-3.0652120293672702</v>
      </c>
      <c r="G87" s="1" cm="1">
        <f t="array" ref="G87">[1]!unf_pvt_dZdp($D40,G$36,gg,zcor)*100</f>
        <v>-3.2108279793163774</v>
      </c>
      <c r="H87" s="1" cm="1">
        <f t="array" ref="H87">[1]!unf_pvt_dZdp($D40,H$36,gg,zcor)*100</f>
        <v>-3.5125294626447978</v>
      </c>
      <c r="I87" s="1" cm="1">
        <f t="array" ref="I87">[1]!unf_pvt_dZdp($D40,I$36,gg,zcor)*100</f>
        <v>-3.8481180419291938</v>
      </c>
      <c r="J87" s="1" cm="1">
        <f t="array" ref="J87">[1]!unf_pvt_dZdp($D40,J$36,gg,zcor)*100</f>
        <v>-4.109242116757672</v>
      </c>
      <c r="K87" s="1" cm="1">
        <f t="array" ref="K87">[1]!unf_pvt_dZdp($D40,K$36,gg,zcor)*100</f>
        <v>-4.2138784371203997</v>
      </c>
      <c r="L87" s="1" cm="1">
        <f t="array" ref="L87">[1]!unf_pvt_dZdp($D40,L$36,gg,zcor)*100</f>
        <v>-4.121049495424689</v>
      </c>
      <c r="M87" s="1" cm="1">
        <f t="array" ref="M87">[1]!unf_pvt_dZdp($D40,M$36,gg,zcor)*100</f>
        <v>-3.8350257135577603</v>
      </c>
      <c r="N87" s="1" cm="1">
        <f t="array" ref="N87">[1]!unf_pvt_dZdp($D40,N$36,gg,zcor)*100</f>
        <v>-3.395214180713646</v>
      </c>
      <c r="O87" s="1" cm="1">
        <f t="array" ref="O87">[1]!unf_pvt_dZdp($D40,O$36,gg,zcor)*100</f>
        <v>-2.8577920983596794</v>
      </c>
      <c r="P87" s="1" cm="1">
        <f t="array" ref="P87">[1]!unf_pvt_dZdp($D40,P$36,gg,zcor)*100</f>
        <v>-2.2784290991129108</v>
      </c>
      <c r="Q87" s="1" cm="1">
        <f t="array" ref="Q87">[1]!unf_pvt_dZdp($D40,Q$36,gg,zcor)*100</f>
        <v>-1.7018286803327509</v>
      </c>
      <c r="R87" s="1" cm="1">
        <f t="array" ref="R87">[1]!unf_pvt_dZdp($D40,R$36,gg,zcor)*100</f>
        <v>-1.158471249218529</v>
      </c>
      <c r="S87" s="1" cm="1">
        <f t="array" ref="S87">[1]!unf_pvt_dZdp($D40,S$36,gg,zcor)*100</f>
        <v>-0.66595503685817903</v>
      </c>
      <c r="T87" s="1" cm="1">
        <f t="array" ref="T87">[1]!unf_pvt_dZdp($D40,T$36,gg,zcor)*100</f>
        <v>-0.2321230305113442</v>
      </c>
      <c r="U87" s="1" cm="1">
        <f t="array" ref="U87">[1]!unf_pvt_dZdp($D40,U$36,gg,zcor)*100</f>
        <v>0.14176584431591088</v>
      </c>
      <c r="V87" s="1" cm="1">
        <f t="array" ref="V87">[1]!unf_pvt_dZdp($D40,V$36,gg,zcor)*100</f>
        <v>0.45850475906550336</v>
      </c>
      <c r="W87" s="1" cm="1">
        <f t="array" ref="W87">[1]!unf_pvt_dZdp($D40,W$36,gg,zcor)*100</f>
        <v>0.72313064504170299</v>
      </c>
      <c r="X87" s="1" cm="1">
        <f t="array" ref="X87">[1]!unf_pvt_dZdp($D40,X$36,gg,zcor)*100</f>
        <v>0.94170774219359821</v>
      </c>
      <c r="Y87" s="1" cm="1">
        <f t="array" ref="Y87">[1]!unf_pvt_dZdp($D40,Y$36,gg,zcor)*100</f>
        <v>1.1205439666450712</v>
      </c>
      <c r="Z87" s="1" cm="1">
        <f t="array" ref="Z87">[1]!unf_pvt_dZdp($D40,Z$36,gg,zcor)*100</f>
        <v>1.2657115143577258</v>
      </c>
      <c r="AA87" s="1" cm="1">
        <f t="array" ref="AA87">[1]!unf_pvt_dZdp($D40,AA$36,gg,zcor)*100</f>
        <v>1.3827775303920653</v>
      </c>
      <c r="AB87" s="1" cm="1">
        <f t="array" ref="AB87">[1]!unf_pvt_dZdp($D40,AB$36,gg,zcor)*100</f>
        <v>1.4766766343587978</v>
      </c>
      <c r="AC87" s="1" cm="1">
        <f t="array" ref="AC87">[1]!unf_pvt_dZdp($D40,AC$36,gg,zcor)*100</f>
        <v>1.5516756809430543</v>
      </c>
      <c r="AD87" s="1" cm="1">
        <f t="array" ref="AD87">[1]!unf_pvt_dZdp($D40,AD$36,gg,zcor)*100</f>
        <v>1.6113950107943253</v>
      </c>
      <c r="AE87" s="1" cm="1">
        <f t="array" ref="AE87">[1]!unf_pvt_dZdp($D40,AE$36,gg,zcor)*100</f>
        <v>1.6588611525458763</v>
      </c>
      <c r="AF87" s="1" cm="1">
        <f t="array" ref="AF87">[1]!unf_pvt_dZdp($D40,AF$36,gg,zcor)*100</f>
        <v>1.6965741529617606</v>
      </c>
      <c r="AG87" s="1" cm="1">
        <f t="array" ref="AG87">[1]!unf_pvt_dZdp($D40,AG$36,gg,zcor)*100</f>
        <v>1.7265788198439491</v>
      </c>
      <c r="AH87" s="1" cm="1">
        <f t="array" ref="AH87">[1]!unf_pvt_dZdp($D40,AH$36,gg,zcor)*100</f>
        <v>1.7505335118761511</v>
      </c>
      <c r="AI87" s="1" cm="1">
        <f t="array" ref="AI87">[1]!unf_pvt_dZdp($D40,AI$36,gg,zcor)*100</f>
        <v>1.7697730663379652</v>
      </c>
      <c r="AJ87" s="1" cm="1">
        <f t="array" ref="AJ87">[1]!unf_pvt_dZdp($D40,AJ$36,gg,zcor)*100</f>
        <v>1.7853643684484499</v>
      </c>
      <c r="AK87" s="1" cm="1">
        <f t="array" ref="AK87">[1]!unf_pvt_dZdp($D40,AK$36,gg,zcor)*100</f>
        <v>1.7981542375333781</v>
      </c>
    </row>
    <row r="88" spans="5:37" x14ac:dyDescent="0.45">
      <c r="E88" t="str">
        <f t="shared" si="4"/>
        <v>t=30 C</v>
      </c>
      <c r="F88" s="1" cm="1">
        <f t="array" ref="F88">[1]!unf_pvt_dZdp($D41,F$36,gg,zcor)*100</f>
        <v>-2.7246613826970023</v>
      </c>
      <c r="G88" s="1" cm="1">
        <f t="array" ref="G88">[1]!unf_pvt_dZdp($D41,G$36,gg,zcor)*100</f>
        <v>-2.8489410249143976</v>
      </c>
      <c r="H88" s="1" cm="1">
        <f t="array" ref="H88">[1]!unf_pvt_dZdp($D41,H$36,gg,zcor)*100</f>
        <v>-3.0851852761959453</v>
      </c>
      <c r="I88" s="1" cm="1">
        <f t="array" ref="I88">[1]!unf_pvt_dZdp($D41,I$36,gg,zcor)*100</f>
        <v>-3.3448769158428426</v>
      </c>
      <c r="J88" s="1" cm="1">
        <f t="array" ref="J88">[1]!unf_pvt_dZdp($D41,J$36,gg,zcor)*100</f>
        <v>-3.5495575662225498</v>
      </c>
      <c r="K88" s="1" cm="1">
        <f t="array" ref="K88">[1]!unf_pvt_dZdp($D41,K$36,gg,zcor)*100</f>
        <v>-3.639078137884777</v>
      </c>
      <c r="L88" s="1" cm="1">
        <f t="array" ref="L88">[1]!unf_pvt_dZdp($D41,L$36,gg,zcor)*100</f>
        <v>-3.5807856590586162</v>
      </c>
      <c r="M88" s="1" cm="1">
        <f t="array" ref="M88">[1]!unf_pvt_dZdp($D41,M$36,gg,zcor)*100</f>
        <v>-3.3726933228517275</v>
      </c>
      <c r="N88" s="1" cm="1">
        <f t="array" ref="N88">[1]!unf_pvt_dZdp($D41,N$36,gg,zcor)*100</f>
        <v>-3.0382211565549433</v>
      </c>
      <c r="O88" s="1" cm="1">
        <f t="array" ref="O88">[1]!unf_pvt_dZdp($D41,O$36,gg,zcor)*100</f>
        <v>-2.615309079799788</v>
      </c>
      <c r="P88" s="1" cm="1">
        <f t="array" ref="P88">[1]!unf_pvt_dZdp($D41,P$36,gg,zcor)*100</f>
        <v>-2.1449835467501899</v>
      </c>
      <c r="Q88" s="1" cm="1">
        <f t="array" ref="Q88">[1]!unf_pvt_dZdp($D41,Q$36,gg,zcor)*100</f>
        <v>-1.6631810188894036</v>
      </c>
      <c r="R88" s="1" cm="1">
        <f t="array" ref="R88">[1]!unf_pvt_dZdp($D41,R$36,gg,zcor)*100</f>
        <v>-1.1969060286720623</v>
      </c>
      <c r="S88" s="1" cm="1">
        <f t="array" ref="S88">[1]!unf_pvt_dZdp($D41,S$36,gg,zcor)*100</f>
        <v>-0.76379622212074949</v>
      </c>
      <c r="T88" s="1" cm="1">
        <f t="array" ref="T88">[1]!unf_pvt_dZdp($D41,T$36,gg,zcor)*100</f>
        <v>-0.37354485966201167</v>
      </c>
      <c r="U88" s="1" cm="1">
        <f t="array" ref="U88">[1]!unf_pvt_dZdp($D41,U$36,gg,zcor)*100</f>
        <v>-2.9924523040625317E-2</v>
      </c>
      <c r="V88" s="1" cm="1">
        <f t="array" ref="V88">[1]!unf_pvt_dZdp($D41,V$36,gg,zcor)*100</f>
        <v>0.26729584532647621</v>
      </c>
      <c r="W88" s="1" cm="1">
        <f t="array" ref="W88">[1]!unf_pvt_dZdp($D41,W$36,gg,zcor)*100</f>
        <v>0.52081447465934794</v>
      </c>
      <c r="X88" s="1" cm="1">
        <f t="array" ref="X88">[1]!unf_pvt_dZdp($D41,X$36,gg,zcor)*100</f>
        <v>0.73467543641236865</v>
      </c>
      <c r="Y88" s="1" cm="1">
        <f t="array" ref="Y88">[1]!unf_pvt_dZdp($D41,Y$36,gg,zcor)*100</f>
        <v>0.91350093284203737</v>
      </c>
      <c r="Z88" s="1" cm="1">
        <f t="array" ref="Z88">[1]!unf_pvt_dZdp($D41,Z$36,gg,zcor)*100</f>
        <v>1.0619942189704634</v>
      </c>
      <c r="AA88" s="1" cm="1">
        <f t="array" ref="AA88">[1]!unf_pvt_dZdp($D41,AA$36,gg,zcor)*100</f>
        <v>1.1846379919155936</v>
      </c>
      <c r="AB88" s="1" cm="1">
        <f t="array" ref="AB88">[1]!unf_pvt_dZdp($D41,AB$36,gg,zcor)*100</f>
        <v>1.2855284503887621</v>
      </c>
      <c r="AC88" s="1" cm="1">
        <f t="array" ref="AC88">[1]!unf_pvt_dZdp($D41,AC$36,gg,zcor)*100</f>
        <v>1.3683001187037025</v>
      </c>
      <c r="AD88" s="1" cm="1">
        <f t="array" ref="AD88">[1]!unf_pvt_dZdp($D41,AD$36,gg,zcor)*100</f>
        <v>1.4361088309999825</v>
      </c>
      <c r="AE88" s="1" cm="1">
        <f t="array" ref="AE88">[1]!unf_pvt_dZdp($D41,AE$36,gg,zcor)*100</f>
        <v>1.4916498584849336</v>
      </c>
      <c r="AF88" s="1" cm="1">
        <f t="array" ref="AF88">[1]!unf_pvt_dZdp($D41,AF$36,gg,zcor)*100</f>
        <v>1.5371954083676087</v>
      </c>
      <c r="AG88" s="1" cm="1">
        <f t="array" ref="AG88">[1]!unf_pvt_dZdp($D41,AG$36,gg,zcor)*100</f>
        <v>1.574641060247961</v>
      </c>
      <c r="AH88" s="1" cm="1">
        <f t="array" ref="AH88">[1]!unf_pvt_dZdp($D41,AH$36,gg,zcor)*100</f>
        <v>1.6055545316895348</v>
      </c>
      <c r="AI88" s="1" cm="1">
        <f t="array" ref="AI88">[1]!unf_pvt_dZdp($D41,AI$36,gg,zcor)*100</f>
        <v>1.6312228280346286</v>
      </c>
      <c r="AJ88" s="1" cm="1">
        <f t="array" ref="AJ88">[1]!unf_pvt_dZdp($D41,AJ$36,gg,zcor)*100</f>
        <v>1.6526956262596926</v>
      </c>
      <c r="AK88" s="1" cm="1">
        <f t="array" ref="AK88">[1]!unf_pvt_dZdp($D41,AK$36,gg,zcor)*100</f>
        <v>1.6708239089313626</v>
      </c>
    </row>
    <row r="89" spans="5:37" x14ac:dyDescent="0.45">
      <c r="E89" t="str">
        <f t="shared" si="4"/>
        <v>t=40 C</v>
      </c>
      <c r="F89" s="1" cm="1">
        <f t="array" ref="F89">[1]!unf_pvt_dZdp($D42,F$36,gg,zcor)*100</f>
        <v>-2.4318576706483519</v>
      </c>
      <c r="G89" s="1" cm="1">
        <f t="array" ref="G89">[1]!unf_pvt_dZdp($D42,G$36,gg,zcor)*100</f>
        <v>-2.5397799155757461</v>
      </c>
      <c r="H89" s="1" cm="1">
        <f t="array" ref="H89">[1]!unf_pvt_dZdp($D42,H$36,gg,zcor)*100</f>
        <v>-2.7265138440346615</v>
      </c>
      <c r="I89" s="1" cm="1">
        <f t="array" ref="I89">[1]!unf_pvt_dZdp($D42,I$36,gg,zcor)*100</f>
        <v>-2.9276462483851518</v>
      </c>
      <c r="J89" s="1" cm="1">
        <f t="array" ref="J89">[1]!unf_pvt_dZdp($D42,J$36,gg,zcor)*100</f>
        <v>-3.086092805406615</v>
      </c>
      <c r="K89" s="1" cm="1">
        <f t="array" ref="K89">[1]!unf_pvt_dZdp($D42,K$36,gg,zcor)*100</f>
        <v>-3.1577710291408323</v>
      </c>
      <c r="L89" s="1" cm="1">
        <f t="array" ref="L89">[1]!unf_pvt_dZdp($D42,L$36,gg,zcor)*100</f>
        <v>-3.1174524823374128</v>
      </c>
      <c r="M89" s="1" cm="1">
        <f t="array" ref="M89">[1]!unf_pvt_dZdp($D42,M$36,gg,zcor)*100</f>
        <v>-2.9609682127429426</v>
      </c>
      <c r="N89" s="1" cm="1">
        <f t="array" ref="N89">[1]!unf_pvt_dZdp($D42,N$36,gg,zcor)*100</f>
        <v>-2.702341078653081</v>
      </c>
      <c r="O89" s="1" cm="1">
        <f t="array" ref="O89">[1]!unf_pvt_dZdp($D42,O$36,gg,zcor)*100</f>
        <v>-2.3672137493757628</v>
      </c>
      <c r="P89" s="1" cm="1">
        <f t="array" ref="P89">[1]!unf_pvt_dZdp($D42,P$36,gg,zcor)*100</f>
        <v>-1.9853692895999142</v>
      </c>
      <c r="Q89" s="1" cm="1">
        <f t="array" ref="Q89">[1]!unf_pvt_dZdp($D42,Q$36,gg,zcor)*100</f>
        <v>-1.584740956670494</v>
      </c>
      <c r="R89" s="1" cm="1">
        <f t="array" ref="R89">[1]!unf_pvt_dZdp($D42,R$36,gg,zcor)*100</f>
        <v>-1.1879436469086624</v>
      </c>
      <c r="S89" s="1" cm="1">
        <f t="array" ref="S89">[1]!unf_pvt_dZdp($D42,S$36,gg,zcor)*100</f>
        <v>-0.81112949769757137</v>
      </c>
      <c r="T89" s="1" cm="1">
        <f t="array" ref="T89">[1]!unf_pvt_dZdp($D42,T$36,gg,zcor)*100</f>
        <v>-0.46438611639998406</v>
      </c>
      <c r="U89" s="1" cm="1">
        <f t="array" ref="U89">[1]!unf_pvt_dZdp($D42,U$36,gg,zcor)*100</f>
        <v>-0.15287379377837418</v>
      </c>
      <c r="V89" s="1" cm="1">
        <f t="array" ref="V89">[1]!unf_pvt_dZdp($D42,V$36,gg,zcor)*100</f>
        <v>0.12186335034081175</v>
      </c>
      <c r="W89" s="1" cm="1">
        <f t="array" ref="W89">[1]!unf_pvt_dZdp($D42,W$36,gg,zcor)*100</f>
        <v>0.36071373368806725</v>
      </c>
      <c r="X89" s="1" cm="1">
        <f t="array" ref="X89">[1]!unf_pvt_dZdp($D42,X$36,gg,zcor)*100</f>
        <v>0.56605531519648977</v>
      </c>
      <c r="Y89" s="1" cm="1">
        <f t="array" ref="Y89">[1]!unf_pvt_dZdp($D42,Y$36,gg,zcor)*100</f>
        <v>0.74106240114168997</v>
      </c>
      <c r="Z89" s="1" cm="1">
        <f t="array" ref="Z89">[1]!unf_pvt_dZdp($D42,Z$36,gg,zcor)*100</f>
        <v>0.88922679360114998</v>
      </c>
      <c r="AA89" s="1" cm="1">
        <f t="array" ref="AA89">[1]!unf_pvt_dZdp($D42,AA$36,gg,zcor)*100</f>
        <v>1.0140459087670806</v>
      </c>
      <c r="AB89" s="1" cm="1">
        <f t="array" ref="AB89">[1]!unf_pvt_dZdp($D42,AB$36,gg,zcor)*100</f>
        <v>1.1188333249301241</v>
      </c>
      <c r="AC89" s="1" cm="1">
        <f t="array" ref="AC89">[1]!unf_pvt_dZdp($D42,AC$36,gg,zcor)*100</f>
        <v>1.2066151127410052</v>
      </c>
      <c r="AD89" s="1" cm="1">
        <f t="array" ref="AD89">[1]!unf_pvt_dZdp($D42,AD$36,gg,zcor)*100</f>
        <v>1.2800838379445345</v>
      </c>
      <c r="AE89" s="1" cm="1">
        <f t="array" ref="AE89">[1]!unf_pvt_dZdp($D42,AE$36,gg,zcor)*100</f>
        <v>1.3415896265334126</v>
      </c>
      <c r="AF89" s="1" cm="1">
        <f t="array" ref="AF89">[1]!unf_pvt_dZdp($D42,AF$36,gg,zcor)*100</f>
        <v>1.3931536996847349</v>
      </c>
      <c r="AG89" s="1" cm="1">
        <f t="array" ref="AG89">[1]!unf_pvt_dZdp($D42,AG$36,gg,zcor)*100</f>
        <v>1.4364943711164813</v>
      </c>
      <c r="AH89" s="1" cm="1">
        <f t="array" ref="AH89">[1]!unf_pvt_dZdp($D42,AH$36,gg,zcor)*100</f>
        <v>1.4730588713218751</v>
      </c>
      <c r="AI89" s="1" cm="1">
        <f t="array" ref="AI89">[1]!unf_pvt_dZdp($D42,AI$36,gg,zcor)*100</f>
        <v>1.5040567706159358</v>
      </c>
      <c r="AJ89" s="1" cm="1">
        <f t="array" ref="AJ89">[1]!unf_pvt_dZdp($D42,AJ$36,gg,zcor)*100</f>
        <v>1.530492446059073</v>
      </c>
      <c r="AK89" s="1" cm="1">
        <f t="array" ref="AK89">[1]!unf_pvt_dZdp($D42,AK$36,gg,zcor)*100</f>
        <v>1.5531951681602152</v>
      </c>
    </row>
    <row r="90" spans="5:37" x14ac:dyDescent="0.45">
      <c r="E90" t="str">
        <f t="shared" si="4"/>
        <v>t=50 C</v>
      </c>
      <c r="F90" s="1" cm="1">
        <f t="array" ref="F90">[1]!unf_pvt_dZdp($D43,F$36,gg,zcor)*100</f>
        <v>-2.1785952217601157</v>
      </c>
      <c r="G90" s="1" cm="1">
        <f t="array" ref="G90">[1]!unf_pvt_dZdp($D43,G$36,gg,zcor)*100</f>
        <v>-2.2737178657761259</v>
      </c>
      <c r="H90" s="1" cm="1">
        <f t="array" ref="H90">[1]!unf_pvt_dZdp($D43,H$36,gg,zcor)*100</f>
        <v>-2.4226760999701558</v>
      </c>
      <c r="I90" s="1" cm="1">
        <f t="array" ref="I90">[1]!unf_pvt_dZdp($D43,I$36,gg,zcor)*100</f>
        <v>-2.5784653245819467</v>
      </c>
      <c r="J90" s="1" cm="1">
        <f t="array" ref="J90">[1]!unf_pvt_dZdp($D43,J$36,gg,zcor)*100</f>
        <v>-2.6994765281229682</v>
      </c>
      <c r="K90" s="1" cm="1">
        <f t="array" ref="K90">[1]!unf_pvt_dZdp($D43,K$36,gg,zcor)*100</f>
        <v>-2.7534898066183811</v>
      </c>
      <c r="L90" s="1" cm="1">
        <f t="array" ref="L90">[1]!unf_pvt_dZdp($D43,L$36,gg,zcor)*100</f>
        <v>-2.7214672464115353</v>
      </c>
      <c r="M90" s="1" cm="1">
        <f t="array" ref="M90">[1]!unf_pvt_dZdp($D43,M$36,gg,zcor)*100</f>
        <v>-2.5990157498700928</v>
      </c>
      <c r="N90" s="1" cm="1">
        <f t="array" ref="N90">[1]!unf_pvt_dZdp($D43,N$36,gg,zcor)*100</f>
        <v>-2.3947226324017024</v>
      </c>
      <c r="O90" s="1" cm="1">
        <f t="array" ref="O90">[1]!unf_pvt_dZdp($D43,O$36,gg,zcor)*100</f>
        <v>-2.1260889491114821</v>
      </c>
      <c r="P90" s="1" cm="1">
        <f t="array" ref="P90">[1]!unf_pvt_dZdp($D43,P$36,gg,zcor)*100</f>
        <v>-1.8146359615123231</v>
      </c>
      <c r="Q90" s="1" cm="1">
        <f t="array" ref="Q90">[1]!unf_pvt_dZdp($D43,Q$36,gg,zcor)*100</f>
        <v>-1.4816620652702284</v>
      </c>
      <c r="R90" s="1" cm="1">
        <f t="array" ref="R90">[1]!unf_pvt_dZdp($D43,R$36,gg,zcor)*100</f>
        <v>-1.1454438687186208</v>
      </c>
      <c r="S90" s="1" cm="1">
        <f t="array" ref="S90">[1]!unf_pvt_dZdp($D43,S$36,gg,zcor)*100</f>
        <v>-0.81995339672680245</v>
      </c>
      <c r="T90" s="1" cm="1">
        <f t="array" ref="T90">[1]!unf_pvt_dZdp($D43,T$36,gg,zcor)*100</f>
        <v>-0.51472940680752366</v>
      </c>
      <c r="U90" s="1" cm="1">
        <f t="array" ref="U90">[1]!unf_pvt_dZdp($D43,U$36,gg,zcor)*100</f>
        <v>-0.23542517742836111</v>
      </c>
      <c r="V90" s="1" cm="1">
        <f t="array" ref="V90">[1]!unf_pvt_dZdp($D43,V$36,gg,zcor)*100</f>
        <v>1.5365848409221172E-2</v>
      </c>
      <c r="W90" s="1" cm="1">
        <f t="array" ref="W90">[1]!unf_pvt_dZdp($D43,W$36,gg,zcor)*100</f>
        <v>0.23726356253250813</v>
      </c>
      <c r="X90" s="1" cm="1">
        <f t="array" ref="X90">[1]!unf_pvt_dZdp($D43,X$36,gg,zcor)*100</f>
        <v>0.43136445764035969</v>
      </c>
      <c r="Y90" s="1" cm="1">
        <f t="array" ref="Y90">[1]!unf_pvt_dZdp($D43,Y$36,gg,zcor)*100</f>
        <v>0.5996599520752266</v>
      </c>
      <c r="Z90" s="1" cm="1">
        <f t="array" ref="Z90">[1]!unf_pvt_dZdp($D43,Z$36,gg,zcor)*100</f>
        <v>0.744607986967738</v>
      </c>
      <c r="AA90" s="1" cm="1">
        <f t="array" ref="AA90">[1]!unf_pvt_dZdp($D43,AA$36,gg,zcor)*100</f>
        <v>0.86883537190995952</v>
      </c>
      <c r="AB90" s="1" cm="1">
        <f t="array" ref="AB90">[1]!unf_pvt_dZdp($D43,AB$36,gg,zcor)*100</f>
        <v>0.97494267904729703</v>
      </c>
      <c r="AC90" s="1" cm="1">
        <f t="array" ref="AC90">[1]!unf_pvt_dZdp($D43,AC$36,gg,zcor)*100</f>
        <v>1.0653851004127635</v>
      </c>
      <c r="AD90" s="1" cm="1">
        <f t="array" ref="AD90">[1]!unf_pvt_dZdp($D43,AD$36,gg,zcor)*100</f>
        <v>1.1424070912557927</v>
      </c>
      <c r="AE90" s="1" cm="1">
        <f t="array" ref="AE90">[1]!unf_pvt_dZdp($D43,AE$36,gg,zcor)*100</f>
        <v>1.2080135463876651</v>
      </c>
      <c r="AF90" s="1" cm="1">
        <f t="array" ref="AF90">[1]!unf_pvt_dZdp($D43,AF$36,gg,zcor)*100</f>
        <v>1.2639647042633761</v>
      </c>
      <c r="AG90" s="1" cm="1">
        <f t="array" ref="AG90">[1]!unf_pvt_dZdp($D43,AG$36,gg,zcor)*100</f>
        <v>1.3117856154398755</v>
      </c>
      <c r="AH90" s="1" cm="1">
        <f t="array" ref="AH90">[1]!unf_pvt_dZdp($D43,AH$36,gg,zcor)*100</f>
        <v>1.3527838262061831</v>
      </c>
      <c r="AI90" s="1" cm="1">
        <f t="array" ref="AI90">[1]!unf_pvt_dZdp($D43,AI$36,gg,zcor)*100</f>
        <v>1.3880710196356727</v>
      </c>
      <c r="AJ90" s="1" cm="1">
        <f t="array" ref="AJ90">[1]!unf_pvt_dZdp($D43,AJ$36,gg,zcor)*100</f>
        <v>1.4185858626925008</v>
      </c>
      <c r="AK90" s="1" cm="1">
        <f t="array" ref="AK90">[1]!unf_pvt_dZdp($D43,AK$36,gg,zcor)*100</f>
        <v>1.4451163651651999</v>
      </c>
    </row>
    <row r="91" spans="5:37" x14ac:dyDescent="0.45">
      <c r="E91" t="str">
        <f t="shared" si="4"/>
        <v>t=60 C</v>
      </c>
      <c r="F91" s="1" cm="1">
        <f t="array" ref="F91">[1]!unf_pvt_dZdp($D44,F$36,gg,zcor)*100</f>
        <v>-1.9582834355635903</v>
      </c>
      <c r="G91" s="1" cm="1">
        <f t="array" ref="G91">[1]!unf_pvt_dZdp($D44,G$36,gg,zcor)*100</f>
        <v>-2.0431764867867575</v>
      </c>
      <c r="H91" s="1" cm="1">
        <f t="array" ref="H91">[1]!unf_pvt_dZdp($D44,H$36,gg,zcor)*100</f>
        <v>-2.1630611773859609</v>
      </c>
      <c r="I91" s="1" cm="1">
        <f t="array" ref="I91">[1]!unf_pvt_dZdp($D44,I$36,gg,zcor)*100</f>
        <v>-2.2836054151487151</v>
      </c>
      <c r="J91" s="1" cm="1">
        <f t="array" ref="J91">[1]!unf_pvt_dZdp($D44,J$36,gg,zcor)*100</f>
        <v>-2.3745222241200459</v>
      </c>
      <c r="K91" s="1" cm="1">
        <f t="array" ref="K91">[1]!unf_pvt_dZdp($D44,K$36,gg,zcor)*100</f>
        <v>-2.4124014445403574</v>
      </c>
      <c r="L91" s="1" cm="1">
        <f t="array" ref="L91">[1]!unf_pvt_dZdp($D44,L$36,gg,zcor)*100</f>
        <v>-2.3831948225594424</v>
      </c>
      <c r="M91" s="1" cm="1">
        <f t="array" ref="M91">[1]!unf_pvt_dZdp($D44,M$36,gg,zcor)*100</f>
        <v>-2.2831480689655681</v>
      </c>
      <c r="N91" s="1" cm="1">
        <f t="array" ref="N91">[1]!unf_pvt_dZdp($D44,N$36,gg,zcor)*100</f>
        <v>-2.1177603461208783</v>
      </c>
      <c r="O91" s="1" cm="1">
        <f t="array" ref="O91">[1]!unf_pvt_dZdp($D44,O$36,gg,zcor)*100</f>
        <v>-1.8991945520874243</v>
      </c>
      <c r="P91" s="1" cm="1">
        <f t="array" ref="P91">[1]!unf_pvt_dZdp($D44,P$36,gg,zcor)*100</f>
        <v>-1.6430528576016901</v>
      </c>
      <c r="Q91" s="1" cm="1">
        <f t="array" ref="Q91">[1]!unf_pvt_dZdp($D44,Q$36,gg,zcor)*100</f>
        <v>-1.3654226526838009</v>
      </c>
      <c r="R91" s="1" cm="1">
        <f t="array" ref="R91">[1]!unf_pvt_dZdp($D44,R$36,gg,zcor)*100</f>
        <v>-1.0807487987318787</v>
      </c>
      <c r="S91" s="1" cm="1">
        <f t="array" ref="S91">[1]!unf_pvt_dZdp($D44,S$36,gg,zcor)*100</f>
        <v>-0.80067234258796027</v>
      </c>
      <c r="T91" s="1" cm="1">
        <f t="array" ref="T91">[1]!unf_pvt_dZdp($D44,T$36,gg,zcor)*100</f>
        <v>-0.53368428507005738</v>
      </c>
      <c r="U91" s="1" cm="1">
        <f t="array" ref="U91">[1]!unf_pvt_dZdp($D44,U$36,gg,zcor)*100</f>
        <v>-0.28532405933145988</v>
      </c>
      <c r="V91" s="1" cm="1">
        <f t="array" ref="V91">[1]!unf_pvt_dZdp($D44,V$36,gg,zcor)*100</f>
        <v>-5.8661061007603266E-2</v>
      </c>
      <c r="W91" s="1" cm="1">
        <f t="array" ref="W91">[1]!unf_pvt_dZdp($D44,W$36,gg,zcor)*100</f>
        <v>0.14513440522723187</v>
      </c>
      <c r="X91" s="1" cm="1">
        <f t="array" ref="X91">[1]!unf_pvt_dZdp($D44,X$36,gg,zcor)*100</f>
        <v>0.32624770602618369</v>
      </c>
      <c r="Y91" s="1" cm="1">
        <f t="array" ref="Y91">[1]!unf_pvt_dZdp($D44,Y$36,gg,zcor)*100</f>
        <v>0.48575999511468737</v>
      </c>
      <c r="Z91" s="1" cm="1">
        <f t="array" ref="Z91">[1]!unf_pvt_dZdp($D44,Z$36,gg,zcor)*100</f>
        <v>0.62528829186114798</v>
      </c>
      <c r="AA91" s="1" cm="1">
        <f t="array" ref="AA91">[1]!unf_pvt_dZdp($D44,AA$36,gg,zcor)*100</f>
        <v>0.74672030975553305</v>
      </c>
      <c r="AB91" s="1" cm="1">
        <f t="array" ref="AB91">[1]!unf_pvt_dZdp($D44,AB$36,gg,zcor)*100</f>
        <v>0.85202933970296435</v>
      </c>
      <c r="AC91" s="1" cm="1">
        <f t="array" ref="AC91">[1]!unf_pvt_dZdp($D44,AC$36,gg,zcor)*100</f>
        <v>0.94315209137052491</v>
      </c>
      <c r="AD91" s="1" cm="1">
        <f t="array" ref="AD91">[1]!unf_pvt_dZdp($D44,AD$36,gg,zcor)*100</f>
        <v>1.0219135462929962</v>
      </c>
      <c r="AE91" s="1" cm="1">
        <f t="array" ref="AE91">[1]!unf_pvt_dZdp($D44,AE$36,gg,zcor)*100</f>
        <v>1.0899854520773911</v>
      </c>
      <c r="AF91" s="1" cm="1">
        <f t="array" ref="AF91">[1]!unf_pvt_dZdp($D44,AF$36,gg,zcor)*100</f>
        <v>1.1488679478588448</v>
      </c>
      <c r="AG91" s="1" cm="1">
        <f t="array" ref="AG91">[1]!unf_pvt_dZdp($D44,AG$36,gg,zcor)*100</f>
        <v>1.1998864256590469</v>
      </c>
      <c r="AH91" s="1" cm="1">
        <f t="array" ref="AH91">[1]!unf_pvt_dZdp($D44,AH$36,gg,zcor)*100</f>
        <v>1.2441979031729833</v>
      </c>
      <c r="AI91" s="1" cm="1">
        <f t="array" ref="AI91">[1]!unf_pvt_dZdp($D44,AI$36,gg,zcor)*100</f>
        <v>1.2828028859634966</v>
      </c>
      <c r="AJ91" s="1" cm="1">
        <f t="array" ref="AJ91">[1]!unf_pvt_dZdp($D44,AJ$36,gg,zcor)*100</f>
        <v>1.3165599794806582</v>
      </c>
      <c r="AK91" s="1" cm="1">
        <f t="array" ref="AK91">[1]!unf_pvt_dZdp($D44,AK$36,gg,zcor)*100</f>
        <v>1.346201448078066</v>
      </c>
    </row>
    <row r="92" spans="5:37" x14ac:dyDescent="0.45">
      <c r="E92" t="str">
        <f t="shared" si="4"/>
        <v>t=70 C</v>
      </c>
      <c r="F92" s="1" cm="1">
        <f t="array" ref="F92">[1]!unf_pvt_dZdp($D45,F$36,gg,zcor)*100</f>
        <v>-1.7656041177016579</v>
      </c>
      <c r="G92" s="1" cm="1">
        <f t="array" ref="G92">[1]!unf_pvt_dZdp($D45,G$36,gg,zcor)*100</f>
        <v>-1.8421437592086587</v>
      </c>
      <c r="H92" s="1" cm="1">
        <f t="array" ref="H92">[1]!unf_pvt_dZdp($D45,H$36,gg,zcor)*100</f>
        <v>-1.9394549294615704</v>
      </c>
      <c r="I92" s="1" cm="1">
        <f t="array" ref="I92">[1]!unf_pvt_dZdp($D45,I$36,gg,zcor)*100</f>
        <v>-2.0324944448224525</v>
      </c>
      <c r="J92" s="1" cm="1">
        <f t="array" ref="J92">[1]!unf_pvt_dZdp($D45,J$36,gg,zcor)*100</f>
        <v>-2.0993295013083113</v>
      </c>
      <c r="K92" s="1" cm="1">
        <f t="array" ref="K92">[1]!unf_pvt_dZdp($D45,K$36,gg,zcor)*100</f>
        <v>-2.123128347597536</v>
      </c>
      <c r="L92" s="1" cm="1">
        <f t="array" ref="L92">[1]!unf_pvt_dZdp($D45,L$36,gg,zcor)*100</f>
        <v>-2.0937899225448309</v>
      </c>
      <c r="M92" s="1" cm="1">
        <f t="array" ref="M92">[1]!unf_pvt_dZdp($D45,M$36,gg,zcor)*100</f>
        <v>-2.0085084115806229</v>
      </c>
      <c r="N92" s="1" cm="1">
        <f t="array" ref="N92">[1]!unf_pvt_dZdp($D45,N$36,gg,zcor)*100</f>
        <v>-1.8710696764101531</v>
      </c>
      <c r="O92" s="1" cm="1">
        <f t="array" ref="O92">[1]!unf_pvt_dZdp($D45,O$36,gg,zcor)*100</f>
        <v>-1.6901512163625121</v>
      </c>
      <c r="P92" s="1" cm="1">
        <f t="array" ref="P92">[1]!unf_pvt_dZdp($D45,P$36,gg,zcor)*100</f>
        <v>-1.4771742006969291</v>
      </c>
      <c r="Q92" s="1" cm="1">
        <f t="array" ref="Q92">[1]!unf_pvt_dZdp($D45,Q$36,gg,zcor)*100</f>
        <v>-1.2442635249265699</v>
      </c>
      <c r="R92" s="1" cm="1">
        <f t="array" ref="R92">[1]!unf_pvt_dZdp($D45,R$36,gg,zcor)*100</f>
        <v>-1.0026867373347237</v>
      </c>
      <c r="S92" s="1" cm="1">
        <f t="array" ref="S92">[1]!unf_pvt_dZdp($D45,S$36,gg,zcor)*100</f>
        <v>-0.76190370473572244</v>
      </c>
      <c r="T92" s="1" cm="1">
        <f t="array" ref="T92">[1]!unf_pvt_dZdp($D45,T$36,gg,zcor)*100</f>
        <v>-0.52917292275633798</v>
      </c>
      <c r="U92" s="1" cm="1">
        <f t="array" ref="U92">[1]!unf_pvt_dZdp($D45,U$36,gg,zcor)*100</f>
        <v>-0.30956619574862287</v>
      </c>
      <c r="V92" s="1" cm="1">
        <f t="array" ref="V92">[1]!unf_pvt_dZdp($D45,V$36,gg,zcor)*100</f>
        <v>-0.10622740839627554</v>
      </c>
      <c r="W92" s="1" cm="1">
        <f t="array" ref="W92">[1]!unf_pvt_dZdp($D45,W$36,gg,zcor)*100</f>
        <v>7.9260245317014366E-2</v>
      </c>
      <c r="X92" s="1" cm="1">
        <f t="array" ref="X92">[1]!unf_pvt_dZdp($D45,X$36,gg,zcor)*100</f>
        <v>0.24649095340723015</v>
      </c>
      <c r="Y92" s="1" cm="1">
        <f t="array" ref="Y92">[1]!unf_pvt_dZdp($D45,Y$36,gg,zcor)*100</f>
        <v>0.39588940203838519</v>
      </c>
      <c r="Z92" s="1" cm="1">
        <f t="array" ref="Z92">[1]!unf_pvt_dZdp($D45,Z$36,gg,zcor)*100</f>
        <v>0.528423402756939</v>
      </c>
      <c r="AA92" s="1" cm="1">
        <f t="array" ref="AA92">[1]!unf_pvt_dZdp($D45,AA$36,gg,zcor)*100</f>
        <v>0.64538060967844757</v>
      </c>
      <c r="AB92" s="1" cm="1">
        <f t="array" ref="AB92">[1]!unf_pvt_dZdp($D45,AB$36,gg,zcor)*100</f>
        <v>0.74820396691266389</v>
      </c>
      <c r="AC92" s="1" cm="1">
        <f t="array" ref="AC92">[1]!unf_pvt_dZdp($D45,AC$36,gg,zcor)*100</f>
        <v>0.83837630752148229</v>
      </c>
      <c r="AD92" s="1" cm="1">
        <f t="array" ref="AD92">[1]!unf_pvt_dZdp($D45,AD$36,gg,zcor)*100</f>
        <v>0.91734366022389047</v>
      </c>
      <c r="AE92" s="1" cm="1">
        <f t="array" ref="AE92">[1]!unf_pvt_dZdp($D45,AE$36,gg,zcor)*100</f>
        <v>0.98646766425791732</v>
      </c>
      <c r="AF92" s="1" cm="1">
        <f t="array" ref="AF92">[1]!unf_pvt_dZdp($D45,AF$36,gg,zcor)*100</f>
        <v>1.0469990321304579</v>
      </c>
      <c r="AG92" s="1" cm="1">
        <f t="array" ref="AG92">[1]!unf_pvt_dZdp($D45,AG$36,gg,zcor)*100</f>
        <v>1.1000656735593584</v>
      </c>
      <c r="AH92" s="1" cm="1">
        <f t="array" ref="AH92">[1]!unf_pvt_dZdp($D45,AH$36,gg,zcor)*100</f>
        <v>1.1466706271179294</v>
      </c>
      <c r="AI92" s="1" cm="1">
        <f t="array" ref="AI92">[1]!unf_pvt_dZdp($D45,AI$36,gg,zcor)*100</f>
        <v>1.1876962330803487</v>
      </c>
      <c r="AJ92" s="1" cm="1">
        <f t="array" ref="AJ92">[1]!unf_pvt_dZdp($D45,AJ$36,gg,zcor)*100</f>
        <v>1.2239120027479622</v>
      </c>
      <c r="AK92" s="1" cm="1">
        <f t="array" ref="AK92">[1]!unf_pvt_dZdp($D45,AK$36,gg,zcor)*100</f>
        <v>1.2559844211834648</v>
      </c>
    </row>
    <row r="93" spans="5:37" x14ac:dyDescent="0.45">
      <c r="E93" t="str">
        <f t="shared" si="4"/>
        <v>t=80 C</v>
      </c>
      <c r="F93" s="1" cm="1">
        <f t="array" ref="F93">[1]!unf_pvt_dZdp($D46,F$36,gg,zcor)*100</f>
        <v>-1.5962428347271462</v>
      </c>
      <c r="G93" s="1" cm="1">
        <f t="array" ref="G93">[1]!unf_pvt_dZdp($D46,G$36,gg,zcor)*100</f>
        <v>-1.6658132673297299</v>
      </c>
      <c r="H93" s="1" cm="1">
        <f t="array" ref="H93">[1]!unf_pvt_dZdp($D46,H$36,gg,zcor)*100</f>
        <v>-1.7454388185511593</v>
      </c>
      <c r="I93" s="1" cm="1">
        <f t="array" ref="I93">[1]!unf_pvt_dZdp($D46,I$36,gg,zcor)*100</f>
        <v>-1.8169273221280147</v>
      </c>
      <c r="J93" s="1" cm="1">
        <f t="array" ref="J93">[1]!unf_pvt_dZdp($D46,J$36,gg,zcor)*100</f>
        <v>-1.8645518422855112</v>
      </c>
      <c r="K93" s="1" cm="1">
        <f t="array" ref="K93">[1]!unf_pvt_dZdp($D46,K$36,gg,zcor)*100</f>
        <v>-1.8764152112193955</v>
      </c>
      <c r="L93" s="1" cm="1">
        <f t="array" ref="L93">[1]!unf_pvt_dZdp($D46,L$36,gg,zcor)*100</f>
        <v>-1.8455038968967497</v>
      </c>
      <c r="M93" s="1" cm="1">
        <f t="array" ref="M93">[1]!unf_pvt_dZdp($D46,M$36,gg,zcor)*100</f>
        <v>-1.7700011374444102</v>
      </c>
      <c r="N93" s="1" cm="1">
        <f t="array" ref="N93">[1]!unf_pvt_dZdp($D46,N$36,gg,zcor)*100</f>
        <v>-1.6527748619810101</v>
      </c>
      <c r="O93" s="1" cm="1">
        <f t="array" ref="O93">[1]!unf_pvt_dZdp($D46,O$36,gg,zcor)*100</f>
        <v>-1.5002275579412139</v>
      </c>
      <c r="P93" s="1" cm="1">
        <f t="array" ref="P93">[1]!unf_pvt_dZdp($D46,P$36,gg,zcor)*100</f>
        <v>-1.3208474972614681</v>
      </c>
      <c r="Q93" s="1" cm="1">
        <f t="array" ref="Q93">[1]!unf_pvt_dZdp($D46,Q$36,gg,zcor)*100</f>
        <v>-1.1238047357886582</v>
      </c>
      <c r="R93" s="1" cm="1">
        <f t="array" ref="R93">[1]!unf_pvt_dZdp($D46,R$36,gg,zcor)*100</f>
        <v>-0.91783206867757094</v>
      </c>
      <c r="S93" s="1" cm="1">
        <f t="array" ref="S93">[1]!unf_pvt_dZdp($D46,S$36,gg,zcor)*100</f>
        <v>-0.71049259136035658</v>
      </c>
      <c r="T93" s="1" cm="1">
        <f t="array" ref="T93">[1]!unf_pvt_dZdp($D46,T$36,gg,zcor)*100</f>
        <v>-0.5078202350905503</v>
      </c>
      <c r="U93" s="1" cm="1">
        <f t="array" ref="U93">[1]!unf_pvt_dZdp($D46,U$36,gg,zcor)*100</f>
        <v>-0.31425314866218024</v>
      </c>
      <c r="V93" s="1" cm="1">
        <f t="array" ref="V93">[1]!unf_pvt_dZdp($D46,V$36,gg,zcor)*100</f>
        <v>-0.13275943776314136</v>
      </c>
      <c r="W93" s="1" cm="1">
        <f t="array" ref="W93">[1]!unf_pvt_dZdp($D46,W$36,gg,zcor)*100</f>
        <v>3.4935449313433509E-2</v>
      </c>
      <c r="X93" s="1" cm="1">
        <f t="array" ref="X93">[1]!unf_pvt_dZdp($D46,X$36,gg,zcor)*100</f>
        <v>0.18808734302822039</v>
      </c>
      <c r="Y93" s="1" cm="1">
        <f t="array" ref="Y93">[1]!unf_pvt_dZdp($D46,Y$36,gg,zcor)*100</f>
        <v>0.32668105256705715</v>
      </c>
      <c r="Z93" s="1" cm="1">
        <f t="array" ref="Z93">[1]!unf_pvt_dZdp($D46,Z$36,gg,zcor)*100</f>
        <v>0.45121001844394826</v>
      </c>
      <c r="AA93" s="1" cm="1">
        <f t="array" ref="AA93">[1]!unf_pvt_dZdp($D46,AA$36,gg,zcor)*100</f>
        <v>0.56249666274710286</v>
      </c>
      <c r="AB93" s="1" cm="1">
        <f t="array" ref="AB93">[1]!unf_pvt_dZdp($D46,AB$36,gg,zcor)*100</f>
        <v>0.66155355563091156</v>
      </c>
      <c r="AC93" s="1" cm="1">
        <f t="array" ref="AC93">[1]!unf_pvt_dZdp($D46,AC$36,gg,zcor)*100</f>
        <v>0.74948100925453787</v>
      </c>
      <c r="AD93" s="1" cm="1">
        <f t="array" ref="AD93">[1]!unf_pvt_dZdp($D46,AD$36,gg,zcor)*100</f>
        <v>0.82739491303995827</v>
      </c>
      <c r="AE93" s="1" cm="1">
        <f t="array" ref="AE93">[1]!unf_pvt_dZdp($D46,AE$36,gg,zcor)*100</f>
        <v>0.89637841413470198</v>
      </c>
      <c r="AF93" s="1" cm="1">
        <f t="array" ref="AF93">[1]!unf_pvt_dZdp($D46,AF$36,gg,zcor)*100</f>
        <v>0.95745164969240903</v>
      </c>
      <c r="AG93" s="1" cm="1">
        <f t="array" ref="AG93">[1]!unf_pvt_dZdp($D46,AG$36,gg,zcor)*100</f>
        <v>1.0115546673417075</v>
      </c>
      <c r="AH93" s="1" cm="1">
        <f t="array" ref="AH93">[1]!unf_pvt_dZdp($D46,AH$36,gg,zcor)*100</f>
        <v>1.0595396539048174</v>
      </c>
      <c r="AI93" s="1" cm="1">
        <f t="array" ref="AI93">[1]!unf_pvt_dZdp($D46,AI$36,gg,zcor)*100</f>
        <v>1.1021694923674108</v>
      </c>
      <c r="AJ93" s="1" cm="1">
        <f t="array" ref="AJ93">[1]!unf_pvt_dZdp($D46,AJ$36,gg,zcor)*100</f>
        <v>1.1401204278782551</v>
      </c>
      <c r="AK93" s="1" cm="1">
        <f t="array" ref="AK93">[1]!unf_pvt_dZdp($D46,AK$36,gg,zcor)*100</f>
        <v>1.1739872347049651</v>
      </c>
    </row>
    <row r="94" spans="5:37" x14ac:dyDescent="0.45">
      <c r="E94" t="str">
        <f t="shared" si="4"/>
        <v>t=90 C</v>
      </c>
      <c r="F94" s="1" cm="1">
        <f t="array" ref="F94">[1]!unf_pvt_dZdp($D47,F$36,gg,zcor)*100</f>
        <v>-1.4466792132095119</v>
      </c>
      <c r="G94" s="1" cm="1">
        <f t="array" ref="G94">[1]!unf_pvt_dZdp($D47,G$36,gg,zcor)*100</f>
        <v>-1.5103127408477857</v>
      </c>
      <c r="H94" s="1" cm="1">
        <f t="array" ref="H94">[1]!unf_pvt_dZdp($D47,H$36,gg,zcor)*100</f>
        <v>-1.5759514982338629</v>
      </c>
      <c r="I94" s="1" cm="1">
        <f t="array" ref="I94">[1]!unf_pvt_dZdp($D47,I$36,gg,zcor)*100</f>
        <v>-1.6304849434334301</v>
      </c>
      <c r="J94" s="1" cm="1">
        <f t="array" ref="J94">[1]!unf_pvt_dZdp($D47,J$36,gg,zcor)*100</f>
        <v>-1.6628195518464395</v>
      </c>
      <c r="K94" s="1" cm="1">
        <f t="array" ref="K94">[1]!unf_pvt_dZdp($D47,K$36,gg,zcor)*100</f>
        <v>-1.6647717833906395</v>
      </c>
      <c r="L94" s="1" cm="1">
        <f t="array" ref="L94">[1]!unf_pvt_dZdp($D47,L$36,gg,zcor)*100</f>
        <v>-1.6317246772024063</v>
      </c>
      <c r="M94" s="1" cm="1">
        <f t="array" ref="M94">[1]!unf_pvt_dZdp($D47,M$36,gg,zcor)*100</f>
        <v>-1.5627693600417381</v>
      </c>
      <c r="N94" s="1" cm="1">
        <f t="array" ref="N94">[1]!unf_pvt_dZdp($D47,N$36,gg,zcor)*100</f>
        <v>-1.4603083301267805</v>
      </c>
      <c r="O94" s="1" cm="1">
        <f t="array" ref="O94">[1]!unf_pvt_dZdp($D47,O$36,gg,zcor)*100</f>
        <v>-1.3292548533283544</v>
      </c>
      <c r="P94" s="1" cm="1">
        <f t="array" ref="P94">[1]!unf_pvt_dZdp($D47,P$36,gg,zcor)*100</f>
        <v>-1.1760437048180528</v>
      </c>
      <c r="Q94" s="1" cm="1">
        <f t="array" ref="Q94">[1]!unf_pvt_dZdp($D47,Q$36,gg,zcor)*100</f>
        <v>-1.0076662904456857</v>
      </c>
      <c r="R94" s="1" cm="1">
        <f t="array" ref="R94">[1]!unf_pvt_dZdp($D47,R$36,gg,zcor)*100</f>
        <v>-0.83088220788840594</v>
      </c>
      <c r="S94" s="1" cm="1">
        <f t="array" ref="S94">[1]!unf_pvt_dZdp($D47,S$36,gg,zcor)*100</f>
        <v>-0.65167787462461213</v>
      </c>
      <c r="T94" s="1" cm="1">
        <f t="array" ref="T94">[1]!unf_pvt_dZdp($D47,T$36,gg,zcor)*100</f>
        <v>-0.47497257679940397</v>
      </c>
      <c r="U94" s="1" cm="1">
        <f t="array" ref="U94">[1]!unf_pvt_dZdp($D47,U$36,gg,zcor)*100</f>
        <v>-0.30452836733307898</v>
      </c>
      <c r="V94" s="1" cm="1">
        <f t="array" ref="V94">[1]!unf_pvt_dZdp($D47,V$36,gg,zcor)*100</f>
        <v>-0.14300302689007616</v>
      </c>
      <c r="W94" s="1" cm="1">
        <f t="array" ref="W94">[1]!unf_pvt_dZdp($D47,W$36,gg,zcor)*100</f>
        <v>7.9128175833886871E-3</v>
      </c>
      <c r="X94" s="1" cm="1">
        <f t="array" ref="X94">[1]!unf_pvt_dZdp($D47,X$36,gg,zcor)*100</f>
        <v>0.14732152520680053</v>
      </c>
      <c r="Y94" s="1" cm="1">
        <f t="array" ref="Y94">[1]!unf_pvt_dZdp($D47,Y$36,gg,zcor)*100</f>
        <v>0.27493977898807032</v>
      </c>
      <c r="Z94" s="1" cm="1">
        <f t="array" ref="Z94">[1]!unf_pvt_dZdp($D47,Z$36,gg,zcor)*100</f>
        <v>0.39093485344587897</v>
      </c>
      <c r="AA94" s="1" cm="1">
        <f t="array" ref="AA94">[1]!unf_pvt_dZdp($D47,AA$36,gg,zcor)*100</f>
        <v>0.4957852358533632</v>
      </c>
      <c r="AB94" s="1" cm="1">
        <f t="array" ref="AB94">[1]!unf_pvt_dZdp($D47,AB$36,gg,zcor)*100</f>
        <v>0.59016831985170271</v>
      </c>
      <c r="AC94" s="1" cm="1">
        <f t="array" ref="AC94">[1]!unf_pvt_dZdp($D47,AC$36,gg,zcor)*100</f>
        <v>0.67487392227172371</v>
      </c>
      <c r="AD94" s="1" cm="1">
        <f t="array" ref="AD94">[1]!unf_pvt_dZdp($D47,AD$36,gg,zcor)*100</f>
        <v>0.75074038188627235</v>
      </c>
      <c r="AE94" s="1" cm="1">
        <f t="array" ref="AE94">[1]!unf_pvt_dZdp($D47,AE$36,gg,zcor)*100</f>
        <v>0.81860928809573963</v>
      </c>
      <c r="AF94" s="1" cm="1">
        <f t="array" ref="AF94">[1]!unf_pvt_dZdp($D47,AF$36,gg,zcor)*100</f>
        <v>0.87929492368021833</v>
      </c>
      <c r="AG94" s="1" cm="1">
        <f t="array" ref="AG94">[1]!unf_pvt_dZdp($D47,AG$36,gg,zcor)*100</f>
        <v>0.93356492102292243</v>
      </c>
      <c r="AH94" s="1" cm="1">
        <f t="array" ref="AH94">[1]!unf_pvt_dZdp($D47,AH$36,gg,zcor)*100</f>
        <v>0.98212919505291651</v>
      </c>
      <c r="AI94" s="1" cm="1">
        <f t="array" ref="AI94">[1]!unf_pvt_dZdp($D47,AI$36,gg,zcor)*100</f>
        <v>1.0256347960424517</v>
      </c>
      <c r="AJ94" s="1" cm="1">
        <f t="array" ref="AJ94">[1]!unf_pvt_dZdp($D47,AJ$36,gg,zcor)*100</f>
        <v>1.064664853879238</v>
      </c>
      <c r="AK94" s="1" cm="1">
        <f t="array" ref="AK94">[1]!unf_pvt_dZdp($D47,AK$36,gg,zcor)*100</f>
        <v>1.0997402343637663</v>
      </c>
    </row>
    <row r="95" spans="5:37" x14ac:dyDescent="0.45">
      <c r="E95" t="str">
        <f t="shared" si="4"/>
        <v>t=100 C</v>
      </c>
      <c r="F95" s="1" cm="1">
        <f t="array" ref="F95">[1]!unf_pvt_dZdp($D48,F$36,gg,zcor)*100</f>
        <v>-1.3140234873199041</v>
      </c>
      <c r="G95" s="1" cm="1">
        <f t="array" ref="G95">[1]!unf_pvt_dZdp($D48,G$36,gg,zcor)*100</f>
        <v>-1.3724986780339066</v>
      </c>
      <c r="H95" s="1" cm="1">
        <f t="array" ref="H95">[1]!unf_pvt_dZdp($D48,H$36,gg,zcor)*100</f>
        <v>-1.4269663269328436</v>
      </c>
      <c r="I95" s="1" cm="1">
        <f t="array" ref="I95">[1]!unf_pvt_dZdp($D48,I$36,gg,zcor)*100</f>
        <v>-1.4681050312970179</v>
      </c>
      <c r="J95" s="1" cm="1">
        <f t="array" ref="J95">[1]!unf_pvt_dZdp($D48,J$36,gg,zcor)*100</f>
        <v>-1.488292702239713</v>
      </c>
      <c r="K95" s="1" cm="1">
        <f t="array" ref="K95">[1]!unf_pvt_dZdp($D48,K$36,gg,zcor)*100</f>
        <v>-1.4821454313629356</v>
      </c>
      <c r="L95" s="1" cm="1">
        <f t="array" ref="L95">[1]!unf_pvt_dZdp($D48,L$36,gg,zcor)*100</f>
        <v>-1.4468947590418058</v>
      </c>
      <c r="M95" s="1" cm="1">
        <f t="array" ref="M95">[1]!unf_pvt_dZdp($D48,M$36,gg,zcor)*100</f>
        <v>-1.3824118368588323</v>
      </c>
      <c r="N95" s="1" cm="1">
        <f t="array" ref="N95">[1]!unf_pvt_dZdp($D48,N$36,gg,zcor)*100</f>
        <v>-1.2908845470804842</v>
      </c>
      <c r="O95" s="1" cm="1">
        <f t="array" ref="O95">[1]!unf_pvt_dZdp($D48,O$36,gg,zcor)*100</f>
        <v>-1.1762454142305589</v>
      </c>
      <c r="P95" s="1" cm="1">
        <f t="array" ref="P95">[1]!unf_pvt_dZdp($D48,P$36,gg,zcor)*100</f>
        <v>-1.0434887045829289</v>
      </c>
      <c r="Q95" s="1" cm="1">
        <f t="array" ref="Q95">[1]!unf_pvt_dZdp($D48,Q$36,gg,zcor)*100</f>
        <v>-0.89800859066402339</v>
      </c>
      <c r="R95" s="1" cm="1">
        <f t="array" ref="R95">[1]!unf_pvt_dZdp($D48,R$36,gg,zcor)*100</f>
        <v>-0.74505228309984517</v>
      </c>
      <c r="S95" s="1" cm="1">
        <f t="array" ref="S95">[1]!unf_pvt_dZdp($D48,S$36,gg,zcor)*100</f>
        <v>-0.58933349051049078</v>
      </c>
      <c r="T95" s="1" cm="1">
        <f t="array" ref="T95">[1]!unf_pvt_dZdp($D48,T$36,gg,zcor)*100</f>
        <v>-0.43480928941019847</v>
      </c>
      <c r="U95" s="1" cm="1">
        <f t="array" ref="U95">[1]!unf_pvt_dZdp($D48,U$36,gg,zcor)*100</f>
        <v>-0.2845958472386112</v>
      </c>
      <c r="V95" s="1" cm="1">
        <f t="array" ref="V95">[1]!unf_pvt_dZdp($D48,V$36,gg,zcor)*100</f>
        <v>-0.14098613189572617</v>
      </c>
      <c r="W95" s="1" cm="1">
        <f t="array" ref="W95">[1]!unf_pvt_dZdp($D48,W$36,gg,zcor)*100</f>
        <v>-5.5320235958777886E-3</v>
      </c>
      <c r="X95" s="1" cm="1">
        <f t="array" ref="X95">[1]!unf_pvt_dZdp($D48,X$36,gg,zcor)*100</f>
        <v>0.12084082199770307</v>
      </c>
      <c r="Y95" s="1" cm="1">
        <f t="array" ref="Y95">[1]!unf_pvt_dZdp($D48,Y$36,gg,zcor)*100</f>
        <v>0.23770859043259485</v>
      </c>
      <c r="Z95" s="1" cm="1">
        <f t="array" ref="Z95">[1]!unf_pvt_dZdp($D48,Z$36,gg,zcor)*100</f>
        <v>0.3450304175878216</v>
      </c>
      <c r="AA95" s="1" cm="1">
        <f t="array" ref="AA95">[1]!unf_pvt_dZdp($D48,AA$36,gg,zcor)*100</f>
        <v>0.44304330014344195</v>
      </c>
      <c r="AB95" s="1" cm="1">
        <f t="array" ref="AB95">[1]!unf_pvt_dZdp($D48,AB$36,gg,zcor)*100</f>
        <v>0.53217428801821676</v>
      </c>
      <c r="AC95" s="1" cm="1">
        <f t="array" ref="AC95">[1]!unf_pvt_dZdp($D48,AC$36,gg,zcor)*100</f>
        <v>0.61297032224905124</v>
      </c>
      <c r="AD95" s="1" cm="1">
        <f t="array" ref="AD95">[1]!unf_pvt_dZdp($D48,AD$36,gg,zcor)*100</f>
        <v>0.68604430300989172</v>
      </c>
      <c r="AE95" s="1" cm="1">
        <f t="array" ref="AE95">[1]!unf_pvt_dZdp($D48,AE$36,gg,zcor)*100</f>
        <v>0.75203513174693093</v>
      </c>
      <c r="AF95" s="1" cm="1">
        <f t="array" ref="AF95">[1]!unf_pvt_dZdp($D48,AF$36,gg,zcor)*100</f>
        <v>0.81157923077945782</v>
      </c>
      <c r="AG95" s="1" cm="1">
        <f t="array" ref="AG95">[1]!unf_pvt_dZdp($D48,AG$36,gg,zcor)*100</f>
        <v>0.86529114877831326</v>
      </c>
      <c r="AH95" s="1" cm="1">
        <f t="array" ref="AH95">[1]!unf_pvt_dZdp($D48,AH$36,gg,zcor)*100</f>
        <v>0.9137511382673047</v>
      </c>
      <c r="AI95" s="1" cm="1">
        <f t="array" ref="AI95">[1]!unf_pvt_dZdp($D48,AI$36,gg,zcor)*100</f>
        <v>0.95749793296295849</v>
      </c>
      <c r="AJ95" s="1" cm="1">
        <f t="array" ref="AJ95">[1]!unf_pvt_dZdp($D48,AJ$36,gg,zcor)*100</f>
        <v>0.99702529462120104</v>
      </c>
      <c r="AK95" s="1" cm="1">
        <f t="array" ref="AK95">[1]!unf_pvt_dZdp($D48,AK$36,gg,zcor)*100</f>
        <v>1.0327812091381894</v>
      </c>
    </row>
    <row r="96" spans="5:37" x14ac:dyDescent="0.45">
      <c r="E96" t="str">
        <f t="shared" si="4"/>
        <v>t=110 C</v>
      </c>
      <c r="F96" s="1" cm="1">
        <f t="array" ref="F96">[1]!unf_pvt_dZdp($D49,F$36,gg,zcor)*100</f>
        <v>-1.1958890176155812</v>
      </c>
      <c r="G96" s="1" cm="1">
        <f t="array" ref="G96">[1]!unf_pvt_dZdp($D49,G$36,gg,zcor)*100</f>
        <v>-1.2498000840666101</v>
      </c>
      <c r="H96" s="1" cm="1">
        <f t="array" ref="H96">[1]!unf_pvt_dZdp($D49,H$36,gg,zcor)*100</f>
        <v>-1.2952521950793106</v>
      </c>
      <c r="I96" s="1" cm="1">
        <f t="array" ref="I96">[1]!unf_pvt_dZdp($D49,I$36,gg,zcor)*100</f>
        <v>-1.3257634729024748</v>
      </c>
      <c r="J96" s="1" cm="1">
        <f t="array" ref="J96">[1]!unf_pvt_dZdp($D49,J$36,gg,zcor)*100</f>
        <v>-1.3363176396929966</v>
      </c>
      <c r="K96" s="1" cm="1">
        <f t="array" ref="K96">[1]!unf_pvt_dZdp($D49,K$36,gg,zcor)*100</f>
        <v>-1.3236413261341617</v>
      </c>
      <c r="L96" s="1" cm="1">
        <f t="array" ref="L96">[1]!unf_pvt_dZdp($D49,L$36,gg,zcor)*100</f>
        <v>-1.2863827453846177</v>
      </c>
      <c r="M96" s="1" cm="1">
        <f t="array" ref="M96">[1]!unf_pvt_dZdp($D49,M$36,gg,zcor)*100</f>
        <v>-1.2250555572546062</v>
      </c>
      <c r="N96" s="1" cm="1">
        <f t="array" ref="N96">[1]!unf_pvt_dZdp($D49,N$36,gg,zcor)*100</f>
        <v>-1.1417660320256484</v>
      </c>
      <c r="O96" s="1" cm="1">
        <f t="array" ref="O96">[1]!unf_pvt_dZdp($D49,O$36,gg,zcor)*100</f>
        <v>-1.0397944065276832</v>
      </c>
      <c r="P96" s="1" cm="1">
        <f t="array" ref="P96">[1]!unf_pvt_dZdp($D49,P$36,gg,zcor)*100</f>
        <v>-0.92311935180222626</v>
      </c>
      <c r="Q96" s="1" cm="1">
        <f t="array" ref="Q96">[1]!unf_pvt_dZdp($D49,Q$36,gg,zcor)*100</f>
        <v>-0.79596597893472065</v>
      </c>
      <c r="R96" s="1" cm="1">
        <f t="array" ref="R96">[1]!unf_pvt_dZdp($D49,R$36,gg,zcor)*100</f>
        <v>-0.66243322929038229</v>
      </c>
      <c r="S96" s="1" cm="1">
        <f t="array" ref="S96">[1]!unf_pvt_dZdp($D49,S$36,gg,zcor)*100</f>
        <v>-0.52622733836105162</v>
      </c>
      <c r="T96" s="1" cm="1">
        <f t="array" ref="T96">[1]!unf_pvt_dZdp($D49,T$36,gg,zcor)*100</f>
        <v>-0.39050306339549756</v>
      </c>
      <c r="U96" s="1" cm="1">
        <f t="array" ref="U96">[1]!unf_pvt_dZdp($D49,U$36,gg,zcor)*100</f>
        <v>-0.25779778036971734</v>
      </c>
      <c r="V96" s="1" cm="1">
        <f t="array" ref="V96">[1]!unf_pvt_dZdp($D49,V$36,gg,zcor)*100</f>
        <v>-0.13003572134850927</v>
      </c>
      <c r="W96" s="1" cm="1">
        <f t="array" ref="W96">[1]!unf_pvt_dZdp($D49,W$36,gg,zcor)*100</f>
        <v>-8.5785760073342487E-3</v>
      </c>
      <c r="X96" s="1" cm="1">
        <f t="array" ref="X96">[1]!unf_pvt_dZdp($D49,X$36,gg,zcor)*100</f>
        <v>0.10569824277051332</v>
      </c>
      <c r="Y96" s="1" cm="1">
        <f t="array" ref="Y96">[1]!unf_pvt_dZdp($D49,Y$36,gg,zcor)*100</f>
        <v>0.21231951539912863</v>
      </c>
      <c r="Z96" s="1" cm="1">
        <f t="array" ref="Z96">[1]!unf_pvt_dZdp($D49,Z$36,gg,zcor)*100</f>
        <v>0.31112513919406837</v>
      </c>
      <c r="AA96" s="1" cm="1">
        <f t="array" ref="AA96">[1]!unf_pvt_dZdp($D49,AA$36,gg,zcor)*100</f>
        <v>0.40219257198548242</v>
      </c>
      <c r="AB96" s="1" cm="1">
        <f t="array" ref="AB96">[1]!unf_pvt_dZdp($D49,AB$36,gg,zcor)*100</f>
        <v>0.48577002949135029</v>
      </c>
      <c r="AC96" s="1" cm="1">
        <f t="array" ref="AC96">[1]!unf_pvt_dZdp($D49,AC$36,gg,zcor)*100</f>
        <v>0.56222141514572499</v>
      </c>
      <c r="AD96" s="1" cm="1">
        <f t="array" ref="AD96">[1]!unf_pvt_dZdp($D49,AD$36,gg,zcor)*100</f>
        <v>0.63198256057717117</v>
      </c>
      <c r="AE96" s="1" cm="1">
        <f t="array" ref="AE96">[1]!unf_pvt_dZdp($D49,AE$36,gg,zcor)*100</f>
        <v>0.69552759272117903</v>
      </c>
      <c r="AF96" s="1" cm="1">
        <f t="array" ref="AF96">[1]!unf_pvt_dZdp($D49,AF$36,gg,zcor)*100</f>
        <v>0.75334391890558017</v>
      </c>
      <c r="AG96" s="1" cm="1">
        <f t="array" ref="AG96">[1]!unf_pvt_dZdp($D49,AG$36,gg,zcor)*100</f>
        <v>0.80591427076726063</v>
      </c>
      <c r="AH96" s="1" cm="1">
        <f t="array" ref="AH96">[1]!unf_pvt_dZdp($D49,AH$36,gg,zcor)*100</f>
        <v>0.85370435355280883</v>
      </c>
      <c r="AI96" s="1" cm="1">
        <f t="array" ref="AI96">[1]!unf_pvt_dZdp($D49,AI$36,gg,zcor)*100</f>
        <v>0.89715482848196082</v>
      </c>
      <c r="AJ96" s="1" cm="1">
        <f t="array" ref="AJ96">[1]!unf_pvt_dZdp($D49,AJ$36,gg,zcor)*100</f>
        <v>0.93667656153595402</v>
      </c>
      <c r="AK96" s="1" cm="1">
        <f t="array" ref="AK96">[1]!unf_pvt_dZdp($D49,AK$36,gg,zcor)*100</f>
        <v>0.97264827327858683</v>
      </c>
    </row>
    <row r="97" spans="5:37" x14ac:dyDescent="0.45">
      <c r="E97" t="str">
        <f t="shared" si="4"/>
        <v>t=120 C</v>
      </c>
      <c r="F97" s="1" cm="1">
        <f t="array" ref="F97">[1]!unf_pvt_dZdp($D50,F$36,gg,zcor)*100</f>
        <v>-1.0902926561373594</v>
      </c>
      <c r="G97" s="1" cm="1">
        <f t="array" ref="G97">[1]!unf_pvt_dZdp($D50,G$36,gg,zcor)*100</f>
        <v>-1.1400988807253043</v>
      </c>
      <c r="H97" s="1" cm="1">
        <f t="array" ref="H97">[1]!unf_pvt_dZdp($D50,H$36,gg,zcor)*100</f>
        <v>-1.1781947123734593</v>
      </c>
      <c r="I97" s="1" cm="1">
        <f t="array" ref="I97">[1]!unf_pvt_dZdp($D50,I$36,gg,zcor)*100</f>
        <v>-1.2002362941865297</v>
      </c>
      <c r="J97" s="1" cm="1">
        <f t="array" ref="J97">[1]!unf_pvt_dZdp($D50,J$36,gg,zcor)*100</f>
        <v>-1.2031638823828406</v>
      </c>
      <c r="K97" s="1" cm="1">
        <f t="array" ref="K97">[1]!unf_pvt_dZdp($D50,K$36,gg,zcor)*100</f>
        <v>-1.1852918844845739</v>
      </c>
      <c r="L97" s="1" cm="1">
        <f t="array" ref="L97">[1]!unf_pvt_dZdp($D50,L$36,gg,zcor)*100</f>
        <v>-1.1463460407679094</v>
      </c>
      <c r="M97" s="1" cm="1">
        <f t="array" ref="M97">[1]!unf_pvt_dZdp($D50,M$36,gg,zcor)*100</f>
        <v>-1.0873525887244995</v>
      </c>
      <c r="N97" s="1" cm="1">
        <f t="array" ref="N97">[1]!unf_pvt_dZdp($D50,N$36,gg,zcor)*100</f>
        <v>-1.0104011095801724</v>
      </c>
      <c r="O97" s="1" cm="1">
        <f t="array" ref="O97">[1]!unf_pvt_dZdp($D50,O$36,gg,zcor)*100</f>
        <v>-0.91833142743191765</v>
      </c>
      <c r="P97" s="1" cm="1">
        <f t="array" ref="P97">[1]!unf_pvt_dZdp($D50,P$36,gg,zcor)*100</f>
        <v>-0.81440050821335319</v>
      </c>
      <c r="Q97" s="1" cm="1">
        <f t="array" ref="Q97">[1]!unf_pvt_dZdp($D50,Q$36,gg,zcor)*100</f>
        <v>-0.70197653523229597</v>
      </c>
      <c r="R97" s="1" cm="1">
        <f t="array" ref="R97">[1]!unf_pvt_dZdp($D50,R$36,gg,zcor)*100</f>
        <v>-0.5842911361553238</v>
      </c>
      <c r="S97" s="1" cm="1">
        <f t="array" ref="S97">[1]!unf_pvt_dZdp($D50,S$36,gg,zcor)*100</f>
        <v>-0.46426334078475406</v>
      </c>
      <c r="T97" s="1" cm="1">
        <f t="array" ref="T97">[1]!unf_pvt_dZdp($D50,T$36,gg,zcor)*100</f>
        <v>-0.34439454247636725</v>
      </c>
      <c r="U97" s="1" cm="1">
        <f t="array" ref="U97">[1]!unf_pvt_dZdp($D50,U$36,gg,zcor)*100</f>
        <v>-0.22672440896376322</v>
      </c>
      <c r="V97" s="1" cm="1">
        <f t="array" ref="V97">[1]!unf_pvt_dZdp($D50,V$36,gg,zcor)*100</f>
        <v>-0.11283330135891667</v>
      </c>
      <c r="W97" s="1" cm="1">
        <f t="array" ref="W97">[1]!unf_pvt_dZdp($D50,W$36,gg,zcor)*100</f>
        <v>-3.87618201314055E-3</v>
      </c>
      <c r="X97" s="1" cm="1">
        <f t="array" ref="X97">[1]!unf_pvt_dZdp($D50,X$36,gg,zcor)*100</f>
        <v>9.936522670228598E-2</v>
      </c>
      <c r="Y97" s="1" cm="1">
        <f t="array" ref="Y97">[1]!unf_pvt_dZdp($D50,Y$36,gg,zcor)*100</f>
        <v>0.19642241117168169</v>
      </c>
      <c r="Z97" s="1" cm="1">
        <f t="array" ref="Z97">[1]!unf_pvt_dZdp($D50,Z$36,gg,zcor)*100</f>
        <v>0.2870795084031208</v>
      </c>
      <c r="AA97" s="1" cm="1">
        <f t="array" ref="AA97">[1]!unf_pvt_dZdp($D50,AA$36,gg,zcor)*100</f>
        <v>0.37131688107594485</v>
      </c>
      <c r="AB97" s="1" cm="1">
        <f t="array" ref="AB97">[1]!unf_pvt_dZdp($D50,AB$36,gg,zcor)*100</f>
        <v>0.44926136794298799</v>
      </c>
      <c r="AC97" s="1" cm="1">
        <f t="array" ref="AC97">[1]!unf_pvt_dZdp($D50,AC$36,gg,zcor)*100</f>
        <v>0.5211442292252233</v>
      </c>
      <c r="AD97" s="1" cm="1">
        <f t="array" ref="AD97">[1]!unf_pvt_dZdp($D50,AD$36,gg,zcor)*100</f>
        <v>0.58726680494225469</v>
      </c>
      <c r="AE97" s="1" cm="1">
        <f t="array" ref="AE97">[1]!unf_pvt_dZdp($D50,AE$36,gg,zcor)*100</f>
        <v>0.64797331041144268</v>
      </c>
      <c r="AF97" s="1" cm="1">
        <f t="array" ref="AF97">[1]!unf_pvt_dZdp($D50,AF$36,gg,zcor)*100</f>
        <v>0.70362989384564756</v>
      </c>
      <c r="AG97" s="1" cm="1">
        <f t="array" ref="AG97">[1]!unf_pvt_dZdp($D50,AG$36,gg,zcor)*100</f>
        <v>0.75460897748902411</v>
      </c>
      <c r="AH97" s="1" cm="1">
        <f t="array" ref="AH97">[1]!unf_pvt_dZdp($D50,AH$36,gg,zcor)*100</f>
        <v>0.80127792185580304</v>
      </c>
      <c r="AI97" s="1" cm="1">
        <f t="array" ref="AI97">[1]!unf_pvt_dZdp($D50,AI$36,gg,zcor)*100</f>
        <v>0.84399113695177164</v>
      </c>
      <c r="AJ97" s="1" cm="1">
        <f t="array" ref="AJ97">[1]!unf_pvt_dZdp($D50,AJ$36,gg,zcor)*100</f>
        <v>0.88308487973143279</v>
      </c>
      <c r="AK97" s="1" cm="1">
        <f t="array" ref="AK97">[1]!unf_pvt_dZdp($D50,AK$36,gg,zcor)*100</f>
        <v>0.9188740998933298</v>
      </c>
    </row>
    <row r="98" spans="5:37" x14ac:dyDescent="0.45">
      <c r="E98" t="str">
        <f t="shared" si="4"/>
        <v>t=130 C</v>
      </c>
      <c r="F98" s="1" cm="1">
        <f t="array" ref="F98">[1]!unf_pvt_dZdp($D51,F$36,gg,zcor)*100</f>
        <v>-0.9955766271085853</v>
      </c>
      <c r="G98" s="1" cm="1">
        <f t="array" ref="G98">[1]!unf_pvt_dZdp($D51,G$36,gg,zcor)*100</f>
        <v>-1.0416378262756432</v>
      </c>
      <c r="H98" s="1" cm="1">
        <f t="array" ref="H98">[1]!unf_pvt_dZdp($D51,H$36,gg,zcor)*100</f>
        <v>-1.0736614689377255</v>
      </c>
      <c r="I98" s="1" cm="1">
        <f t="array" ref="I98">[1]!unf_pvt_dZdp($D51,I$36,gg,zcor)*100</f>
        <v>-1.0889207257591682</v>
      </c>
      <c r="J98" s="1" cm="1">
        <f t="array" ref="J98">[1]!unf_pvt_dZdp($D51,J$36,gg,zcor)*100</f>
        <v>-1.0858225862708792</v>
      </c>
      <c r="K98" s="1" cm="1">
        <f t="array" ref="K98">[1]!unf_pvt_dZdp($D51,K$36,gg,zcor)*100</f>
        <v>-1.0638705888643685</v>
      </c>
      <c r="L98" s="1" cm="1">
        <f t="array" ref="L98">[1]!unf_pvt_dZdp($D51,L$36,gg,zcor)*100</f>
        <v>-1.0236020336629181</v>
      </c>
      <c r="M98" s="1" cm="1">
        <f t="array" ref="M98">[1]!unf_pvt_dZdp($D51,M$36,gg,zcor)*100</f>
        <v>-0.96644044779381488</v>
      </c>
      <c r="N98" s="1" cm="1">
        <f t="array" ref="N98">[1]!unf_pvt_dZdp($D51,N$36,gg,zcor)*100</f>
        <v>-0.89448500527389285</v>
      </c>
      <c r="O98" s="1" cm="1">
        <f t="array" ref="O98">[1]!unf_pvt_dZdp($D51,O$36,gg,zcor)*100</f>
        <v>-0.81027154368973342</v>
      </c>
      <c r="P98" s="1" cm="1">
        <f t="array" ref="P98">[1]!unf_pvt_dZdp($D51,P$36,gg,zcor)*100</f>
        <v>-0.71653857794173881</v>
      </c>
      <c r="Q98" s="1" cm="1">
        <f t="array" ref="Q98">[1]!unf_pvt_dZdp($D51,Q$36,gg,zcor)*100</f>
        <v>-0.61602362288026846</v>
      </c>
      <c r="R98" s="1" cm="1">
        <f t="array" ref="R98">[1]!unf_pvt_dZdp($D51,R$36,gg,zcor)*100</f>
        <v>-0.51130451150571687</v>
      </c>
      <c r="S98" s="1" cm="1">
        <f t="array" ref="S98">[1]!unf_pvt_dZdp($D51,S$36,gg,zcor)*100</f>
        <v>-0.40469036113877088</v>
      </c>
      <c r="T98" s="1" cm="1">
        <f t="array" ref="T98">[1]!unf_pvt_dZdp($D51,T$36,gg,zcor)*100</f>
        <v>-0.29815920640996474</v>
      </c>
      <c r="U98" s="1" cm="1">
        <f t="array" ref="U98">[1]!unf_pvt_dZdp($D51,U$36,gg,zcor)*100</f>
        <v>-0.19333466975468561</v>
      </c>
      <c r="V98" s="1" cm="1">
        <f t="array" ref="V98">[1]!unf_pvt_dZdp($D51,V$36,gg,zcor)*100</f>
        <v>-9.1492095298795206E-2</v>
      </c>
      <c r="W98" s="1" cm="1">
        <f t="array" ref="W98">[1]!unf_pvt_dZdp($D51,W$36,gg,zcor)*100</f>
        <v>6.4153807732836299E-3</v>
      </c>
      <c r="X98" s="1" cm="1">
        <f t="array" ref="X98">[1]!unf_pvt_dZdp($D51,X$36,gg,zcor)*100</f>
        <v>9.9719104847961759E-2</v>
      </c>
      <c r="Y98" s="1" cm="1">
        <f t="array" ref="Y98">[1]!unf_pvt_dZdp($D51,Y$36,gg,zcor)*100</f>
        <v>0.18799203246988583</v>
      </c>
      <c r="Z98" s="1" cm="1">
        <f t="array" ref="Z98">[1]!unf_pvt_dZdp($D51,Z$36,gg,zcor)*100</f>
        <v>0.27100537751567622</v>
      </c>
      <c r="AA98" s="1" cm="1">
        <f t="array" ref="AA98">[1]!unf_pvt_dZdp($D51,AA$36,gg,zcor)*100</f>
        <v>0.34868782658570296</v>
      </c>
      <c r="AB98" s="1" cm="1">
        <f t="array" ref="AB98">[1]!unf_pvt_dZdp($D51,AB$36,gg,zcor)*100</f>
        <v>0.42108905871307556</v>
      </c>
      <c r="AC98" s="1" cm="1">
        <f t="array" ref="AC98">[1]!unf_pvt_dZdp($D51,AC$36,gg,zcor)*100</f>
        <v>0.48834835112976371</v>
      </c>
      <c r="AD98" s="1" cm="1">
        <f t="array" ref="AD98">[1]!unf_pvt_dZdp($D51,AD$36,gg,zcor)*100</f>
        <v>0.55066839832917935</v>
      </c>
      <c r="AE98" s="1" cm="1">
        <f t="array" ref="AE98">[1]!unf_pvt_dZdp($D51,AE$36,gg,zcor)*100</f>
        <v>0.60829406389517615</v>
      </c>
      <c r="AF98" s="1" cm="1">
        <f t="array" ref="AF98">[1]!unf_pvt_dZdp($D51,AF$36,gg,zcor)*100</f>
        <v>0.66149556026240397</v>
      </c>
      <c r="AG98" s="1" cm="1">
        <f t="array" ref="AG98">[1]!unf_pvt_dZdp($D51,AG$36,gg,zcor)*100</f>
        <v>0.71055545393217123</v>
      </c>
      <c r="AH98" s="1" cm="1">
        <f t="array" ref="AH98">[1]!unf_pvt_dZdp($D51,AH$36,gg,zcor)*100</f>
        <v>0.75575887961143451</v>
      </c>
      <c r="AI98" s="1" cm="1">
        <f t="array" ref="AI98">[1]!unf_pvt_dZdp($D51,AI$36,gg,zcor)*100</f>
        <v>0.79738638125492756</v>
      </c>
      <c r="AJ98" s="1" cm="1">
        <f t="array" ref="AJ98">[1]!unf_pvt_dZdp($D51,AJ$36,gg,zcor)*100</f>
        <v>0.83570885907491288</v>
      </c>
      <c r="AK98" s="1" cm="1">
        <f t="array" ref="AK98">[1]!unf_pvt_dZdp($D51,AK$36,gg,zcor)*100</f>
        <v>0.87098417302589048</v>
      </c>
    </row>
    <row r="99" spans="5:37" x14ac:dyDescent="0.45">
      <c r="E99" t="str">
        <f t="shared" si="4"/>
        <v>t=140 C</v>
      </c>
      <c r="F99" s="1" cm="1">
        <f t="array" ref="F99">[1]!unf_pvt_dZdp($D52,F$36,gg,zcor)*100</f>
        <v>-0.91034703329717637</v>
      </c>
      <c r="G99" s="1" cm="1">
        <f t="array" ref="G99">[1]!unf_pvt_dZdp($D52,G$36,gg,zcor)*100</f>
        <v>-0.95294917567323445</v>
      </c>
      <c r="H99" s="1" cm="1">
        <f t="array" ref="H99">[1]!unf_pvt_dZdp($D52,H$36,gg,zcor)*100</f>
        <v>-0.97989972361212097</v>
      </c>
      <c r="I99" s="1" cm="1">
        <f t="array" ref="I99">[1]!unf_pvt_dZdp($D52,I$36,gg,zcor)*100</f>
        <v>-0.98969979682062004</v>
      </c>
      <c r="J99" s="1" cm="1">
        <f t="array" ref="J99">[1]!unf_pvt_dZdp($D52,J$36,gg,zcor)*100</f>
        <v>-0.98185185679611209</v>
      </c>
      <c r="K99" s="1" cm="1">
        <f t="array" ref="K99">[1]!unf_pvt_dZdp($D52,K$36,gg,zcor)*100</f>
        <v>-0.95674331041517569</v>
      </c>
      <c r="L99" s="1" cm="1">
        <f t="array" ref="L99">[1]!unf_pvt_dZdp($D52,L$36,gg,zcor)*100</f>
        <v>-0.91551458818561748</v>
      </c>
      <c r="M99" s="1" cm="1">
        <f t="array" ref="M99">[1]!unf_pvt_dZdp($D52,M$36,gg,zcor)*100</f>
        <v>-0.85988781604262599</v>
      </c>
      <c r="N99" s="1" cm="1">
        <f t="array" ref="N99">[1]!unf_pvt_dZdp($D52,N$36,gg,zcor)*100</f>
        <v>-0.79197678582332287</v>
      </c>
      <c r="O99" s="1" cm="1">
        <f t="array" ref="O99">[1]!unf_pvt_dZdp($D52,O$36,gg,zcor)*100</f>
        <v>-0.71410093547830122</v>
      </c>
      <c r="P99" s="1" cm="1">
        <f t="array" ref="P99">[1]!unf_pvt_dZdp($D52,P$36,gg,zcor)*100</f>
        <v>-0.62862108108796555</v>
      </c>
      <c r="Q99" s="1" cm="1">
        <f t="array" ref="Q99">[1]!unf_pvt_dZdp($D52,Q$36,gg,zcor)*100</f>
        <v>-0.53780764567967765</v>
      </c>
      <c r="R99" s="1" cm="1">
        <f t="array" ref="R99">[1]!unf_pvt_dZdp($D52,R$36,gg,zcor)*100</f>
        <v>-0.44374538284985832</v>
      </c>
      <c r="S99" s="1" cm="1">
        <f t="array" ref="S99">[1]!unf_pvt_dZdp($D52,S$36,gg,zcor)*100</f>
        <v>-0.34827329708497778</v>
      </c>
      <c r="T99" s="1" cm="1">
        <f t="array" ref="T99">[1]!unf_pvt_dZdp($D52,T$36,gg,zcor)*100</f>
        <v>-0.25295504040845351</v>
      </c>
      <c r="U99" s="1" cm="1">
        <f t="array" ref="U99">[1]!unf_pvt_dZdp($D52,U$36,gg,zcor)*100</f>
        <v>-0.15907340165433048</v>
      </c>
      <c r="V99" s="1" cm="1">
        <f t="array" ref="V99">[1]!unf_pvt_dZdp($D52,V$36,gg,zcor)*100</f>
        <v>-6.7642205179296866E-2</v>
      </c>
      <c r="W99" s="1" cm="1">
        <f t="array" ref="W99">[1]!unf_pvt_dZdp($D52,W$36,gg,zcor)*100</f>
        <v>2.0570475274261923E-2</v>
      </c>
      <c r="X99" s="1" cm="1">
        <f t="array" ref="X99">[1]!unf_pvt_dZdp($D52,X$36,gg,zcor)*100</f>
        <v>0.10501283130404104</v>
      </c>
      <c r="Y99" s="1" cm="1">
        <f t="array" ref="Y99">[1]!unf_pvt_dZdp($D52,Y$36,gg,zcor)*100</f>
        <v>0.18531741328153828</v>
      </c>
      <c r="Z99" s="1" cm="1">
        <f t="array" ref="Z99">[1]!unf_pvt_dZdp($D52,Z$36,gg,zcor)*100</f>
        <v>0.26126952094251976</v>
      </c>
      <c r="AA99" s="1" cm="1">
        <f t="array" ref="AA99">[1]!unf_pvt_dZdp($D52,AA$36,gg,zcor)*100</f>
        <v>0.33277764645900376</v>
      </c>
      <c r="AB99" s="1" cm="1">
        <f t="array" ref="AB99">[1]!unf_pvt_dZdp($D52,AB$36,gg,zcor)*100</f>
        <v>0.39984696895700722</v>
      </c>
      <c r="AC99" s="1" cm="1">
        <f t="array" ref="AC99">[1]!unf_pvt_dZdp($D52,AC$36,gg,zcor)*100</f>
        <v>0.46255634467029516</v>
      </c>
      <c r="AD99" s="1" cm="1">
        <f t="array" ref="AD99">[1]!unf_pvt_dZdp($D52,AD$36,gg,zcor)*100</f>
        <v>0.52103885669230188</v>
      </c>
      <c r="AE99" s="1" cm="1">
        <f t="array" ref="AE99">[1]!unf_pvt_dZdp($D52,AE$36,gg,zcor)*100</f>
        <v>0.57546574692257657</v>
      </c>
      <c r="AF99" s="1" cm="1">
        <f t="array" ref="AF99">[1]!unf_pvt_dZdp($D52,AF$36,gg,zcor)*100</f>
        <v>0.62603341579037242</v>
      </c>
      <c r="AG99" s="1" cm="1">
        <f t="array" ref="AG99">[1]!unf_pvt_dZdp($D52,AG$36,gg,zcor)*100</f>
        <v>0.67295311169002225</v>
      </c>
      <c r="AH99" s="1" cm="1">
        <f t="array" ref="AH99">[1]!unf_pvt_dZdp($D52,AH$36,gg,zcor)*100</f>
        <v>0.7164429172201725</v>
      </c>
      <c r="AI99" s="1" cm="1">
        <f t="array" ref="AI99">[1]!unf_pvt_dZdp($D52,AI$36,gg,zcor)*100</f>
        <v>0.75672165525286772</v>
      </c>
      <c r="AJ99" s="1" cm="1">
        <f t="array" ref="AJ99">[1]!unf_pvt_dZdp($D52,AJ$36,gg,zcor)*100</f>
        <v>0.79400437066889928</v>
      </c>
      <c r="AK99" s="1" cm="1">
        <f t="array" ref="AK99">[1]!unf_pvt_dZdp($D52,AK$36,gg,zcor)*100</f>
        <v>0.82849908427329311</v>
      </c>
    </row>
    <row r="100" spans="5:37" x14ac:dyDescent="0.45">
      <c r="E100" t="str">
        <f t="shared" si="4"/>
        <v>t=150 C</v>
      </c>
      <c r="F100" s="1" cm="1">
        <f t="array" ref="F100">[1]!unf_pvt_dZdp($D53,F$36,gg,zcor)*100</f>
        <v>-0.83342522912976946</v>
      </c>
      <c r="G100" s="1" cm="1">
        <f t="array" ref="G100">[1]!unf_pvt_dZdp($D53,G$36,gg,zcor)*100</f>
        <v>-0.87279905853443474</v>
      </c>
      <c r="H100" s="1" cm="1">
        <f t="array" ref="H100">[1]!unf_pvt_dZdp($D53,H$36,gg,zcor)*100</f>
        <v>-0.8954581275011364</v>
      </c>
      <c r="I100" s="1" cm="1">
        <f t="array" ref="I100">[1]!unf_pvt_dZdp($D53,I$36,gg,zcor)*100</f>
        <v>-0.90083917693606352</v>
      </c>
      <c r="J100" s="1" cm="1">
        <f t="array" ref="J100">[1]!unf_pvt_dZdp($D53,J$36,gg,zcor)*100</f>
        <v>-0.88925762312785928</v>
      </c>
      <c r="K100" s="1" cm="1">
        <f t="array" ref="K100">[1]!unf_pvt_dZdp($D53,K$36,gg,zcor)*100</f>
        <v>-0.86175026344226247</v>
      </c>
      <c r="L100" s="1" cm="1">
        <f t="array" ref="L100">[1]!unf_pvt_dZdp($D53,L$36,gg,zcor)*100</f>
        <v>-0.81989742188093295</v>
      </c>
      <c r="M100" s="1" cm="1">
        <f t="array" ref="M100">[1]!unf_pvt_dZdp($D53,M$36,gg,zcor)*100</f>
        <v>-0.76563724914713305</v>
      </c>
      <c r="N100" s="1" cm="1">
        <f t="array" ref="N100">[1]!unf_pvt_dZdp($D53,N$36,gg,zcor)*100</f>
        <v>-0.70109213545221927</v>
      </c>
      <c r="O100" s="1" cm="1">
        <f t="array" ref="O100">[1]!unf_pvt_dZdp($D53,O$36,gg,zcor)*100</f>
        <v>-0.62842109044836114</v>
      </c>
      <c r="P100" s="1" cm="1">
        <f t="array" ref="P100">[1]!unf_pvt_dZdp($D53,P$36,gg,zcor)*100</f>
        <v>-0.54970490995898125</v>
      </c>
      <c r="Q100" s="1" cm="1">
        <f t="array" ref="Q100">[1]!unf_pvt_dZdp($D53,Q$36,gg,zcor)*100</f>
        <v>-0.46686511119831131</v>
      </c>
      <c r="R100" s="1" cm="1">
        <f t="array" ref="R100">[1]!unf_pvt_dZdp($D53,R$36,gg,zcor)*100</f>
        <v>-0.38161362839073121</v>
      </c>
      <c r="S100" s="1" cm="1">
        <f t="array" ref="S100">[1]!unf_pvt_dZdp($D53,S$36,gg,zcor)*100</f>
        <v>-0.29542808111071572</v>
      </c>
      <c r="T100" s="1" cm="1">
        <f t="array" ref="T100">[1]!unf_pvt_dZdp($D53,T$36,gg,zcor)*100</f>
        <v>-0.20954668678019317</v>
      </c>
      <c r="U100" s="1" cm="1">
        <f t="array" ref="U100">[1]!unf_pvt_dZdp($D53,U$36,gg,zcor)*100</f>
        <v>-0.12497711657233346</v>
      </c>
      <c r="V100" s="1" cm="1">
        <f t="array" ref="V100">[1]!unf_pvt_dZdp($D53,V$36,gg,zcor)*100</f>
        <v>-4.2514363050027981E-2</v>
      </c>
      <c r="W100" s="1" cm="1">
        <f t="array" ref="W100">[1]!unf_pvt_dZdp($D53,W$36,gg,zcor)*100</f>
        <v>3.7236325147738114E-2</v>
      </c>
      <c r="X100" s="1" cm="1">
        <f t="array" ref="X100">[1]!unf_pvt_dZdp($D53,X$36,gg,zcor)*100</f>
        <v>0.113834392914125</v>
      </c>
      <c r="Y100" s="1" cm="1">
        <f t="array" ref="Y100">[1]!unf_pvt_dZdp($D53,Y$36,gg,zcor)*100</f>
        <v>0.18697888177543476</v>
      </c>
      <c r="Z100" s="1" cm="1">
        <f t="array" ref="Z100">[1]!unf_pvt_dZdp($D53,Z$36,gg,zcor)*100</f>
        <v>0.256484633422982</v>
      </c>
      <c r="AA100" s="1" cm="1">
        <f t="array" ref="AA100">[1]!unf_pvt_dZdp($D53,AA$36,gg,zcor)*100</f>
        <v>0.32226058574891248</v>
      </c>
      <c r="AB100" s="1" cm="1">
        <f t="array" ref="AB100">[1]!unf_pvt_dZdp($D53,AB$36,gg,zcor)*100</f>
        <v>0.38429054983968314</v>
      </c>
      <c r="AC100" s="1" cm="1">
        <f t="array" ref="AC100">[1]!unf_pvt_dZdp($D53,AC$36,gg,zcor)*100</f>
        <v>0.44261657762945106</v>
      </c>
      <c r="AD100" s="1" cm="1">
        <f t="array" ref="AD100">[1]!unf_pvt_dZdp($D53,AD$36,gg,zcor)*100</f>
        <v>0.49732484908249219</v>
      </c>
      <c r="AE100" s="1" cm="1">
        <f t="array" ref="AE100">[1]!unf_pvt_dZdp($D53,AE$36,gg,zcor)*100</f>
        <v>0.54853389936160291</v>
      </c>
      <c r="AF100" s="1" cm="1">
        <f t="array" ref="AF100">[1]!unf_pvt_dZdp($D53,AF$36,gg,zcor)*100</f>
        <v>0.59638494933400565</v>
      </c>
      <c r="AG100" s="1" cm="1">
        <f t="array" ref="AG100">[1]!unf_pvt_dZdp($D53,AG$36,gg,zcor)*100</f>
        <v>0.64103408088600489</v>
      </c>
      <c r="AH100" s="1" cm="1">
        <f t="array" ref="AH100">[1]!unf_pvt_dZdp($D53,AH$36,gg,zcor)*100</f>
        <v>0.68264599910272672</v>
      </c>
      <c r="AI100" s="1" cm="1">
        <f t="array" ref="AI100">[1]!unf_pvt_dZdp($D53,AI$36,gg,zcor)*100</f>
        <v>0.72138913782104908</v>
      </c>
      <c r="AJ100" s="1" cm="1">
        <f t="array" ref="AJ100">[1]!unf_pvt_dZdp($D53,AJ$36,gg,zcor)*100</f>
        <v>0.75743188692189989</v>
      </c>
      <c r="AK100" s="1" cm="1">
        <f t="array" ref="AK100">[1]!unf_pvt_dZdp($D53,AK$36,gg,zcor)*100</f>
        <v>0.79093974486132979</v>
      </c>
    </row>
    <row r="101" spans="5:37" x14ac:dyDescent="0.45">
      <c r="E101" t="str">
        <f t="shared" si="4"/>
        <v>t=160 C</v>
      </c>
      <c r="F101" s="1" cm="1">
        <f t="array" ref="F101">[1]!unf_pvt_dZdp($D54,F$36,gg,zcor)*100</f>
        <v>-0.76380917767737699</v>
      </c>
      <c r="G101" s="1" cm="1">
        <f t="array" ref="G101">[1]!unf_pvt_dZdp($D54,G$36,gg,zcor)*100</f>
        <v>-0.80014383309956472</v>
      </c>
      <c r="H101" s="1" cm="1">
        <f t="array" ref="H101">[1]!unf_pvt_dZdp($D54,H$36,gg,zcor)*100</f>
        <v>-0.81912639187109448</v>
      </c>
      <c r="I101" s="1" cm="1">
        <f t="array" ref="I101">[1]!unf_pvt_dZdp($D54,I$36,gg,zcor)*100</f>
        <v>-0.82090805392898147</v>
      </c>
      <c r="J101" s="1" cm="1">
        <f t="array" ref="J101">[1]!unf_pvt_dZdp($D54,J$36,gg,zcor)*100</f>
        <v>-0.80640151918331959</v>
      </c>
      <c r="K101" s="1" cm="1">
        <f t="array" ref="K101">[1]!unf_pvt_dZdp($D54,K$36,gg,zcor)*100</f>
        <v>-0.77711250328182935</v>
      </c>
      <c r="L101" s="1" cm="1">
        <f t="array" ref="L101">[1]!unf_pvt_dZdp($D54,L$36,gg,zcor)*100</f>
        <v>-0.7349335056727746</v>
      </c>
      <c r="M101" s="1" cm="1">
        <f t="array" ref="M101">[1]!unf_pvt_dZdp($D54,M$36,gg,zcor)*100</f>
        <v>-0.68195071242005412</v>
      </c>
      <c r="N101" s="1" cm="1">
        <f t="array" ref="N101">[1]!unf_pvt_dZdp($D54,N$36,gg,zcor)*100</f>
        <v>-0.62028398789437666</v>
      </c>
      <c r="O101" s="1" cm="1">
        <f t="array" ref="O101">[1]!unf_pvt_dZdp($D54,O$36,gg,zcor)*100</f>
        <v>-0.55196743904084578</v>
      </c>
      <c r="P101" s="1" cm="1">
        <f t="array" ref="P101">[1]!unf_pvt_dZdp($D54,P$36,gg,zcor)*100</f>
        <v>-0.47886980951705738</v>
      </c>
      <c r="Q101" s="1" cm="1">
        <f t="array" ref="Q101">[1]!unf_pvt_dZdp($D54,Q$36,gg,zcor)*100</f>
        <v>-0.40264916492449565</v>
      </c>
      <c r="R101" s="1" cm="1">
        <f t="array" ref="R101">[1]!unf_pvt_dZdp($D54,R$36,gg,zcor)*100</f>
        <v>-0.32473430858548369</v>
      </c>
      <c r="S101" s="1" cm="1">
        <f t="array" ref="S101">[1]!unf_pvt_dZdp($D54,S$36,gg,zcor)*100</f>
        <v>-0.24632525788437221</v>
      </c>
      <c r="T101" s="1" cm="1">
        <f t="array" ref="T101">[1]!unf_pvt_dZdp($D54,T$36,gg,zcor)*100</f>
        <v>-0.16840608462742601</v>
      </c>
      <c r="U101" s="1" cm="1">
        <f t="array" ref="U101">[1]!unf_pvt_dZdp($D54,U$36,gg,zcor)*100</f>
        <v>-9.1764836541718964E-2</v>
      </c>
      <c r="V101" s="1" cm="1">
        <f t="array" ref="V101">[1]!unf_pvt_dZdp($D54,V$36,gg,zcor)*100</f>
        <v>-1.7016698143912379E-2</v>
      </c>
      <c r="W101" s="1" cm="1">
        <f t="array" ref="W101">[1]!unf_pvt_dZdp($D54,W$36,gg,zcor)*100</f>
        <v>5.5372199847525394E-2</v>
      </c>
      <c r="X101" s="1" cm="1">
        <f t="array" ref="X101">[1]!unf_pvt_dZdp($D54,X$36,gg,zcor)*100</f>
        <v>0.125061932634285</v>
      </c>
      <c r="Y101" s="1" cm="1">
        <f t="array" ref="Y101">[1]!unf_pvt_dZdp($D54,Y$36,gg,zcor)*100</f>
        <v>0.1918177925697151</v>
      </c>
      <c r="Z101" s="1" cm="1">
        <f t="array" ref="Z101">[1]!unf_pvt_dZdp($D54,Z$36,gg,zcor)*100</f>
        <v>0.25549157280368995</v>
      </c>
      <c r="AA101" s="1" cm="1">
        <f t="array" ref="AA101">[1]!unf_pvt_dZdp($D54,AA$36,gg,zcor)*100</f>
        <v>0.31600522769070771</v>
      </c>
      <c r="AB101" s="1" cm="1">
        <f t="array" ref="AB101">[1]!unf_pvt_dZdp($D54,AB$36,gg,zcor)*100</f>
        <v>0.37333683151619113</v>
      </c>
      <c r="AC101" s="1" cm="1">
        <f t="array" ref="AC101">[1]!unf_pvt_dZdp($D54,AC$36,gg,zcor)*100</f>
        <v>0.42750865916207914</v>
      </c>
      <c r="AD101" s="1" cm="1">
        <f t="array" ref="AD101">[1]!unf_pvt_dZdp($D54,AD$36,gg,zcor)*100</f>
        <v>0.47857716890642443</v>
      </c>
      <c r="AE101" s="1" cm="1">
        <f t="array" ref="AE101">[1]!unf_pvt_dZdp($D54,AE$36,gg,zcor)*100</f>
        <v>0.52662465674813141</v>
      </c>
      <c r="AF101" s="1" cm="1">
        <f t="array" ref="AF101">[1]!unf_pvt_dZdp($D54,AF$36,gg,zcor)*100</f>
        <v>0.57175235956163917</v>
      </c>
      <c r="AG101" s="1" cm="1">
        <f t="array" ref="AG101">[1]!unf_pvt_dZdp($D54,AG$36,gg,zcor)*100</f>
        <v>0.6140748013327979</v>
      </c>
      <c r="AH101" s="1" cm="1">
        <f t="array" ref="AH101">[1]!unf_pvt_dZdp($D54,AH$36,gg,zcor)*100</f>
        <v>0.65371519787027488</v>
      </c>
      <c r="AI101" s="1" cm="1">
        <f t="array" ref="AI101">[1]!unf_pvt_dZdp($D54,AI$36,gg,zcor)*100</f>
        <v>0.69080175700397817</v>
      </c>
      <c r="AJ101" s="1" cm="1">
        <f t="array" ref="AJ101">[1]!unf_pvt_dZdp($D54,AJ$36,gg,zcor)*100</f>
        <v>0.72546473222190322</v>
      </c>
      <c r="AK101" s="1" cm="1">
        <f t="array" ref="AK101">[1]!unf_pvt_dZdp($D54,AK$36,gg,zcor)*100</f>
        <v>0.75783410693475162</v>
      </c>
    </row>
    <row r="102" spans="5:37" x14ac:dyDescent="0.45">
      <c r="E102" t="str">
        <f t="shared" si="4"/>
        <v>t=170 C</v>
      </c>
      <c r="F102" s="1" cm="1">
        <f t="array" ref="F102">[1]!unf_pvt_dZdp($D55,F$36,gg,zcor)*100</f>
        <v>-0.70064258088864406</v>
      </c>
      <c r="G102" s="1" cm="1">
        <f t="array" ref="G102">[1]!unf_pvt_dZdp($D55,G$36,gg,zcor)*100</f>
        <v>-0.73409561619608432</v>
      </c>
      <c r="H102" s="1" cm="1">
        <f t="array" ref="H102">[1]!unf_pvt_dZdp($D55,H$36,gg,zcor)*100</f>
        <v>-0.74988844824375178</v>
      </c>
      <c r="I102" s="1" cm="1">
        <f t="array" ref="I102">[1]!unf_pvt_dZdp($D55,I$36,gg,zcor)*100</f>
        <v>-0.74871803949938531</v>
      </c>
      <c r="J102" s="1" cm="1">
        <f t="array" ref="J102">[1]!unf_pvt_dZdp($D55,J$36,gg,zcor)*100</f>
        <v>-0.73192931645871262</v>
      </c>
      <c r="K102" s="1" cm="1">
        <f t="array" ref="K102">[1]!unf_pvt_dZdp($D55,K$36,gg,zcor)*100</f>
        <v>-0.70135787773151215</v>
      </c>
      <c r="L102" s="1" cm="1">
        <f t="array" ref="L102">[1]!unf_pvt_dZdp($D55,L$36,gg,zcor)*100</f>
        <v>-0.65910863662699271</v>
      </c>
      <c r="M102" s="1" cm="1">
        <f t="array" ref="M102">[1]!unf_pvt_dZdp($D55,M$36,gg,zcor)*100</f>
        <v>-0.607360528588341</v>
      </c>
      <c r="N102" s="1" cm="1">
        <f t="array" ref="N102">[1]!unf_pvt_dZdp($D55,N$36,gg,zcor)*100</f>
        <v>-0.54821805541505064</v>
      </c>
      <c r="O102" s="1" cm="1">
        <f t="array" ref="O102">[1]!unf_pvt_dZdp($D55,O$36,gg,zcor)*100</f>
        <v>-0.48361276316910562</v>
      </c>
      <c r="P102" s="1" cm="1">
        <f t="array" ref="P102">[1]!unf_pvt_dZdp($D55,P$36,gg,zcor)*100</f>
        <v>-0.41524878393150999</v>
      </c>
      <c r="Q102" s="1" cm="1">
        <f t="array" ref="Q102">[1]!unf_pvt_dZdp($D55,Q$36,gg,zcor)*100</f>
        <v>-0.34458262245240512</v>
      </c>
      <c r="R102" s="1" cm="1">
        <f t="array" ref="R102">[1]!unf_pvt_dZdp($D55,R$36,gg,zcor)*100</f>
        <v>-0.27282673314421579</v>
      </c>
      <c r="S102" s="1" cm="1">
        <f t="array" ref="S102">[1]!unf_pvt_dZdp($D55,S$36,gg,zcor)*100</f>
        <v>-0.20096769343558307</v>
      </c>
      <c r="T102" s="1" cm="1">
        <f t="array" ref="T102">[1]!unf_pvt_dZdp($D55,T$36,gg,zcor)*100</f>
        <v>-0.12979183984906939</v>
      </c>
      <c r="U102" s="1" cm="1">
        <f t="array" ref="U102">[1]!unf_pvt_dZdp($D55,U$36,gg,zcor)*100</f>
        <v>-5.9913377309372962E-2</v>
      </c>
      <c r="V102" s="1" cm="1">
        <f t="array" ref="V102">[1]!unf_pvt_dZdp($D55,V$36,gg,zcor)*100</f>
        <v>8.1981808131015299E-3</v>
      </c>
      <c r="W102" s="1" cm="1">
        <f t="array" ref="W102">[1]!unf_pvt_dZdp($D55,W$36,gg,zcor)*100</f>
        <v>7.4192974746090101E-2</v>
      </c>
      <c r="X102" s="1" cm="1">
        <f t="array" ref="X102">[1]!unf_pvt_dZdp($D55,X$36,gg,zcor)*100</f>
        <v>0.13781891895936482</v>
      </c>
      <c r="Y102" s="1" cm="1">
        <f t="array" ref="Y102">[1]!unf_pvt_dZdp($D55,Y$36,gg,zcor)*100</f>
        <v>0.19890312285553158</v>
      </c>
      <c r="Z102" s="1" cm="1">
        <f t="array" ref="Z102">[1]!unf_pvt_dZdp($D55,Z$36,gg,zcor)*100</f>
        <v>0.25733640733105467</v>
      </c>
      <c r="AA102" s="1" cm="1">
        <f t="array" ref="AA102">[1]!unf_pvt_dZdp($D55,AA$36,gg,zcor)*100</f>
        <v>0.31306055035762448</v>
      </c>
      <c r="AB102" s="1" cm="1">
        <f t="array" ref="AB102">[1]!unf_pvt_dZdp($D55,AB$36,gg,zcor)*100</f>
        <v>0.36605784643151118</v>
      </c>
      <c r="AC102" s="1" cm="1">
        <f t="array" ref="AC102">[1]!unf_pvt_dZdp($D55,AC$36,gg,zcor)*100</f>
        <v>0.41634258043043992</v>
      </c>
      <c r="AD102" s="1" cm="1">
        <f t="array" ref="AD102">[1]!unf_pvt_dZdp($D55,AD$36,gg,zcor)*100</f>
        <v>0.46395406295696162</v>
      </c>
      <c r="AE102" s="1" cm="1">
        <f t="array" ref="AE102">[1]!unf_pvt_dZdp($D55,AE$36,gg,zcor)*100</f>
        <v>0.50895093097191868</v>
      </c>
      <c r="AF102" s="1" cm="1">
        <f t="array" ref="AF102">[1]!unf_pvt_dZdp($D55,AF$36,gg,zcor)*100</f>
        <v>0.55140647307050372</v>
      </c>
      <c r="AG102" s="1" cm="1">
        <f t="array" ref="AG102">[1]!unf_pvt_dZdp($D55,AG$36,gg,zcor)*100</f>
        <v>0.5914047877886297</v>
      </c>
      <c r="AH102" s="1" cm="1">
        <f t="array" ref="AH102">[1]!unf_pvt_dZdp($D55,AH$36,gg,zcor)*100</f>
        <v>0.62903762369503902</v>
      </c>
      <c r="AI102" s="1" cm="1">
        <f t="array" ref="AI102">[1]!unf_pvt_dZdp($D55,AI$36,gg,zcor)*100</f>
        <v>0.66440178217330725</v>
      </c>
      <c r="AJ102" s="1" cm="1">
        <f t="array" ref="AJ102">[1]!unf_pvt_dZdp($D55,AJ$36,gg,zcor)*100</f>
        <v>0.69759698852145391</v>
      </c>
      <c r="AK102" s="1" cm="1">
        <f t="array" ref="AK102">[1]!unf_pvt_dZdp($D55,AK$36,gg,zcor)*100</f>
        <v>0.72872415580294003</v>
      </c>
    </row>
    <row r="103" spans="5:37" x14ac:dyDescent="0.45">
      <c r="E103" t="str">
        <f t="shared" si="4"/>
        <v>t=180 C</v>
      </c>
      <c r="F103" s="1" cm="1">
        <f t="array" ref="F103">[1]!unf_pvt_dZdp($D56,F$36,gg,zcor)*100</f>
        <v>-0.64319008625246532</v>
      </c>
      <c r="G103" s="1" cm="1">
        <f t="array" ref="G103">[1]!unf_pvt_dZdp($D56,G$36,gg,zcor)*100</f>
        <v>-0.67389488414004717</v>
      </c>
      <c r="H103" s="1" cm="1">
        <f t="array" ref="H103">[1]!unf_pvt_dZdp($D56,H$36,gg,zcor)*100</f>
        <v>-0.68688582373854778</v>
      </c>
      <c r="I103" s="1" cm="1">
        <f t="array" ref="I103">[1]!unf_pvt_dZdp($D56,I$36,gg,zcor)*100</f>
        <v>-0.68327568150228224</v>
      </c>
      <c r="J103" s="1" cm="1">
        <f t="array" ref="J103">[1]!unf_pvt_dZdp($D56,J$36,gg,zcor)*100</f>
        <v>-0.66471504647225288</v>
      </c>
      <c r="K103" s="1" cm="1">
        <f t="array" ref="K103">[1]!unf_pvt_dZdp($D56,K$36,gg,zcor)*100</f>
        <v>-0.63326230902660541</v>
      </c>
      <c r="L103" s="1" cm="1">
        <f t="array" ref="L103">[1]!unf_pvt_dZdp($D56,L$36,gg,zcor)*100</f>
        <v>-0.59115707717882771</v>
      </c>
      <c r="M103" s="1" cm="1">
        <f t="array" ref="M103">[1]!unf_pvt_dZdp($D56,M$36,gg,zcor)*100</f>
        <v>-0.54062656534181741</v>
      </c>
      <c r="N103" s="1" cm="1">
        <f t="array" ref="N103">[1]!unf_pvt_dZdp($D56,N$36,gg,zcor)*100</f>
        <v>-0.4837472387475561</v>
      </c>
      <c r="O103" s="1" cm="1">
        <f t="array" ref="O103">[1]!unf_pvt_dZdp($D56,O$36,gg,zcor)*100</f>
        <v>-0.42236197327572</v>
      </c>
      <c r="P103" s="1" cm="1">
        <f t="array" ref="P103">[1]!unf_pvt_dZdp($D56,P$36,gg,zcor)*100</f>
        <v>-0.35804352002899442</v>
      </c>
      <c r="Q103" s="1" cm="1">
        <f t="array" ref="Q103">[1]!unf_pvt_dZdp($D56,Q$36,gg,zcor)*100</f>
        <v>-0.29209175152700162</v>
      </c>
      <c r="R103" s="1" cm="1">
        <f t="array" ref="R103">[1]!unf_pvt_dZdp($D56,R$36,gg,zcor)*100</f>
        <v>-0.22555247900180042</v>
      </c>
      <c r="S103" s="1" cm="1">
        <f t="array" ref="S103">[1]!unf_pvt_dZdp($D56,S$36,gg,zcor)*100</f>
        <v>-0.15924777612807972</v>
      </c>
      <c r="T103" s="1" cm="1">
        <f t="array" ref="T103">[1]!unf_pvt_dZdp($D56,T$36,gg,zcor)*100</f>
        <v>-9.3810476261557696E-2</v>
      </c>
      <c r="U103" s="1" cm="1">
        <f t="array" ref="U103">[1]!unf_pvt_dZdp($D56,U$36,gg,zcor)*100</f>
        <v>-2.9718086623775619E-2</v>
      </c>
      <c r="V103" s="1" cm="1">
        <f t="array" ref="V103">[1]!unf_pvt_dZdp($D56,V$36,gg,zcor)*100</f>
        <v>3.2676560433042567E-2</v>
      </c>
      <c r="W103" s="1" cm="1">
        <f t="array" ref="W103">[1]!unf_pvt_dZdp($D56,W$36,gg,zcor)*100</f>
        <v>9.3119105498695731E-2</v>
      </c>
      <c r="X103" s="1" cm="1">
        <f t="array" ref="X103">[1]!unf_pvt_dZdp($D56,X$36,gg,zcor)*100</f>
        <v>0.15143212911183923</v>
      </c>
      <c r="Y103" s="1" cm="1">
        <f t="array" ref="Y103">[1]!unf_pvt_dZdp($D56,Y$36,gg,zcor)*100</f>
        <v>0.20749795212382516</v>
      </c>
      <c r="Z103" s="1" cm="1">
        <f t="array" ref="Z103">[1]!unf_pvt_dZdp($D56,Z$36,gg,zcor)*100</f>
        <v>0.26124517009895598</v>
      </c>
      <c r="AA103" s="1" cm="1">
        <f t="array" ref="AA103">[1]!unf_pvt_dZdp($D56,AA$36,gg,zcor)*100</f>
        <v>0.31263824560423537</v>
      </c>
      <c r="AB103" s="1" cm="1">
        <f t="array" ref="AB103">[1]!unf_pvt_dZdp($D56,AB$36,gg,zcor)*100</f>
        <v>0.36166951311478179</v>
      </c>
      <c r="AC103" s="1" cm="1">
        <f t="array" ref="AC103">[1]!unf_pvt_dZdp($D56,AC$36,gg,zcor)*100</f>
        <v>0.40835303558806046</v>
      </c>
      <c r="AD103" s="1" cm="1">
        <f t="array" ref="AD103">[1]!unf_pvt_dZdp($D56,AD$36,gg,zcor)*100</f>
        <v>0.45271985390060721</v>
      </c>
      <c r="AE103" s="1" cm="1">
        <f t="array" ref="AE103">[1]!unf_pvt_dZdp($D56,AE$36,gg,zcor)*100</f>
        <v>0.49481427078168494</v>
      </c>
      <c r="AF103" s="1" cm="1">
        <f t="array" ref="AF103">[1]!unf_pvt_dZdp($D56,AF$36,gg,zcor)*100</f>
        <v>0.53469089910662682</v>
      </c>
      <c r="AG103" s="1" cm="1">
        <f t="array" ref="AG103">[1]!unf_pvt_dZdp($D56,AG$36,gg,zcor)*100</f>
        <v>0.57241227685689289</v>
      </c>
      <c r="AH103" s="1" cm="1">
        <f t="array" ref="AH103">[1]!unf_pvt_dZdp($D56,AH$36,gg,zcor)*100</f>
        <v>0.6080469073521666</v>
      </c>
      <c r="AI103" s="1" cm="1">
        <f t="array" ref="AI103">[1]!unf_pvt_dZdp($D56,AI$36,gg,zcor)*100</f>
        <v>0.64166762556383539</v>
      </c>
      <c r="AJ103" s="1" cm="1">
        <f t="array" ref="AJ103">[1]!unf_pvt_dZdp($D56,AJ$36,gg,zcor)*100</f>
        <v>0.67335022164050073</v>
      </c>
      <c r="AK103" s="1" cm="1">
        <f t="array" ref="AK103">[1]!unf_pvt_dZdp($D56,AK$36,gg,zcor)*100</f>
        <v>0.70317227384375514</v>
      </c>
    </row>
    <row r="104" spans="5:37" x14ac:dyDescent="0.45">
      <c r="E104" t="str">
        <f t="shared" si="4"/>
        <v>t=190 C</v>
      </c>
      <c r="F104" s="1" cm="1">
        <f t="array" ref="F104">[1]!unf_pvt_dZdp($D57,F$36,gg,zcor)*100</f>
        <v>-0.59081726443532823</v>
      </c>
      <c r="G104" s="1" cm="1">
        <f t="array" ref="G104">[1]!unf_pvt_dZdp($D57,G$36,gg,zcor)*100</f>
        <v>-0.61888855431457834</v>
      </c>
      <c r="H104" s="1" cm="1">
        <f t="array" ref="H104">[1]!unf_pvt_dZdp($D57,H$36,gg,zcor)*100</f>
        <v>-0.62938880361240734</v>
      </c>
      <c r="I104" s="1" cm="1">
        <f t="array" ref="I104">[1]!unf_pvt_dZdp($D57,I$36,gg,zcor)*100</f>
        <v>-0.62374531110687137</v>
      </c>
      <c r="J104" s="1" cm="1">
        <f t="array" ref="J104">[1]!unf_pvt_dZdp($D57,J$36,gg,zcor)*100</f>
        <v>-0.60381714779955686</v>
      </c>
      <c r="K104" s="1" cm="1">
        <f t="array" ref="K104">[1]!unf_pvt_dZdp($D57,K$36,gg,zcor)*100</f>
        <v>-0.57180312654891985</v>
      </c>
      <c r="L104" s="1" cm="1">
        <f t="array" ref="L104">[1]!unf_pvt_dZdp($D57,L$36,gg,zcor)*100</f>
        <v>-0.53001723915757637</v>
      </c>
      <c r="M104" s="1" cm="1">
        <f t="array" ref="M104">[1]!unf_pvt_dZdp($D57,M$36,gg,zcor)*100</f>
        <v>-0.48069958419993952</v>
      </c>
      <c r="N104" s="1" cm="1">
        <f t="array" ref="N104">[1]!unf_pvt_dZdp($D57,N$36,gg,zcor)*100</f>
        <v>-0.42588705443602493</v>
      </c>
      <c r="O104" s="1" cm="1">
        <f t="array" ref="O104">[1]!unf_pvt_dZdp($D57,O$36,gg,zcor)*100</f>
        <v>-0.36734238460511826</v>
      </c>
      <c r="P104" s="1" cm="1">
        <f t="array" ref="P104">[1]!unf_pvt_dZdp($D57,P$36,gg,zcor)*100</f>
        <v>-0.30653032184302376</v>
      </c>
      <c r="Q104" s="1" cm="1">
        <f t="array" ref="Q104">[1]!unf_pvt_dZdp($D57,Q$36,gg,zcor)*100</f>
        <v>-0.24462681387227292</v>
      </c>
      <c r="R104" s="1" cm="1">
        <f t="array" ref="R104">[1]!unf_pvt_dZdp($D57,R$36,gg,zcor)*100</f>
        <v>-0.18254803919037776</v>
      </c>
      <c r="S104" s="1" cm="1">
        <f t="array" ref="S104">[1]!unf_pvt_dZdp($D57,S$36,gg,zcor)*100</f>
        <v>-0.12098879241140281</v>
      </c>
      <c r="T104" s="1" cm="1">
        <f t="array" ref="T104">[1]!unf_pvt_dZdp($D57,T$36,gg,zcor)*100</f>
        <v>-6.0462858418874887E-2</v>
      </c>
      <c r="U104" s="1" cm="1">
        <f t="array" ref="U104">[1]!unf_pvt_dZdp($D57,U$36,gg,zcor)*100</f>
        <v>-1.3408203680675967E-3</v>
      </c>
      <c r="V104" s="1" cm="1">
        <f t="array" ref="V104">[1]!unf_pvt_dZdp($D57,V$36,gg,zcor)*100</f>
        <v>5.6117063146343682E-2</v>
      </c>
      <c r="W104" s="1" cm="1">
        <f t="array" ref="W104">[1]!unf_pvt_dZdp($D57,W$36,gg,zcor)*100</f>
        <v>0.1117337509981553</v>
      </c>
      <c r="X104" s="1" cm="1">
        <f t="array" ref="X104">[1]!unf_pvt_dZdp($D57,X$36,gg,zcor)*100</f>
        <v>0.16539397098669362</v>
      </c>
      <c r="Y104" s="1" cm="1">
        <f t="array" ref="Y104">[1]!unf_pvt_dZdp($D57,Y$36,gg,zcor)*100</f>
        <v>0.21702780358623386</v>
      </c>
      <c r="Z104" s="1" cm="1">
        <f t="array" ref="Z104">[1]!unf_pvt_dZdp($D57,Z$36,gg,zcor)*100</f>
        <v>0.26659845705601093</v>
      </c>
      <c r="AA104" s="1" cm="1">
        <f t="array" ref="AA104">[1]!unf_pvt_dZdp($D57,AA$36,gg,zcor)*100</f>
        <v>0.31409336522347786</v>
      </c>
      <c r="AB104" s="1" cm="1">
        <f t="array" ref="AB104">[1]!unf_pvt_dZdp($D57,AB$36,gg,zcor)*100</f>
        <v>0.35951781513055003</v>
      </c>
      <c r="AC104" s="1" cm="1">
        <f t="array" ref="AC104">[1]!unf_pvt_dZdp($D57,AC$36,gg,zcor)*100</f>
        <v>0.40289043465535634</v>
      </c>
      <c r="AD104" s="1" cm="1">
        <f t="array" ref="AD104">[1]!unf_pvt_dZdp($D57,AD$36,gg,zcor)*100</f>
        <v>0.4442400047821593</v>
      </c>
      <c r="AE104" s="1" cm="1">
        <f t="array" ref="AE104">[1]!unf_pvt_dZdp($D57,AE$36,gg,zcor)*100</f>
        <v>0.48360318757656451</v>
      </c>
      <c r="AF104" s="1" cm="1">
        <f t="array" ref="AF104">[1]!unf_pvt_dZdp($D57,AF$36,gg,zcor)*100</f>
        <v>0.52102286981159374</v>
      </c>
      <c r="AG104" s="1" cm="1">
        <f t="array" ref="AG104">[1]!unf_pvt_dZdp($D57,AG$36,gg,zcor)*100</f>
        <v>0.55654691020645686</v>
      </c>
      <c r="AH104" s="1" cm="1">
        <f t="array" ref="AH104">[1]!unf_pvt_dZdp($D57,AH$36,gg,zcor)*100</f>
        <v>0.59022714623102601</v>
      </c>
      <c r="AI104" s="1" cm="1">
        <f t="array" ref="AI104">[1]!unf_pvt_dZdp($D57,AI$36,gg,zcor)*100</f>
        <v>0.62211856679983413</v>
      </c>
      <c r="AJ104" s="1" cm="1">
        <f t="array" ref="AJ104">[1]!unf_pvt_dZdp($D57,AJ$36,gg,zcor)*100</f>
        <v>0.65227859293193191</v>
      </c>
      <c r="AK104" s="1" cm="1">
        <f t="array" ref="AK104">[1]!unf_pvt_dZdp($D57,AK$36,gg,zcor)*100</f>
        <v>0.68076643293779604</v>
      </c>
    </row>
    <row r="105" spans="5:37" x14ac:dyDescent="0.45">
      <c r="E105" t="str">
        <f t="shared" si="4"/>
        <v>t=200 C</v>
      </c>
      <c r="F105" s="1" cm="1">
        <f t="array" ref="F105">[1]!unf_pvt_dZdp($D58,F$36,gg,zcor)*100</f>
        <v>-0.54297435083450196</v>
      </c>
      <c r="G105" s="1" cm="1">
        <f t="array" ref="G105">[1]!unf_pvt_dZdp($D58,G$36,gg,zcor)*100</f>
        <v>-0.56851233987575966</v>
      </c>
      <c r="H105" s="1" cm="1">
        <f t="array" ref="H105">[1]!unf_pvt_dZdp($D58,H$36,gg,zcor)*100</f>
        <v>-0.57677356983254491</v>
      </c>
      <c r="I105" s="1" cm="1">
        <f t="array" ref="I105">[1]!unf_pvt_dZdp($D58,I$36,gg,zcor)*100</f>
        <v>-0.56941978905156176</v>
      </c>
      <c r="J105" s="1" cm="1">
        <f t="array" ref="J105">[1]!unf_pvt_dZdp($D58,J$36,gg,zcor)*100</f>
        <v>-0.548443869300419</v>
      </c>
      <c r="K105" s="1" cm="1">
        <f t="array" ref="K105">[1]!unf_pvt_dZdp($D58,K$36,gg,zcor)*100</f>
        <v>-0.51612186803939863</v>
      </c>
      <c r="L105" s="1" cm="1">
        <f t="array" ref="L105">[1]!unf_pvt_dZdp($D58,L$36,gg,zcor)*100</f>
        <v>-0.47479561688823502</v>
      </c>
      <c r="M105" s="1" cm="1">
        <f t="array" ref="M105">[1]!unf_pvt_dZdp($D58,M$36,gg,zcor)*100</f>
        <v>-0.42669024475694428</v>
      </c>
      <c r="N105" s="1" cm="1">
        <f t="array" ref="N105">[1]!unf_pvt_dZdp($D58,N$36,gg,zcor)*100</f>
        <v>-0.37379312054941494</v>
      </c>
      <c r="O105" s="1" cm="1">
        <f t="array" ref="O105">[1]!unf_pvt_dZdp($D58,O$36,gg,zcor)*100</f>
        <v>-0.31779202262938178</v>
      </c>
      <c r="P105" s="1" cm="1">
        <f t="array" ref="P105">[1]!unf_pvt_dZdp($D58,P$36,gg,zcor)*100</f>
        <v>-0.26006023081448504</v>
      </c>
      <c r="Q105" s="1" cm="1">
        <f t="array" ref="Q105">[1]!unf_pvt_dZdp($D58,Q$36,gg,zcor)*100</f>
        <v>-0.20167365762269185</v>
      </c>
      <c r="R105" s="1" cm="1">
        <f t="array" ref="R105">[1]!unf_pvt_dZdp($D58,R$36,gg,zcor)*100</f>
        <v>-0.14344643245678412</v>
      </c>
      <c r="S105" s="1" cm="1">
        <f t="array" ref="S105">[1]!unf_pvt_dZdp($D58,S$36,gg,zcor)*100</f>
        <v>-8.5974339009142753E-2</v>
      </c>
      <c r="T105" s="1" cm="1">
        <f t="array" ref="T105">[1]!unf_pvt_dZdp($D58,T$36,gg,zcor)*100</f>
        <v>-2.9678820997469657E-2</v>
      </c>
      <c r="U105" s="1" cm="1">
        <f t="array" ref="U105">[1]!unf_pvt_dZdp($D58,U$36,gg,zcor)*100</f>
        <v>2.5152815654738703E-2</v>
      </c>
      <c r="V105" s="1" cm="1">
        <f t="array" ref="V105">[1]!unf_pvt_dZdp($D58,V$36,gg,zcor)*100</f>
        <v>7.8333148286757748E-2</v>
      </c>
      <c r="W105" s="1" cm="1">
        <f t="array" ref="W105">[1]!unf_pvt_dZdp($D58,W$36,gg,zcor)*100</f>
        <v>0.12974695194012398</v>
      </c>
      <c r="X105" s="1" cm="1">
        <f t="array" ref="X105">[1]!unf_pvt_dZdp($D58,X$36,gg,zcor)*100</f>
        <v>0.17932977509960146</v>
      </c>
      <c r="Y105" s="1" cm="1">
        <f t="array" ref="Y105">[1]!unf_pvt_dZdp($D58,Y$36,gg,zcor)*100</f>
        <v>0.22705198371664181</v>
      </c>
      <c r="Z105" s="1" cm="1">
        <f t="array" ref="Z105">[1]!unf_pvt_dZdp($D58,Z$36,gg,zcor)*100</f>
        <v>0.27290729546658454</v>
      </c>
      <c r="AA105" s="1" cm="1">
        <f t="array" ref="AA105">[1]!unf_pvt_dZdp($D58,AA$36,gg,zcor)*100</f>
        <v>0.31690482553359267</v>
      </c>
      <c r="AB105" s="1" cm="1">
        <f t="array" ref="AB105">[1]!unf_pvt_dZdp($D58,AB$36,gg,zcor)*100</f>
        <v>0.35906376462224721</v>
      </c>
      <c r="AC105" s="1" cm="1">
        <f t="array" ref="AC105">[1]!unf_pvt_dZdp($D58,AC$36,gg,zcor)*100</f>
        <v>0.39940995238518795</v>
      </c>
      <c r="AD105" s="1" cm="1">
        <f t="array" ref="AD105">[1]!unf_pvt_dZdp($D58,AD$36,gg,zcor)*100</f>
        <v>0.4379737608284362</v>
      </c>
      <c r="AE105" s="1" cm="1">
        <f t="array" ref="AE105">[1]!unf_pvt_dZdp($D58,AE$36,gg,zcor)*100</f>
        <v>0.47478884229068541</v>
      </c>
      <c r="AF105" s="1" cm="1">
        <f t="array" ref="AF105">[1]!unf_pvt_dZdp($D58,AF$36,gg,zcor)*100</f>
        <v>0.50989141694990359</v>
      </c>
      <c r="AG105" s="1" cm="1">
        <f t="array" ref="AG105">[1]!unf_pvt_dZdp($D58,AG$36,gg,zcor)*100</f>
        <v>0.54331987220046507</v>
      </c>
      <c r="AH105" s="1" cm="1">
        <f t="array" ref="AH105">[1]!unf_pvt_dZdp($D58,AH$36,gg,zcor)*100</f>
        <v>0.57511452167369193</v>
      </c>
      <c r="AI105" s="1" cm="1">
        <f t="array" ref="AI105">[1]!unf_pvt_dZdp($D58,AI$36,gg,zcor)*100</f>
        <v>0.60531742807179434</v>
      </c>
      <c r="AJ105" s="1" cm="1">
        <f t="array" ref="AJ105">[1]!unf_pvt_dZdp($D58,AJ$36,gg,zcor)*100</f>
        <v>0.63397223404759728</v>
      </c>
      <c r="AK105" s="1" cm="1">
        <f t="array" ref="AK105">[1]!unf_pvt_dZdp($D58,AK$36,gg,zcor)*100</f>
        <v>0.66112397315132299</v>
      </c>
    </row>
    <row r="106" spans="5:37" x14ac:dyDescent="0.45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5:37" x14ac:dyDescent="0.45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</sheetData>
  <conditionalFormatting sqref="F38:AK1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me_compare">
                <anchor moveWithCells="1" sizeWithCells="1">
                  <from>
                    <xdr:col>26</xdr:col>
                    <xdr:colOff>290513</xdr:colOff>
                    <xdr:row>1</xdr:row>
                    <xdr:rowOff>190500</xdr:rowOff>
                  </from>
                  <to>
                    <xdr:col>29</xdr:col>
                    <xdr:colOff>342900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z</vt:lpstr>
      <vt:lpstr>gg</vt:lpstr>
      <vt:lpstr>zcor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rienm</cp:lastModifiedBy>
  <dcterms:created xsi:type="dcterms:W3CDTF">2020-04-28T06:34:49Z</dcterms:created>
  <dcterms:modified xsi:type="dcterms:W3CDTF">2022-05-25T07:54:22Z</dcterms:modified>
</cp:coreProperties>
</file>