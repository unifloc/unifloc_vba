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theme/themeOverride7.xml" ContentType="application/vnd.openxmlformats-officedocument.themeOverride+xml"/>
  <Override PartName="/xl/charts/chart10.xml" ContentType="application/vnd.openxmlformats-officedocument.drawingml.chart+xml"/>
  <Override PartName="/xl/theme/themeOverride8.xml" ContentType="application/vnd.openxmlformats-officedocument.themeOverride+xml"/>
  <Override PartName="/xl/charts/chart11.xml" ContentType="application/vnd.openxmlformats-officedocument.drawingml.chart+xml"/>
  <Override PartName="/xl/theme/themeOverride9.xml" ContentType="application/vnd.openxmlformats-officedocument.themeOverride+xml"/>
  <Override PartName="/xl/charts/chart1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3.xml" ContentType="application/vnd.openxmlformats-officedocument.drawingml.chart+xml"/>
  <Override PartName="/xl/theme/themeOverride10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4E8817C3-ABCF-4021-BF9B-344C4ECAE6F5}" xr6:coauthVersionLast="47" xr6:coauthVersionMax="47" xr10:uidLastSave="{00000000-0000-0000-0000-000000000000}"/>
  <bookViews>
    <workbookView xWindow="-28440" yWindow="1515" windowWidth="25440" windowHeight="16680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exercise_PVT!$B$27:$C$52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exercise_PVT!$D$27:$P$52</definedName>
    <definedName name="param">exercise_PVT!$D$106</definedName>
    <definedName name="Pb_" localSheetId="0">exercise_PVT!$C$15</definedName>
    <definedName name="PVT_str_" localSheetId="0">exercise_PVT!$D$111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6" i="113" l="1"/>
  <c r="E16" i="113"/>
  <c r="E15" i="113"/>
  <c r="E14" i="113"/>
  <c r="E13" i="113"/>
  <c r="E12" i="113"/>
  <c r="E11" i="113"/>
  <c r="D28" i="113"/>
  <c r="Q28" i="113"/>
  <c r="J29" i="113"/>
  <c r="D30" i="113"/>
  <c r="Q30" i="113"/>
  <c r="J31" i="113"/>
  <c r="D32" i="113"/>
  <c r="Q32" i="113"/>
  <c r="J33" i="113"/>
  <c r="D34" i="113"/>
  <c r="Q34" i="113"/>
  <c r="J35" i="113"/>
  <c r="D36" i="113"/>
  <c r="Q36" i="113"/>
  <c r="J37" i="113"/>
  <c r="D38" i="113"/>
  <c r="Q38" i="113"/>
  <c r="J39" i="113"/>
  <c r="D40" i="113"/>
  <c r="Q40" i="113"/>
  <c r="J41" i="113"/>
  <c r="D42" i="113"/>
  <c r="Q42" i="113"/>
  <c r="J43" i="113"/>
  <c r="D44" i="113"/>
  <c r="Q44" i="113"/>
  <c r="J45" i="113"/>
  <c r="D46" i="113"/>
  <c r="Q46" i="113"/>
  <c r="J47" i="113"/>
  <c r="D48" i="113"/>
  <c r="Q48" i="113"/>
  <c r="J49" i="113"/>
  <c r="D50" i="113"/>
  <c r="Q50" i="113"/>
  <c r="J51" i="113"/>
  <c r="D52" i="113"/>
  <c r="Q52" i="113"/>
  <c r="L29" i="113"/>
  <c r="S32" i="113"/>
  <c r="S34" i="113"/>
  <c r="S36" i="113"/>
  <c r="L39" i="113"/>
  <c r="L41" i="113"/>
  <c r="L43" i="113"/>
  <c r="S44" i="113"/>
  <c r="F46" i="113"/>
  <c r="F48" i="113"/>
  <c r="F50" i="113"/>
  <c r="F52" i="113"/>
  <c r="T42" i="113"/>
  <c r="G46" i="113"/>
  <c r="M49" i="113"/>
  <c r="G52" i="113"/>
  <c r="I50" i="113"/>
  <c r="I45" i="113"/>
  <c r="E28" i="113"/>
  <c r="R28" i="113"/>
  <c r="K29" i="113"/>
  <c r="E30" i="113"/>
  <c r="R30" i="113"/>
  <c r="K31" i="113"/>
  <c r="E32" i="113"/>
  <c r="R32" i="113"/>
  <c r="K33" i="113"/>
  <c r="E34" i="113"/>
  <c r="R34" i="113"/>
  <c r="K35" i="113"/>
  <c r="E36" i="113"/>
  <c r="R36" i="113"/>
  <c r="K37" i="113"/>
  <c r="E38" i="113"/>
  <c r="R38" i="113"/>
  <c r="K39" i="113"/>
  <c r="E40" i="113"/>
  <c r="R40" i="113"/>
  <c r="K41" i="113"/>
  <c r="E42" i="113"/>
  <c r="R42" i="113"/>
  <c r="K43" i="113"/>
  <c r="E44" i="113"/>
  <c r="R44" i="113"/>
  <c r="K45" i="113"/>
  <c r="E46" i="113"/>
  <c r="R46" i="113"/>
  <c r="K47" i="113"/>
  <c r="E48" i="113"/>
  <c r="R48" i="113"/>
  <c r="K49" i="113"/>
  <c r="E50" i="113"/>
  <c r="R50" i="113"/>
  <c r="K51" i="113"/>
  <c r="E52" i="113"/>
  <c r="R52" i="113"/>
  <c r="S28" i="113"/>
  <c r="F32" i="113"/>
  <c r="F34" i="113"/>
  <c r="F36" i="113"/>
  <c r="F38" i="113"/>
  <c r="F40" i="113"/>
  <c r="F42" i="113"/>
  <c r="F44" i="113"/>
  <c r="S46" i="113"/>
  <c r="S48" i="113"/>
  <c r="S50" i="113"/>
  <c r="S52" i="113"/>
  <c r="G44" i="113"/>
  <c r="T46" i="113"/>
  <c r="T48" i="113"/>
  <c r="M51" i="113"/>
  <c r="P49" i="113"/>
  <c r="V52" i="113"/>
  <c r="V51" i="113"/>
  <c r="F28" i="113"/>
  <c r="F30" i="113"/>
  <c r="S30" i="113"/>
  <c r="L31" i="113"/>
  <c r="L33" i="113"/>
  <c r="L35" i="113"/>
  <c r="L37" i="113"/>
  <c r="S38" i="113"/>
  <c r="S40" i="113"/>
  <c r="S42" i="113"/>
  <c r="L45" i="113"/>
  <c r="L47" i="113"/>
  <c r="L49" i="113"/>
  <c r="L51" i="113"/>
  <c r="G42" i="113"/>
  <c r="M45" i="113"/>
  <c r="G48" i="113"/>
  <c r="T50" i="113"/>
  <c r="T52" i="113"/>
  <c r="V50" i="113"/>
  <c r="V45" i="113"/>
  <c r="G28" i="113"/>
  <c r="T28" i="113"/>
  <c r="M29" i="113"/>
  <c r="G30" i="113"/>
  <c r="T30" i="113"/>
  <c r="M31" i="113"/>
  <c r="G32" i="113"/>
  <c r="T32" i="113"/>
  <c r="M33" i="113"/>
  <c r="G34" i="113"/>
  <c r="T34" i="113"/>
  <c r="M35" i="113"/>
  <c r="G36" i="113"/>
  <c r="T36" i="113"/>
  <c r="M37" i="113"/>
  <c r="G38" i="113"/>
  <c r="T38" i="113"/>
  <c r="M39" i="113"/>
  <c r="G40" i="113"/>
  <c r="T40" i="113"/>
  <c r="M41" i="113"/>
  <c r="M43" i="113"/>
  <c r="T44" i="113"/>
  <c r="M47" i="113"/>
  <c r="G50" i="113"/>
  <c r="V48" i="113"/>
  <c r="P46" i="113"/>
  <c r="H28" i="113"/>
  <c r="U28" i="113"/>
  <c r="O29" i="113"/>
  <c r="H30" i="113"/>
  <c r="U30" i="113"/>
  <c r="O31" i="113"/>
  <c r="H32" i="113"/>
  <c r="U32" i="113"/>
  <c r="O33" i="113"/>
  <c r="H34" i="113"/>
  <c r="U34" i="113"/>
  <c r="O35" i="113"/>
  <c r="H36" i="113"/>
  <c r="U36" i="113"/>
  <c r="O37" i="113"/>
  <c r="H38" i="113"/>
  <c r="U38" i="113"/>
  <c r="O39" i="113"/>
  <c r="H40" i="113"/>
  <c r="U40" i="113"/>
  <c r="O41" i="113"/>
  <c r="H42" i="113"/>
  <c r="U42" i="113"/>
  <c r="O43" i="113"/>
  <c r="H44" i="113"/>
  <c r="U44" i="113"/>
  <c r="O45" i="113"/>
  <c r="H46" i="113"/>
  <c r="U46" i="113"/>
  <c r="O47" i="113"/>
  <c r="H48" i="113"/>
  <c r="U48" i="113"/>
  <c r="O49" i="113"/>
  <c r="H50" i="113"/>
  <c r="U50" i="113"/>
  <c r="O51" i="113"/>
  <c r="H52" i="113"/>
  <c r="U52" i="113"/>
  <c r="I42" i="113"/>
  <c r="I44" i="113"/>
  <c r="P45" i="113"/>
  <c r="V46" i="113"/>
  <c r="I48" i="113"/>
  <c r="I52" i="113"/>
  <c r="P50" i="113"/>
  <c r="I28" i="113"/>
  <c r="V28" i="113"/>
  <c r="P29" i="113"/>
  <c r="I30" i="113"/>
  <c r="V30" i="113"/>
  <c r="P31" i="113"/>
  <c r="I32" i="113"/>
  <c r="V32" i="113"/>
  <c r="P33" i="113"/>
  <c r="I34" i="113"/>
  <c r="V34" i="113"/>
  <c r="P35" i="113"/>
  <c r="I36" i="113"/>
  <c r="V36" i="113"/>
  <c r="P37" i="113"/>
  <c r="I38" i="113"/>
  <c r="V38" i="113"/>
  <c r="P39" i="113"/>
  <c r="I40" i="113"/>
  <c r="V40" i="113"/>
  <c r="P41" i="113"/>
  <c r="V42" i="113"/>
  <c r="P43" i="113"/>
  <c r="V44" i="113"/>
  <c r="I46" i="113"/>
  <c r="P47" i="113"/>
  <c r="P51" i="113"/>
  <c r="P48" i="113"/>
  <c r="J28" i="113"/>
  <c r="D29" i="113"/>
  <c r="Q29" i="113"/>
  <c r="J30" i="113"/>
  <c r="D31" i="113"/>
  <c r="Q31" i="113"/>
  <c r="J32" i="113"/>
  <c r="D33" i="113"/>
  <c r="Q33" i="113"/>
  <c r="J34" i="113"/>
  <c r="D35" i="113"/>
  <c r="Q35" i="113"/>
  <c r="J36" i="113"/>
  <c r="D37" i="113"/>
  <c r="Q37" i="113"/>
  <c r="J38" i="113"/>
  <c r="D39" i="113"/>
  <c r="Q39" i="113"/>
  <c r="J40" i="113"/>
  <c r="D41" i="113"/>
  <c r="Q41" i="113"/>
  <c r="J42" i="113"/>
  <c r="D43" i="113"/>
  <c r="Q43" i="113"/>
  <c r="J44" i="113"/>
  <c r="D45" i="113"/>
  <c r="Q45" i="113"/>
  <c r="J46" i="113"/>
  <c r="D47" i="113"/>
  <c r="Q47" i="113"/>
  <c r="J48" i="113"/>
  <c r="D49" i="113"/>
  <c r="Q49" i="113"/>
  <c r="J50" i="113"/>
  <c r="D51" i="113"/>
  <c r="Q51" i="113"/>
  <c r="J52" i="113"/>
  <c r="R51" i="113"/>
  <c r="L36" i="113"/>
  <c r="F39" i="113"/>
  <c r="F41" i="113"/>
  <c r="F43" i="113"/>
  <c r="F45" i="113"/>
  <c r="F47" i="113"/>
  <c r="F49" i="113"/>
  <c r="F51" i="113"/>
  <c r="U47" i="113"/>
  <c r="O50" i="113"/>
  <c r="P28" i="113"/>
  <c r="P34" i="113"/>
  <c r="V37" i="113"/>
  <c r="I41" i="113"/>
  <c r="P44" i="113"/>
  <c r="I51" i="113"/>
  <c r="K28" i="113"/>
  <c r="E29" i="113"/>
  <c r="R29" i="113"/>
  <c r="K30" i="113"/>
  <c r="E31" i="113"/>
  <c r="R31" i="113"/>
  <c r="K32" i="113"/>
  <c r="E33" i="113"/>
  <c r="R33" i="113"/>
  <c r="K34" i="113"/>
  <c r="E35" i="113"/>
  <c r="R35" i="113"/>
  <c r="K36" i="113"/>
  <c r="E37" i="113"/>
  <c r="R37" i="113"/>
  <c r="K38" i="113"/>
  <c r="E39" i="113"/>
  <c r="R39" i="113"/>
  <c r="K40" i="113"/>
  <c r="E41" i="113"/>
  <c r="R41" i="113"/>
  <c r="K42" i="113"/>
  <c r="E43" i="113"/>
  <c r="R43" i="113"/>
  <c r="K44" i="113"/>
  <c r="E45" i="113"/>
  <c r="R45" i="113"/>
  <c r="K46" i="113"/>
  <c r="E47" i="113"/>
  <c r="R47" i="113"/>
  <c r="K48" i="113"/>
  <c r="E49" i="113"/>
  <c r="R49" i="113"/>
  <c r="K50" i="113"/>
  <c r="E51" i="113"/>
  <c r="K52" i="113"/>
  <c r="F37" i="113"/>
  <c r="S39" i="113"/>
  <c r="S41" i="113"/>
  <c r="S43" i="113"/>
  <c r="L46" i="113"/>
  <c r="L48" i="113"/>
  <c r="S49" i="113"/>
  <c r="S51" i="113"/>
  <c r="O48" i="113"/>
  <c r="H51" i="113"/>
  <c r="I29" i="113"/>
  <c r="V31" i="113"/>
  <c r="I35" i="113"/>
  <c r="P38" i="113"/>
  <c r="V41" i="113"/>
  <c r="I49" i="113"/>
  <c r="L28" i="113"/>
  <c r="F29" i="113"/>
  <c r="S29" i="113"/>
  <c r="L30" i="113"/>
  <c r="F31" i="113"/>
  <c r="S31" i="113"/>
  <c r="L32" i="113"/>
  <c r="F33" i="113"/>
  <c r="S33" i="113"/>
  <c r="L34" i="113"/>
  <c r="F35" i="113"/>
  <c r="S35" i="113"/>
  <c r="S37" i="113"/>
  <c r="L38" i="113"/>
  <c r="L40" i="113"/>
  <c r="L42" i="113"/>
  <c r="L44" i="113"/>
  <c r="S45" i="113"/>
  <c r="S47" i="113"/>
  <c r="L50" i="113"/>
  <c r="L52" i="113"/>
  <c r="H49" i="113"/>
  <c r="O52" i="113"/>
  <c r="I31" i="113"/>
  <c r="P32" i="113"/>
  <c r="V35" i="113"/>
  <c r="I39" i="113"/>
  <c r="I43" i="113"/>
  <c r="V49" i="113"/>
  <c r="M28" i="113"/>
  <c r="G29" i="113"/>
  <c r="T29" i="113"/>
  <c r="M30" i="113"/>
  <c r="G31" i="113"/>
  <c r="T31" i="113"/>
  <c r="M32" i="113"/>
  <c r="G33" i="113"/>
  <c r="T33" i="113"/>
  <c r="M34" i="113"/>
  <c r="G35" i="113"/>
  <c r="T35" i="113"/>
  <c r="M36" i="113"/>
  <c r="G37" i="113"/>
  <c r="T37" i="113"/>
  <c r="M38" i="113"/>
  <c r="G39" i="113"/>
  <c r="T39" i="113"/>
  <c r="M40" i="113"/>
  <c r="G41" i="113"/>
  <c r="T41" i="113"/>
  <c r="M42" i="113"/>
  <c r="G43" i="113"/>
  <c r="T43" i="113"/>
  <c r="M44" i="113"/>
  <c r="G45" i="113"/>
  <c r="T45" i="113"/>
  <c r="M46" i="113"/>
  <c r="G47" i="113"/>
  <c r="T47" i="113"/>
  <c r="M48" i="113"/>
  <c r="G49" i="113"/>
  <c r="T49" i="113"/>
  <c r="M50" i="113"/>
  <c r="G51" i="113"/>
  <c r="T51" i="113"/>
  <c r="M52" i="113"/>
  <c r="U49" i="113"/>
  <c r="P30" i="113"/>
  <c r="I33" i="113"/>
  <c r="P36" i="113"/>
  <c r="V39" i="113"/>
  <c r="P42" i="113"/>
  <c r="I47" i="113"/>
  <c r="O28" i="113"/>
  <c r="H29" i="113"/>
  <c r="U29" i="113"/>
  <c r="O30" i="113"/>
  <c r="H31" i="113"/>
  <c r="U31" i="113"/>
  <c r="O32" i="113"/>
  <c r="H33" i="113"/>
  <c r="U33" i="113"/>
  <c r="O34" i="113"/>
  <c r="H35" i="113"/>
  <c r="U35" i="113"/>
  <c r="O36" i="113"/>
  <c r="H37" i="113"/>
  <c r="U37" i="113"/>
  <c r="O38" i="113"/>
  <c r="H39" i="113"/>
  <c r="U39" i="113"/>
  <c r="O40" i="113"/>
  <c r="H41" i="113"/>
  <c r="U41" i="113"/>
  <c r="O42" i="113"/>
  <c r="H43" i="113"/>
  <c r="U43" i="113"/>
  <c r="O44" i="113"/>
  <c r="H45" i="113"/>
  <c r="U45" i="113"/>
  <c r="O46" i="113"/>
  <c r="H47" i="113"/>
  <c r="U51" i="113"/>
  <c r="V29" i="113"/>
  <c r="V33" i="113"/>
  <c r="I37" i="113"/>
  <c r="P40" i="113"/>
  <c r="V43" i="113"/>
  <c r="V47" i="113"/>
  <c r="P52" i="113"/>
  <c r="V27" i="113"/>
  <c r="U27" i="113"/>
  <c r="T27" i="113"/>
  <c r="S27" i="113"/>
  <c r="R27" i="113"/>
  <c r="Q27" i="113"/>
  <c r="P27" i="113"/>
  <c r="O27" i="113"/>
  <c r="M27" i="113"/>
  <c r="L27" i="113"/>
  <c r="K27" i="113"/>
  <c r="J27" i="113"/>
  <c r="I27" i="113"/>
  <c r="H27" i="113"/>
  <c r="G27" i="113"/>
  <c r="F27" i="113"/>
  <c r="E27" i="113"/>
  <c r="D27" i="113"/>
  <c r="D106" i="113" a="1"/>
  <c r="G1" i="113"/>
  <c r="D111" i="113"/>
  <c r="D125" i="113" s="1" a="1"/>
  <c r="D114" i="113" a="1"/>
  <c r="D150" i="113" a="1"/>
  <c r="D149" i="113" a="1"/>
  <c r="D148" i="113" a="1"/>
  <c r="D147" i="113" a="1"/>
  <c r="D146" i="113" a="1"/>
  <c r="D145" i="113" a="1"/>
  <c r="D144" i="113" a="1"/>
  <c r="D143" i="113" a="1"/>
  <c r="D142" i="113" a="1"/>
  <c r="D141" i="113" a="1"/>
  <c r="D140" i="113" a="1"/>
  <c r="D139" i="113" a="1"/>
  <c r="D138" i="113" a="1"/>
  <c r="D137" i="113" a="1"/>
  <c r="D136" i="113" a="1"/>
  <c r="D135" i="113" a="1"/>
  <c r="D134" i="113" a="1"/>
  <c r="D133" i="113" a="1"/>
  <c r="D132" i="113" a="1"/>
  <c r="D131" i="113" a="1"/>
  <c r="D130" i="113" a="1"/>
  <c r="D129" i="113" a="1"/>
  <c r="D128" i="113" a="1"/>
  <c r="D127" i="113" a="1"/>
  <c r="D126" i="113" a="1"/>
  <c r="D125" i="113" l="1"/>
  <c r="D126" i="113"/>
  <c r="D127" i="113"/>
  <c r="D128" i="113"/>
  <c r="D129" i="113"/>
  <c r="D130" i="113"/>
  <c r="D131" i="113"/>
  <c r="D132" i="113"/>
  <c r="D133" i="113"/>
  <c r="D134" i="113"/>
  <c r="D135" i="113"/>
  <c r="D136" i="113"/>
  <c r="D137" i="113"/>
  <c r="D138" i="113"/>
  <c r="D139" i="113"/>
  <c r="D140" i="113"/>
  <c r="D141" i="113"/>
  <c r="D142" i="113"/>
  <c r="D143" i="113"/>
  <c r="D144" i="113"/>
  <c r="D145" i="113"/>
  <c r="D146" i="113"/>
  <c r="D147" i="113"/>
  <c r="D148" i="113"/>
  <c r="D149" i="113"/>
  <c r="D150" i="113"/>
  <c r="D114" i="113"/>
  <c r="D106" i="113"/>
  <c r="F114" i="113" a="1"/>
  <c r="S124" i="113" l="1"/>
  <c r="K124" i="113"/>
  <c r="N124" i="113"/>
  <c r="X124" i="113"/>
  <c r="L124" i="113"/>
  <c r="Z124" i="113"/>
  <c r="E124" i="113"/>
  <c r="U124" i="113"/>
  <c r="W124" i="113"/>
  <c r="R124" i="113"/>
  <c r="H124" i="113"/>
  <c r="P124" i="113"/>
  <c r="G124" i="113"/>
  <c r="I124" i="113"/>
  <c r="T124" i="113"/>
  <c r="J124" i="113"/>
  <c r="F124" i="113"/>
  <c r="Q124" i="113"/>
  <c r="M124" i="113"/>
  <c r="Y124" i="113"/>
  <c r="V124" i="113"/>
  <c r="O124" i="113"/>
  <c r="F114" i="113"/>
  <c r="D124" i="11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<sst xmlns="http://schemas.openxmlformats.org/spreadsheetml/2006/main" count="73" uniqueCount="59">
  <si>
    <t>P</t>
  </si>
  <si>
    <t>Физико - химические свойства флюида   PVT</t>
  </si>
  <si>
    <t>м3/м3</t>
  </si>
  <si>
    <t>С</t>
  </si>
  <si>
    <t>T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</si>
  <si>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</si>
  <si>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</si>
  <si>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</si>
  <si>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</si>
  <si>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</si>
  <si>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</si>
  <si>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</si>
  <si>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</si>
  <si>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</si>
  <si>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</si>
  <si>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</si>
  <si>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</si>
  <si>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</si>
  <si>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</si>
  <si>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</si>
  <si>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</si>
  <si>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</si>
  <si>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</si>
  <si>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</si>
  <si>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</si>
  <si>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</si>
  <si>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</si>
  <si>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</si>
  <si>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</si>
  <si>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</si>
  <si>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</si>
  <si>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</si>
  <si>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</si>
  <si>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</si>
  <si>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</si>
  <si>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</si>
  <si>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</si>
  <si>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</si>
  <si>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</si>
  <si>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</si>
  <si>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</si>
  <si>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</si>
  <si>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</si>
  <si>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</si>
  <si>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</si>
  <si>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</si>
  <si>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</si>
  <si>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</si>
  <si>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</si>
  <si>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</si>
  <si>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</si>
  <si>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</si>
  <si>
    <t xml:space="preserve">Параметры расчета </t>
  </si>
  <si>
    <t>show_log</t>
  </si>
  <si>
    <t>Расчет параметров флюида с использованием функции PVT_calc</t>
  </si>
  <si>
    <t>Расчет свойств флюида с использованием отдельных функций</t>
  </si>
  <si>
    <t>PVT_correlation</t>
  </si>
  <si>
    <t>РГУ ИРДН 2023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</si>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</sst>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"/>
  </numFmts>
  <fonts count="19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7" borderId="2" xfId="0" applyFill="1" applyBorder="1"/>
    <xf numFmtId="0" fontId="0" fillId="2" borderId="2" xfId="0" applyFill="1" applyBorder="1"/>
    <xf numFmtId="1" fontId="16" fillId="4" borderId="2" xfId="0" applyNumberFormat="1" applyFont="1" applyFill="1" applyBorder="1" applyAlignment="1">
      <alignment horizontal="left"/>
    </xf>
    <xf numFmtId="0" fontId="0" fillId="4" borderId="16" xfId="0" applyFill="1" applyBorder="1"/>
    <xf numFmtId="0" fontId="0" fillId="2" borderId="16" xfId="0" applyFill="1" applyBorder="1" applyAlignment="1">
      <alignment horizontal="center" vertical="center"/>
    </xf>
    <xf numFmtId="0" fontId="0" fillId="7" borderId="9" xfId="0" applyFill="1" applyBorder="1"/>
    <xf numFmtId="0" fontId="0" fillId="7" borderId="11" xfId="0" applyFill="1" applyBorder="1"/>
    <xf numFmtId="0" fontId="0" fillId="7" borderId="14" xfId="0" applyFill="1" applyBorder="1"/>
    <xf numFmtId="0" fontId="0" fillId="7" borderId="15" xfId="0" applyFill="1" applyBorder="1"/>
    <xf numFmtId="167" fontId="0" fillId="4" borderId="2" xfId="0" applyNumberFormat="1" applyFill="1" applyBorder="1" applyAlignment="1">
      <alignment horizontal="center" vertical="center"/>
    </xf>
    <xf numFmtId="0" fontId="0" fillId="4" borderId="8" xfId="0" applyFill="1" applyBorder="1"/>
    <xf numFmtId="0" fontId="0" fillId="4" borderId="13" xfId="0" applyFill="1" applyBorder="1"/>
    <xf numFmtId="0" fontId="0" fillId="4" borderId="15" xfId="0" applyFill="1" applyBorder="1"/>
    <xf numFmtId="0" fontId="0" fillId="0" borderId="0" xfId="0" applyFill="1" applyBorder="1"/>
    <xf numFmtId="0" fontId="18" fillId="3" borderId="16" xfId="0" applyFont="1" applyFill="1" applyBorder="1" applyAlignment="1">
      <alignment wrapText="1"/>
    </xf>
    <xf numFmtId="0" fontId="0" fillId="3" borderId="4" xfId="0" applyFill="1" applyBorder="1"/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8" fillId="3" borderId="14" xfId="0" applyFont="1" applyFill="1" applyBorder="1" applyAlignment="1">
      <alignment horizontal="left" wrapText="1"/>
    </xf>
    <xf numFmtId="0" fontId="18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exercise_PVT!$F$26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exercise_PVT!$F$27:$F$52</c:f>
              <c:numCache>
                <c:formatCode>0.0</c:formatCode>
                <c:ptCount val="26"/>
                <c:pt idx="0">
                  <c:v>2.6623666469705523</c:v>
                </c:pt>
                <c:pt idx="1">
                  <c:v>2.5107343123125276</c:v>
                </c:pt>
                <c:pt idx="2">
                  <c:v>2.3144186028088236</c:v>
                </c:pt>
                <c:pt idx="3">
                  <c:v>1.9731221901146054</c:v>
                </c:pt>
                <c:pt idx="4">
                  <c:v>1.5015997838031903</c:v>
                </c:pt>
                <c:pt idx="5">
                  <c:v>1.2091654051069654</c:v>
                </c:pt>
                <c:pt idx="6">
                  <c:v>1.014286511152013</c:v>
                </c:pt>
                <c:pt idx="7">
                  <c:v>0.87607476211856905</c:v>
                </c:pt>
                <c:pt idx="8">
                  <c:v>0.77319018290817398</c:v>
                </c:pt>
                <c:pt idx="9">
                  <c:v>0.69366764380836032</c:v>
                </c:pt>
                <c:pt idx="10">
                  <c:v>0.63034877468934047</c:v>
                </c:pt>
                <c:pt idx="11">
                  <c:v>0.61877145944725898</c:v>
                </c:pt>
                <c:pt idx="12">
                  <c:v>0.63719796155440789</c:v>
                </c:pt>
                <c:pt idx="13">
                  <c:v>0.65752824274055588</c:v>
                </c:pt>
                <c:pt idx="14">
                  <c:v>0.6796128620048475</c:v>
                </c:pt>
                <c:pt idx="15">
                  <c:v>0.70332279259628794</c:v>
                </c:pt>
                <c:pt idx="16">
                  <c:v>0.72854283858678093</c:v>
                </c:pt>
                <c:pt idx="17">
                  <c:v>0.75516695400167422</c:v>
                </c:pt>
                <c:pt idx="18">
                  <c:v>0.78309487538256306</c:v>
                </c:pt>
                <c:pt idx="19">
                  <c:v>0.81222968932392992</c:v>
                </c:pt>
                <c:pt idx="20">
                  <c:v>0.84247608412593455</c:v>
                </c:pt>
                <c:pt idx="21">
                  <c:v>0.87373911443017527</c:v>
                </c:pt>
                <c:pt idx="22">
                  <c:v>0.90592335883251063</c:v>
                </c:pt>
                <c:pt idx="23">
                  <c:v>0.93893238399062806</c:v>
                </c:pt>
                <c:pt idx="24">
                  <c:v>0.97266845115378942</c:v>
                </c:pt>
                <c:pt idx="25">
                  <c:v>1.0070324162867543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exercise_PVT!$H$26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exercise_PVT!$H$27:$H$52</c:f>
              <c:numCache>
                <c:formatCode>0.00</c:formatCode>
                <c:ptCount val="26"/>
                <c:pt idx="0">
                  <c:v>0.49450516561346208</c:v>
                </c:pt>
                <c:pt idx="1">
                  <c:v>0.49568448521335695</c:v>
                </c:pt>
                <c:pt idx="2">
                  <c:v>0.49717356350541014</c:v>
                </c:pt>
                <c:pt idx="3">
                  <c:v>0.50020148273013165</c:v>
                </c:pt>
                <c:pt idx="4">
                  <c:v>0.50645637174203584</c:v>
                </c:pt>
                <c:pt idx="5">
                  <c:v>0.51297666150388777</c:v>
                </c:pt>
                <c:pt idx="6">
                  <c:v>0.51976235201568766</c:v>
                </c:pt>
                <c:pt idx="7">
                  <c:v>0.52681344327743551</c:v>
                </c:pt>
                <c:pt idx="8">
                  <c:v>0.53412993528913122</c:v>
                </c:pt>
                <c:pt idx="9">
                  <c:v>0.54171182805077478</c:v>
                </c:pt>
                <c:pt idx="10">
                  <c:v>0.5495591215623663</c:v>
                </c:pt>
                <c:pt idx="11">
                  <c:v>0.55767181582390579</c:v>
                </c:pt>
                <c:pt idx="12">
                  <c:v>0.56604991083539313</c:v>
                </c:pt>
                <c:pt idx="13">
                  <c:v>0.57469340659682833</c:v>
                </c:pt>
                <c:pt idx="14">
                  <c:v>0.58360230310821137</c:v>
                </c:pt>
                <c:pt idx="15">
                  <c:v>0.59277660036954249</c:v>
                </c:pt>
                <c:pt idx="16">
                  <c:v>0.60221629838082136</c:v>
                </c:pt>
                <c:pt idx="17">
                  <c:v>0.6119213971420483</c:v>
                </c:pt>
                <c:pt idx="18">
                  <c:v>0.62189189665322298</c:v>
                </c:pt>
                <c:pt idx="19">
                  <c:v>0.63212779691434562</c:v>
                </c:pt>
                <c:pt idx="20">
                  <c:v>0.64262909792541612</c:v>
                </c:pt>
                <c:pt idx="21">
                  <c:v>0.65339579968643458</c:v>
                </c:pt>
                <c:pt idx="22">
                  <c:v>0.664427902197401</c:v>
                </c:pt>
                <c:pt idx="23">
                  <c:v>0.67572540545831516</c:v>
                </c:pt>
                <c:pt idx="24">
                  <c:v>0.68728830946917741</c:v>
                </c:pt>
                <c:pt idx="25">
                  <c:v>0.6991166142299875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exercise_PVT!$G$26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exercise_PVT!$G$27:$G$52</c:f>
              <c:numCache>
                <c:formatCode>0.000</c:formatCode>
                <c:ptCount val="26"/>
                <c:pt idx="0">
                  <c:v>1.1660919395050064E-2</c:v>
                </c:pt>
                <c:pt idx="1">
                  <c:v>1.1716093611280813E-2</c:v>
                </c:pt>
                <c:pt idx="2">
                  <c:v>1.1808987320130901E-2</c:v>
                </c:pt>
                <c:pt idx="3">
                  <c:v>1.2048071040158715E-2</c:v>
                </c:pt>
                <c:pt idx="4">
                  <c:v>1.2718451277010821E-2</c:v>
                </c:pt>
                <c:pt idx="5">
                  <c:v>1.3682645275706399E-2</c:v>
                </c:pt>
                <c:pt idx="6">
                  <c:v>1.499582495682693E-2</c:v>
                </c:pt>
                <c:pt idx="7">
                  <c:v>1.6662090323001578E-2</c:v>
                </c:pt>
                <c:pt idx="8">
                  <c:v>1.8612671003194109E-2</c:v>
                </c:pt>
                <c:pt idx="9">
                  <c:v>2.0733492057591552E-2</c:v>
                </c:pt>
                <c:pt idx="10">
                  <c:v>2.2911561151152695E-2</c:v>
                </c:pt>
                <c:pt idx="11">
                  <c:v>2.5065367115478056E-2</c:v>
                </c:pt>
                <c:pt idx="12">
                  <c:v>2.7149989853059744E-2</c:v>
                </c:pt>
                <c:pt idx="13">
                  <c:v>2.9147599743131497E-2</c:v>
                </c:pt>
                <c:pt idx="14">
                  <c:v>3.1055530887268586E-2</c:v>
                </c:pt>
                <c:pt idx="15">
                  <c:v>3.2877589940684453E-2</c:v>
                </c:pt>
                <c:pt idx="16">
                  <c:v>3.4619250690228753E-2</c:v>
                </c:pt>
                <c:pt idx="17">
                  <c:v>3.6285578432125411E-2</c:v>
                </c:pt>
                <c:pt idx="18">
                  <c:v>3.7880656112842734E-2</c:v>
                </c:pt>
                <c:pt idx="19">
                  <c:v>3.9407689305847995E-2</c:v>
                </c:pt>
                <c:pt idx="20">
                  <c:v>4.0869339901965229E-2</c:v>
                </c:pt>
                <c:pt idx="21">
                  <c:v>4.2268075916358429E-2</c:v>
                </c:pt>
                <c:pt idx="22">
                  <c:v>4.3606453351793889E-2</c:v>
                </c:pt>
                <c:pt idx="23">
                  <c:v>4.4887308467026876E-2</c:v>
                </c:pt>
                <c:pt idx="24">
                  <c:v>4.6113865949030879E-2</c:v>
                </c:pt>
                <c:pt idx="25">
                  <c:v>4.7289778277559424E-2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exercise_PVT!$K$26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exercise_PVT!$K$27:$K$52</c:f>
              <c:numCache>
                <c:formatCode>0.0</c:formatCode>
                <c:ptCount val="26"/>
                <c:pt idx="0">
                  <c:v>815.10368274464463</c:v>
                </c:pt>
                <c:pt idx="1">
                  <c:v>813.71432988158301</c:v>
                </c:pt>
                <c:pt idx="2">
                  <c:v>811.58079848222224</c:v>
                </c:pt>
                <c:pt idx="3">
                  <c:v>806.5987655381449</c:v>
                </c:pt>
                <c:pt idx="4">
                  <c:v>794.88575347006531</c:v>
                </c:pt>
                <c:pt idx="5">
                  <c:v>781.69951403353525</c:v>
                </c:pt>
                <c:pt idx="6">
                  <c:v>767.61129878401493</c:v>
                </c:pt>
                <c:pt idx="7">
                  <c:v>753.00185234565424</c:v>
                </c:pt>
                <c:pt idx="8">
                  <c:v>738.14926182358397</c:v>
                </c:pt>
                <c:pt idx="9">
                  <c:v>723.26118717780184</c:v>
                </c:pt>
                <c:pt idx="10">
                  <c:v>708.49273630193807</c:v>
                </c:pt>
                <c:pt idx="11">
                  <c:v>704.67247217420243</c:v>
                </c:pt>
                <c:pt idx="12">
                  <c:v>707.47881396548019</c:v>
                </c:pt>
                <c:pt idx="13">
                  <c:v>709.78322266010446</c:v>
                </c:pt>
                <c:pt idx="14">
                  <c:v>711.70929591293179</c:v>
                </c:pt>
                <c:pt idx="15">
                  <c:v>713.34313195663401</c:v>
                </c:pt>
                <c:pt idx="16">
                  <c:v>714.74654778973127</c:v>
                </c:pt>
                <c:pt idx="17">
                  <c:v>715.96507469917833</c:v>
                </c:pt>
                <c:pt idx="18">
                  <c:v>717.03298973350741</c:v>
                </c:pt>
                <c:pt idx="19">
                  <c:v>717.97659042999624</c:v>
                </c:pt>
                <c:pt idx="20">
                  <c:v>718.81638901833196</c:v>
                </c:pt>
                <c:pt idx="21">
                  <c:v>719.56862035525558</c:v>
                </c:pt>
                <c:pt idx="22">
                  <c:v>720.24630159068568</c:v>
                </c:pt>
                <c:pt idx="23">
                  <c:v>720.85999169027696</c:v>
                </c:pt>
                <c:pt idx="24">
                  <c:v>721.41834552379044</c:v>
                </c:pt>
                <c:pt idx="25">
                  <c:v>721.92852454800004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exercise_PVT!$J$26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exercise_PVT!$J$27:$J$52</c:f>
              <c:numCache>
                <c:formatCode>0.0</c:formatCode>
                <c:ptCount val="26"/>
                <c:pt idx="0">
                  <c:v>1067.6231937874506</c:v>
                </c:pt>
                <c:pt idx="1">
                  <c:v>1067.6686358168463</c:v>
                </c:pt>
                <c:pt idx="2">
                  <c:v>1067.7280970806928</c:v>
                </c:pt>
                <c:pt idx="3">
                  <c:v>1067.8558858355127</c:v>
                </c:pt>
                <c:pt idx="4">
                  <c:v>1068.1469589671813</c:v>
                </c:pt>
                <c:pt idx="5">
                  <c:v>1068.4854253338608</c:v>
                </c:pt>
                <c:pt idx="6">
                  <c:v>1068.8713749105848</c:v>
                </c:pt>
                <c:pt idx="7">
                  <c:v>1069.30491039923</c:v>
                </c:pt>
                <c:pt idx="8">
                  <c:v>1069.7861472969807</c:v>
                </c:pt>
                <c:pt idx="9">
                  <c:v>1070.3152139734489</c:v>
                </c:pt>
                <c:pt idx="10">
                  <c:v>1070.8922517565502</c:v>
                </c:pt>
                <c:pt idx="11">
                  <c:v>1071.517415027238</c:v>
                </c:pt>
                <c:pt idx="12">
                  <c:v>1072.1908713232208</c:v>
                </c:pt>
                <c:pt idx="13">
                  <c:v>1072.912801451788</c:v>
                </c:pt>
                <c:pt idx="14">
                  <c:v>1073.6833996118905</c:v>
                </c:pt>
                <c:pt idx="15">
                  <c:v>1074.5028735256278</c:v>
                </c:pt>
                <c:pt idx="16">
                  <c:v>1075.3714445793128</c:v>
                </c:pt>
                <c:pt idx="17">
                  <c:v>1076.2893479742904</c:v>
                </c:pt>
                <c:pt idx="18">
                  <c:v>1077.2568328877053</c:v>
                </c:pt>
                <c:pt idx="19">
                  <c:v>1078.2741626434267</c:v>
                </c:pt>
                <c:pt idx="20">
                  <c:v>1079.3416148933502</c:v>
                </c:pt>
                <c:pt idx="21">
                  <c:v>1080.4594818093117</c:v>
                </c:pt>
                <c:pt idx="22">
                  <c:v>1081.6280702858651</c:v>
                </c:pt>
                <c:pt idx="23">
                  <c:v>1082.8477021541919</c:v>
                </c:pt>
                <c:pt idx="24">
                  <c:v>1084.1187144074204</c:v>
                </c:pt>
                <c:pt idx="25">
                  <c:v>1085.4414594376583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exercise_PVT!$I$26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exercise_PVT!$I$27:$I$52</c:f>
              <c:numCache>
                <c:formatCode>0.0</c:formatCode>
                <c:ptCount val="26"/>
                <c:pt idx="0">
                  <c:v>0.91112494408482325</c:v>
                </c:pt>
                <c:pt idx="1">
                  <c:v>4.5998019389999483</c:v>
                </c:pt>
                <c:pt idx="2">
                  <c:v>9.3150535450549121</c:v>
                </c:pt>
                <c:pt idx="3">
                  <c:v>19.137042404295681</c:v>
                </c:pt>
                <c:pt idx="4">
                  <c:v>40.746840070535264</c:v>
                </c:pt>
                <c:pt idx="5">
                  <c:v>65.565159938697178</c:v>
                </c:pt>
                <c:pt idx="6">
                  <c:v>93.392234234404668</c:v>
                </c:pt>
                <c:pt idx="7">
                  <c:v>122.76747706167906</c:v>
                </c:pt>
                <c:pt idx="8">
                  <c:v>151.6546583251959</c:v>
                </c:pt>
                <c:pt idx="9">
                  <c:v>178.40676454841207</c:v>
                </c:pt>
                <c:pt idx="10">
                  <c:v>202.21271328922532</c:v>
                </c:pt>
                <c:pt idx="11">
                  <c:v>222.97803524371486</c:v>
                </c:pt>
                <c:pt idx="12">
                  <c:v>241.00156608904609</c:v>
                </c:pt>
                <c:pt idx="13">
                  <c:v>256.71064729823104</c:v>
                </c:pt>
                <c:pt idx="14">
                  <c:v>270.51818172576708</c:v>
                </c:pt>
                <c:pt idx="15">
                  <c:v>282.76962009740339</c:v>
                </c:pt>
                <c:pt idx="16">
                  <c:v>293.73624421676334</c:v>
                </c:pt>
                <c:pt idx="17">
                  <c:v>303.62618263772396</c:v>
                </c:pt>
                <c:pt idx="18">
                  <c:v>312.59920396126927</c:v>
                </c:pt>
                <c:pt idx="19">
                  <c:v>320.77990474698964</c:v>
                </c:pt>
                <c:pt idx="20">
                  <c:v>328.26790395337974</c:v>
                </c:pt>
                <c:pt idx="21">
                  <c:v>335.14519561162319</c:v>
                </c:pt>
                <c:pt idx="22">
                  <c:v>341.48125031666325</c:v>
                </c:pt>
                <c:pt idx="23">
                  <c:v>347.33647174521536</c:v>
                </c:pt>
                <c:pt idx="24">
                  <c:v>352.76450166554827</c:v>
                </c:pt>
                <c:pt idx="25">
                  <c:v>357.81373889366904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exercise_PVT!$O$26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exercise_PVT!$O$27:$O$52</c:f>
              <c:numCache>
                <c:formatCode>0.000</c:formatCode>
                <c:ptCount val="26"/>
                <c:pt idx="0">
                  <c:v>6.6414592185628799E-2</c:v>
                </c:pt>
                <c:pt idx="1">
                  <c:v>6.6074056436752376E-2</c:v>
                </c:pt>
                <c:pt idx="2">
                  <c:v>6.5650841112889283E-2</c:v>
                </c:pt>
                <c:pt idx="3">
                  <c:v>6.4812525395937348E-2</c:v>
                </c:pt>
                <c:pt idx="4">
                  <c:v>6.3167871401489079E-2</c:v>
                </c:pt>
                <c:pt idx="5">
                  <c:v>6.156495141979422E-2</c:v>
                </c:pt>
                <c:pt idx="6">
                  <c:v>6.0002706426993423E-2</c:v>
                </c:pt>
                <c:pt idx="7">
                  <c:v>5.8480104272548641E-2</c:v>
                </c:pt>
                <c:pt idx="8">
                  <c:v>5.699613899731764E-2</c:v>
                </c:pt>
                <c:pt idx="9">
                  <c:v>5.5549830168932703E-2</c:v>
                </c:pt>
                <c:pt idx="10">
                  <c:v>5.4140222234044473E-2</c:v>
                </c:pt>
                <c:pt idx="11">
                  <c:v>5.2766383887002999E-2</c:v>
                </c:pt>
                <c:pt idx="12">
                  <c:v>5.1427407454558816E-2</c:v>
                </c:pt>
                <c:pt idx="13">
                  <c:v>5.012240829617761E-2</c:v>
                </c:pt>
                <c:pt idx="14">
                  <c:v>4.8850524219572214E-2</c:v>
                </c:pt>
                <c:pt idx="15">
                  <c:v>4.761091491106581E-2</c:v>
                </c:pt>
                <c:pt idx="16">
                  <c:v>4.640276138041001E-2</c:v>
                </c:pt>
                <c:pt idx="17">
                  <c:v>4.5225265419690894E-2</c:v>
                </c:pt>
                <c:pt idx="18">
                  <c:v>4.4077649075965765E-2</c:v>
                </c:pt>
                <c:pt idx="19">
                  <c:v>4.2959154137281887E-2</c:v>
                </c:pt>
                <c:pt idx="20">
                  <c:v>4.1869041631737894E-2</c:v>
                </c:pt>
                <c:pt idx="21">
                  <c:v>4.0806591339256695E-2</c:v>
                </c:pt>
                <c:pt idx="22">
                  <c:v>3.9771101315747542E-2</c:v>
                </c:pt>
                <c:pt idx="23">
                  <c:v>3.8761887429342633E-2</c:v>
                </c:pt>
                <c:pt idx="24">
                  <c:v>3.7778282908402017E-2</c:v>
                </c:pt>
                <c:pt idx="25">
                  <c:v>3.6819637900988141E-2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exercise_PVT!$P$26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exercise_PVT!$P$27:$P$52</c:f>
              <c:numCache>
                <c:formatCode>0.000</c:formatCode>
                <c:ptCount val="26"/>
                <c:pt idx="0">
                  <c:v>6.4550360938274251E-2</c:v>
                </c:pt>
                <c:pt idx="1">
                  <c:v>6.449014820619986E-2</c:v>
                </c:pt>
                <c:pt idx="2">
                  <c:v>6.4414961269221249E-2</c:v>
                </c:pt>
                <c:pt idx="3">
                  <c:v>6.4264850266977189E-2</c:v>
                </c:pt>
                <c:pt idx="4">
                  <c:v>6.3965676891978046E-2</c:v>
                </c:pt>
                <c:pt idx="5">
                  <c:v>6.3667896264459636E-2</c:v>
                </c:pt>
                <c:pt idx="6">
                  <c:v>6.3371501900738231E-2</c:v>
                </c:pt>
                <c:pt idx="7">
                  <c:v>6.3076487347313664E-2</c:v>
                </c:pt>
                <c:pt idx="8">
                  <c:v>6.2782846180728977E-2</c:v>
                </c:pt>
                <c:pt idx="9">
                  <c:v>6.2490572007430384E-2</c:v>
                </c:pt>
                <c:pt idx="10">
                  <c:v>6.2199658463628106E-2</c:v>
                </c:pt>
                <c:pt idx="11">
                  <c:v>6.1910099215157867E-2</c:v>
                </c:pt>
                <c:pt idx="12">
                  <c:v>6.1621887957343004E-2</c:v>
                </c:pt>
                <c:pt idx="13">
                  <c:v>6.133501841485705E-2</c:v>
                </c:pt>
                <c:pt idx="14">
                  <c:v>6.1049484341587183E-2</c:v>
                </c:pt>
                <c:pt idx="15">
                  <c:v>6.0765279520498323E-2</c:v>
                </c:pt>
                <c:pt idx="16">
                  <c:v>6.0482397763497585E-2</c:v>
                </c:pt>
                <c:pt idx="17">
                  <c:v>6.0200832911299594E-2</c:v>
                </c:pt>
                <c:pt idx="18">
                  <c:v>5.9920578833292562E-2</c:v>
                </c:pt>
                <c:pt idx="19">
                  <c:v>5.9641629427404523E-2</c:v>
                </c:pt>
                <c:pt idx="20">
                  <c:v>5.9363978619970614E-2</c:v>
                </c:pt>
                <c:pt idx="21">
                  <c:v>5.9087620365600911E-2</c:v>
                </c:pt>
                <c:pt idx="22">
                  <c:v>5.8812548647048608E-2</c:v>
                </c:pt>
                <c:pt idx="23">
                  <c:v>5.8538757475079119E-2</c:v>
                </c:pt>
                <c:pt idx="24">
                  <c:v>5.8266240888339732E-2</c:v>
                </c:pt>
                <c:pt idx="25">
                  <c:v>5.799499295322965E-2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exercise_PVT!$Q$26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exercise_PVT!$Q$27:$Q$52</c:f>
              <c:numCache>
                <c:formatCode>0</c:formatCode>
                <c:ptCount val="26"/>
                <c:pt idx="0">
                  <c:v>2612.2600000000002</c:v>
                </c:pt>
                <c:pt idx="1">
                  <c:v>2612.2600000000002</c:v>
                </c:pt>
                <c:pt idx="2">
                  <c:v>2612.2600000000002</c:v>
                </c:pt>
                <c:pt idx="3">
                  <c:v>2612.2600000000002</c:v>
                </c:pt>
                <c:pt idx="4">
                  <c:v>2612.2600000000002</c:v>
                </c:pt>
                <c:pt idx="5">
                  <c:v>2612.2600000000002</c:v>
                </c:pt>
                <c:pt idx="6">
                  <c:v>2612.2600000000002</c:v>
                </c:pt>
                <c:pt idx="7">
                  <c:v>2612.2600000000002</c:v>
                </c:pt>
                <c:pt idx="8">
                  <c:v>2612.2600000000002</c:v>
                </c:pt>
                <c:pt idx="9">
                  <c:v>2612.2600000000002</c:v>
                </c:pt>
                <c:pt idx="10">
                  <c:v>2612.2600000000002</c:v>
                </c:pt>
                <c:pt idx="11">
                  <c:v>2612.2600000000002</c:v>
                </c:pt>
                <c:pt idx="12">
                  <c:v>2612.2600000000002</c:v>
                </c:pt>
                <c:pt idx="13">
                  <c:v>2612.2600000000002</c:v>
                </c:pt>
                <c:pt idx="14">
                  <c:v>2612.2600000000002</c:v>
                </c:pt>
                <c:pt idx="15">
                  <c:v>2612.2600000000002</c:v>
                </c:pt>
                <c:pt idx="16">
                  <c:v>2612.2600000000002</c:v>
                </c:pt>
                <c:pt idx="17">
                  <c:v>2612.2600000000002</c:v>
                </c:pt>
                <c:pt idx="18">
                  <c:v>2612.2600000000002</c:v>
                </c:pt>
                <c:pt idx="19">
                  <c:v>2612.2600000000002</c:v>
                </c:pt>
                <c:pt idx="20">
                  <c:v>2612.2600000000002</c:v>
                </c:pt>
                <c:pt idx="21">
                  <c:v>2612.2600000000002</c:v>
                </c:pt>
                <c:pt idx="22">
                  <c:v>2612.2600000000002</c:v>
                </c:pt>
                <c:pt idx="23">
                  <c:v>2612.2600000000002</c:v>
                </c:pt>
                <c:pt idx="24">
                  <c:v>2612.2600000000002</c:v>
                </c:pt>
                <c:pt idx="25">
                  <c:v>2612.2600000000002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exercise_PVT!$S$26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exercise_PVT!$S$27:$S$52</c:f>
              <c:numCache>
                <c:formatCode>0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exercise_PVT!$R$26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exercise_PVT!$R$27:$R$52</c:f>
              <c:numCache>
                <c:formatCode>0</c:formatCode>
                <c:ptCount val="26"/>
                <c:pt idx="0">
                  <c:v>1925.7003792225805</c:v>
                </c:pt>
                <c:pt idx="1">
                  <c:v>1907.2056510380505</c:v>
                </c:pt>
                <c:pt idx="2">
                  <c:v>1883.5679707657052</c:v>
                </c:pt>
                <c:pt idx="3">
                  <c:v>1833.6727413526064</c:v>
                </c:pt>
                <c:pt idx="4">
                  <c:v>1722.3948137387415</c:v>
                </c:pt>
                <c:pt idx="5">
                  <c:v>1605.6274265025404</c:v>
                </c:pt>
                <c:pt idx="6">
                  <c:v>1502.9546426222566</c:v>
                </c:pt>
                <c:pt idx="7">
                  <c:v>1429.1681252534001</c:v>
                </c:pt>
                <c:pt idx="8">
                  <c:v>1388.3281949026382</c:v>
                </c:pt>
                <c:pt idx="9">
                  <c:v>1376.8396712413103</c:v>
                </c:pt>
                <c:pt idx="10">
                  <c:v>1388.2835529406143</c:v>
                </c:pt>
                <c:pt idx="11">
                  <c:v>1416.3711538520051</c:v>
                </c:pt>
                <c:pt idx="12">
                  <c:v>1456.0516587639254</c:v>
                </c:pt>
                <c:pt idx="13">
                  <c:v>1503.6454745372969</c:v>
                </c:pt>
                <c:pt idx="14">
                  <c:v>1556.6158008161776</c:v>
                </c:pt>
                <c:pt idx="15">
                  <c:v>1613.2707216995911</c:v>
                </c:pt>
                <c:pt idx="16">
                  <c:v>1672.5039274812323</c:v>
                </c:pt>
                <c:pt idx="17">
                  <c:v>1733.5991597636048</c:v>
                </c:pt>
                <c:pt idx="18">
                  <c:v>1796.0927634973086</c:v>
                </c:pt>
                <c:pt idx="19">
                  <c:v>1859.6808350175158</c:v>
                </c:pt>
                <c:pt idx="20">
                  <c:v>1924.1580017926196</c:v>
                </c:pt>
                <c:pt idx="21">
                  <c:v>1989.3777260142526</c:v>
                </c:pt>
                <c:pt idx="22">
                  <c:v>2055.2269253041095</c:v>
                </c:pt>
                <c:pt idx="23">
                  <c:v>2121.6100038142217</c:v>
                </c:pt>
                <c:pt idx="24">
                  <c:v>2188.439036541658</c:v>
                </c:pt>
                <c:pt idx="25">
                  <c:v>2255.6279746367131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exercise_PVT!$U$26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exercise_PVT!$U$27:$U$52</c:f>
              <c:numCache>
                <c:formatCode>0.0E+00</c:formatCode>
                <c:ptCount val="26"/>
                <c:pt idx="0">
                  <c:v>0.34467666273518999</c:v>
                </c:pt>
                <c:pt idx="1">
                  <c:v>9.3648438492547156E-2</c:v>
                </c:pt>
                <c:pt idx="2">
                  <c:v>5.2373486587491871E-2</c:v>
                </c:pt>
                <c:pt idx="3">
                  <c:v>2.8277578673309187E-2</c:v>
                </c:pt>
                <c:pt idx="4">
                  <c:v>1.3978090687335706E-2</c:v>
                </c:pt>
                <c:pt idx="5">
                  <c:v>8.4349832335752477E-3</c:v>
                </c:pt>
                <c:pt idx="6">
                  <c:v>5.4758909234894609E-3</c:v>
                </c:pt>
                <c:pt idx="7">
                  <c:v>3.7073082634118317E-3</c:v>
                </c:pt>
                <c:pt idx="8">
                  <c:v>2.5892634674149961E-3</c:v>
                </c:pt>
                <c:pt idx="9">
                  <c:v>1.8514884790186818E-3</c:v>
                </c:pt>
                <c:pt idx="10">
                  <c:v>1.344069795282232E-3</c:v>
                </c:pt>
                <c:pt idx="11">
                  <c:v>2.3756770025839798E-4</c:v>
                </c:pt>
                <c:pt idx="12">
                  <c:v>2.1381093023255818E-4</c:v>
                </c:pt>
                <c:pt idx="13">
                  <c:v>1.9437357293868927E-4</c:v>
                </c:pt>
                <c:pt idx="14">
                  <c:v>1.7817577519379851E-4</c:v>
                </c:pt>
                <c:pt idx="15">
                  <c:v>1.6446994633273704E-4</c:v>
                </c:pt>
                <c:pt idx="16">
                  <c:v>1.5272209302325584E-4</c:v>
                </c:pt>
                <c:pt idx="17">
                  <c:v>1.4254062015503879E-4</c:v>
                </c:pt>
                <c:pt idx="18">
                  <c:v>1.3363183139534886E-4</c:v>
                </c:pt>
                <c:pt idx="19">
                  <c:v>1.2577113543091659E-4</c:v>
                </c:pt>
                <c:pt idx="20">
                  <c:v>1.1878385012919899E-4</c:v>
                </c:pt>
                <c:pt idx="21">
                  <c:v>1.1253206854345165E-4</c:v>
                </c:pt>
                <c:pt idx="22">
                  <c:v>1.0690546511627909E-4</c:v>
                </c:pt>
                <c:pt idx="23">
                  <c:v>1.0181472868217055E-4</c:v>
                </c:pt>
                <c:pt idx="24">
                  <c:v>9.7186786469344633E-5</c:v>
                </c:pt>
                <c:pt idx="25">
                  <c:v>9.2961274014155733E-5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exercise_PVT!$T$26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pPr>
              <a:solidFill>
                <a:sysClr val="window" lastClr="FFFFFF">
                  <a:lumMod val="95000"/>
                </a:sysClr>
              </a:solidFill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exercise_PVT!$T$27:$T$52</c:f>
              <c:numCache>
                <c:formatCode>0.0E+00</c:formatCode>
                <c:ptCount val="26"/>
                <c:pt idx="0">
                  <c:v>3.7837462027951241E-5</c:v>
                </c:pt>
                <c:pt idx="1">
                  <c:v>3.7796696500802808E-5</c:v>
                </c:pt>
                <c:pt idx="2">
                  <c:v>3.7745862951246043E-5</c:v>
                </c:pt>
                <c:pt idx="3">
                  <c:v>3.7644604954191038E-5</c:v>
                </c:pt>
                <c:pt idx="4">
                  <c:v>3.7443710085765843E-5</c:v>
                </c:pt>
                <c:pt idx="5">
                  <c:v>3.7244948033572365E-5</c:v>
                </c:pt>
                <c:pt idx="6">
                  <c:v>3.7048285012135808E-5</c:v>
                </c:pt>
                <c:pt idx="7">
                  <c:v>3.6853687945817684E-5</c:v>
                </c:pt>
                <c:pt idx="8">
                  <c:v>3.6661124450271005E-5</c:v>
                </c:pt>
                <c:pt idx="9">
                  <c:v>3.6470562814473928E-5</c:v>
                </c:pt>
                <c:pt idx="10">
                  <c:v>3.6281971983320796E-5</c:v>
                </c:pt>
                <c:pt idx="11">
                  <c:v>3.6095321540750486E-5</c:v>
                </c:pt>
                <c:pt idx="12">
                  <c:v>3.5910581693392951E-5</c:v>
                </c:pt>
                <c:pt idx="13">
                  <c:v>3.5727723254715326E-5</c:v>
                </c:pt>
                <c:pt idx="14">
                  <c:v>3.5546717629650001E-5</c:v>
                </c:pt>
                <c:pt idx="15">
                  <c:v>3.5367536799687554E-5</c:v>
                </c:pt>
                <c:pt idx="16">
                  <c:v>3.5190153308418342E-5</c:v>
                </c:pt>
                <c:pt idx="17">
                  <c:v>3.5014540247506962E-5</c:v>
                </c:pt>
                <c:pt idx="18">
                  <c:v>3.4840671243084599E-5</c:v>
                </c:pt>
                <c:pt idx="19">
                  <c:v>3.4668520442544787E-5</c:v>
                </c:pt>
                <c:pt idx="20">
                  <c:v>3.4498062501728742E-5</c:v>
                </c:pt>
                <c:pt idx="21">
                  <c:v>3.4329272572486828E-5</c:v>
                </c:pt>
                <c:pt idx="22">
                  <c:v>3.4162126290603452E-5</c:v>
                </c:pt>
                <c:pt idx="23">
                  <c:v>3.3996599764072971E-5</c:v>
                </c:pt>
                <c:pt idx="24">
                  <c:v>3.3832669561714792E-5</c:v>
                </c:pt>
                <c:pt idx="25">
                  <c:v>3.3670312702116318E-5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exercise_PVT!$V$26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exercise_PVT!$V$27:$V$52</c:f>
              <c:numCache>
                <c:formatCode>0.0E+00</c:formatCode>
                <c:ptCount val="26"/>
                <c:pt idx="0">
                  <c:v>1.0023857707950601</c:v>
                </c:pt>
                <c:pt idx="1">
                  <c:v>0.20244469970579745</c:v>
                </c:pt>
                <c:pt idx="2">
                  <c:v>0.10255055301929512</c:v>
                </c:pt>
                <c:pt idx="3">
                  <c:v>5.283196088157114E-2</c:v>
                </c:pt>
                <c:pt idx="4">
                  <c:v>2.8396434090459444E-2</c:v>
                </c:pt>
                <c:pt idx="5">
                  <c:v>2.0184164865056059E-2</c:v>
                </c:pt>
                <c:pt idx="6">
                  <c:v>1.5484849037100604E-2</c:v>
                </c:pt>
                <c:pt idx="7">
                  <c:v>1.1997369744629205E-2</c:v>
                </c:pt>
                <c:pt idx="8">
                  <c:v>9.2380104232467862E-3</c:v>
                </c:pt>
                <c:pt idx="9">
                  <c:v>7.1009336693922962E-3</c:v>
                </c:pt>
                <c:pt idx="10">
                  <c:v>5.5020843905040934E-3</c:v>
                </c:pt>
                <c:pt idx="11">
                  <c:v>4.3328788175448565E-3</c:v>
                </c:pt>
                <c:pt idx="12">
                  <c:v>3.4834166523360775E-3</c:v>
                </c:pt>
                <c:pt idx="13">
                  <c:v>2.8616167448859095E-3</c:v>
                </c:pt>
                <c:pt idx="14">
                  <c:v>2.398498224880996E-3</c:v>
                </c:pt>
                <c:pt idx="15">
                  <c:v>2.0455644724820237E-3</c:v>
                </c:pt>
                <c:pt idx="16">
                  <c:v>1.7698379101511389E-3</c:v>
                </c:pt>
                <c:pt idx="17">
                  <c:v>1.5492036754003349E-3</c:v>
                </c:pt>
                <c:pt idx="18">
                  <c:v>1.3688452668734574E-3</c:v>
                </c:pt>
                <c:pt idx="19">
                  <c:v>1.2187550032950539E-3</c:v>
                </c:pt>
                <c:pt idx="20">
                  <c:v>1.0920730564827666E-3</c:v>
                </c:pt>
                <c:pt idx="21">
                  <c:v>9.8400370785262981E-4</c:v>
                </c:pt>
                <c:pt idx="22">
                  <c:v>8.9111441181082972E-4</c:v>
                </c:pt>
                <c:pt idx="23">
                  <c:v>8.1088268028920742E-4</c:v>
                </c:pt>
                <c:pt idx="24">
                  <c:v>7.4140176232851383E-4</c:v>
                </c:pt>
                <c:pt idx="25">
                  <c:v>6.8118786493963292E-4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exercise_PVT!$E$27:$E$52</c:f>
              <c:numCache>
                <c:formatCode>0.00</c:formatCode>
                <c:ptCount val="26"/>
                <c:pt idx="0">
                  <c:v>1.0554189485394045</c:v>
                </c:pt>
                <c:pt idx="1">
                  <c:v>1.059235904182513</c:v>
                </c:pt>
                <c:pt idx="2">
                  <c:v>1.0650975614866496</c:v>
                </c:pt>
                <c:pt idx="3">
                  <c:v>1.0788089123577109</c:v>
                </c:pt>
                <c:pt idx="4">
                  <c:v>1.1113798812672513</c:v>
                </c:pt>
                <c:pt idx="5">
                  <c:v>1.1489829174197366</c:v>
                </c:pt>
                <c:pt idx="6">
                  <c:v>1.1906475291126537</c:v>
                </c:pt>
                <c:pt idx="7">
                  <c:v>1.2358325078546537</c:v>
                </c:pt>
                <c:pt idx="8">
                  <c:v>1.2841720562398828</c:v>
                </c:pt>
                <c:pt idx="9">
                  <c:v>1.3353943914027711</c:v>
                </c:pt>
                <c:pt idx="10">
                  <c:v>1.3892859932746591</c:v>
                </c:pt>
                <c:pt idx="11">
                  <c:v>1.4076661699859636</c:v>
                </c:pt>
                <c:pt idx="12">
                  <c:v>1.4020824092810213</c:v>
                </c:pt>
                <c:pt idx="13">
                  <c:v>1.3975303562155545</c:v>
                </c:pt>
                <c:pt idx="14">
                  <c:v>1.393748270110204</c:v>
                </c:pt>
                <c:pt idx="15">
                  <c:v>1.3905560389699005</c:v>
                </c:pt>
                <c:pt idx="16">
                  <c:v>1.3878256608128681</c:v>
                </c:pt>
                <c:pt idx="17">
                  <c:v>1.3854636700215823</c:v>
                </c:pt>
                <c:pt idx="18">
                  <c:v>1.3834002259347453</c:v>
                </c:pt>
                <c:pt idx="19">
                  <c:v>1.3815820922600344</c:v>
                </c:pt>
                <c:pt idx="20">
                  <c:v>1.3799679795207096</c:v>
                </c:pt>
                <c:pt idx="21">
                  <c:v>1.3785253719239052</c:v>
                </c:pt>
                <c:pt idx="22">
                  <c:v>1.3772283145491517</c:v>
                </c:pt>
                <c:pt idx="23">
                  <c:v>1.3760558380748591</c:v>
                </c:pt>
                <c:pt idx="24">
                  <c:v>1.3749908165695357</c:v>
                </c:pt>
                <c:pt idx="25">
                  <c:v>1.3740191255374714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exercise_PVT!$L$27:$L$52</c:f>
              <c:numCache>
                <c:formatCode>0.000</c:formatCode>
                <c:ptCount val="26"/>
                <c:pt idx="0">
                  <c:v>1.2067828974920884</c:v>
                </c:pt>
                <c:pt idx="1">
                  <c:v>0.23903855309019043</c:v>
                </c:pt>
                <c:pt idx="2">
                  <c:v>0.11803796882989559</c:v>
                </c:pt>
                <c:pt idx="3">
                  <c:v>5.7455586750081569E-2</c:v>
                </c:pt>
                <c:pt idx="4">
                  <c:v>2.6984423776092736E-2</c:v>
                </c:pt>
                <c:pt idx="5">
                  <c:v>1.6770034588919642E-2</c:v>
                </c:pt>
                <c:pt idx="6">
                  <c:v>1.1773248696891602E-2</c:v>
                </c:pt>
                <c:pt idx="7">
                  <c:v>8.9561993641653972E-3</c:v>
                </c:pt>
                <c:pt idx="8">
                  <c:v>7.2502223943708829E-3</c:v>
                </c:pt>
                <c:pt idx="9">
                  <c:v>6.1630510635802375E-3</c:v>
                </c:pt>
                <c:pt idx="10">
                  <c:v>5.4374919465490761E-3</c:v>
                </c:pt>
                <c:pt idx="11">
                  <c:v>4.931113500924943E-3</c:v>
                </c:pt>
                <c:pt idx="12">
                  <c:v>4.5623354978271882E-3</c:v>
                </c:pt>
                <c:pt idx="13">
                  <c:v>4.2831491859495491E-3</c:v>
                </c:pt>
                <c:pt idx="14">
                  <c:v>4.0645327163799615E-3</c:v>
                </c:pt>
                <c:pt idx="15">
                  <c:v>3.8884304460332542E-3</c:v>
                </c:pt>
                <c:pt idx="16">
                  <c:v>3.7432561410045105E-3</c:v>
                </c:pt>
                <c:pt idx="17">
                  <c:v>3.6213280108057101E-3</c:v>
                </c:pt>
                <c:pt idx="18">
                  <c:v>3.5173793984972228E-3</c:v>
                </c:pt>
                <c:pt idx="19">
                  <c:v>3.4276773068663323E-3</c:v>
                </c:pt>
                <c:pt idx="20">
                  <c:v>3.3494898123093814E-3</c:v>
                </c:pt>
                <c:pt idx="21">
                  <c:v>3.2807571595750099E-3</c:v>
                </c:pt>
                <c:pt idx="22">
                  <c:v>3.2198839584322157E-3</c:v>
                </c:pt>
                <c:pt idx="23">
                  <c:v>3.1656047937475094E-3</c:v>
                </c:pt>
                <c:pt idx="24">
                  <c:v>3.1168952511056542E-3</c:v>
                </c:pt>
                <c:pt idx="25">
                  <c:v>3.0729116310616168E-3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exercise_PVT!$M$26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exercise_PVT!$M$27:$M$52</c:f>
              <c:numCache>
                <c:formatCode>0.000</c:formatCode>
                <c:ptCount val="26"/>
                <c:pt idx="0">
                  <c:v>1.0303260611055958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exercise_PVT!$D$26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exercise_PVT!$D$27:$D$52</c:f>
              <c:numCache>
                <c:formatCode>0</c:formatCode>
                <c:ptCount val="26"/>
                <c:pt idx="0">
                  <c:v>0.25089974166166029</c:v>
                </c:pt>
                <c:pt idx="1">
                  <c:v>1.7420479281022418</c:v>
                </c:pt>
                <c:pt idx="2">
                  <c:v>4.0132869615225495</c:v>
                </c:pt>
                <c:pt idx="3">
                  <c:v>9.2457113123592549</c:v>
                </c:pt>
                <c:pt idx="4">
                  <c:v>21.300041210872571</c:v>
                </c:pt>
                <c:pt idx="5">
                  <c:v>34.705181468301603</c:v>
                </c:pt>
                <c:pt idx="6">
                  <c:v>49.070508504672326</c:v>
                </c:pt>
                <c:pt idx="7">
                  <c:v>64.194853804379633</c:v>
                </c:pt>
                <c:pt idx="8">
                  <c:v>79.952939317657112</c:v>
                </c:pt>
                <c:pt idx="9">
                  <c:v>96.258340269521014</c:v>
                </c:pt>
                <c:pt idx="10">
                  <c:v>113.04742470066222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exercise_PVT!$E$27:$E$52</c:f>
              <c:numCache>
                <c:formatCode>0.00</c:formatCode>
                <c:ptCount val="26"/>
                <c:pt idx="0">
                  <c:v>1.0554189485394045</c:v>
                </c:pt>
                <c:pt idx="1">
                  <c:v>1.059235904182513</c:v>
                </c:pt>
                <c:pt idx="2">
                  <c:v>1.0650975614866496</c:v>
                </c:pt>
                <c:pt idx="3">
                  <c:v>1.0788089123577109</c:v>
                </c:pt>
                <c:pt idx="4">
                  <c:v>1.1113798812672513</c:v>
                </c:pt>
                <c:pt idx="5">
                  <c:v>1.1489829174197366</c:v>
                </c:pt>
                <c:pt idx="6">
                  <c:v>1.1906475291126537</c:v>
                </c:pt>
                <c:pt idx="7">
                  <c:v>1.2358325078546537</c:v>
                </c:pt>
                <c:pt idx="8">
                  <c:v>1.2841720562398828</c:v>
                </c:pt>
                <c:pt idx="9">
                  <c:v>1.3353943914027711</c:v>
                </c:pt>
                <c:pt idx="10">
                  <c:v>1.3892859932746591</c:v>
                </c:pt>
                <c:pt idx="11">
                  <c:v>1.4076661699859636</c:v>
                </c:pt>
                <c:pt idx="12">
                  <c:v>1.4020824092810213</c:v>
                </c:pt>
                <c:pt idx="13">
                  <c:v>1.3975303562155545</c:v>
                </c:pt>
                <c:pt idx="14">
                  <c:v>1.393748270110204</c:v>
                </c:pt>
                <c:pt idx="15">
                  <c:v>1.3905560389699005</c:v>
                </c:pt>
                <c:pt idx="16">
                  <c:v>1.3878256608128681</c:v>
                </c:pt>
                <c:pt idx="17">
                  <c:v>1.3854636700215823</c:v>
                </c:pt>
                <c:pt idx="18">
                  <c:v>1.3834002259347453</c:v>
                </c:pt>
                <c:pt idx="19">
                  <c:v>1.3815820922600344</c:v>
                </c:pt>
                <c:pt idx="20">
                  <c:v>1.3799679795207096</c:v>
                </c:pt>
                <c:pt idx="21">
                  <c:v>1.3785253719239052</c:v>
                </c:pt>
                <c:pt idx="22">
                  <c:v>1.3772283145491517</c:v>
                </c:pt>
                <c:pt idx="23">
                  <c:v>1.3760558380748591</c:v>
                </c:pt>
                <c:pt idx="24">
                  <c:v>1.3749908165695357</c:v>
                </c:pt>
                <c:pt idx="25">
                  <c:v>1.3740191255374714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0F5-9F97-B6024E10C659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exercise_PVT!$L$27:$L$52</c:f>
              <c:numCache>
                <c:formatCode>0.000</c:formatCode>
                <c:ptCount val="26"/>
                <c:pt idx="0">
                  <c:v>1.2067828974920884</c:v>
                </c:pt>
                <c:pt idx="1">
                  <c:v>0.23903855309019043</c:v>
                </c:pt>
                <c:pt idx="2">
                  <c:v>0.11803796882989559</c:v>
                </c:pt>
                <c:pt idx="3">
                  <c:v>5.7455586750081569E-2</c:v>
                </c:pt>
                <c:pt idx="4">
                  <c:v>2.6984423776092736E-2</c:v>
                </c:pt>
                <c:pt idx="5">
                  <c:v>1.6770034588919642E-2</c:v>
                </c:pt>
                <c:pt idx="6">
                  <c:v>1.1773248696891602E-2</c:v>
                </c:pt>
                <c:pt idx="7">
                  <c:v>8.9561993641653972E-3</c:v>
                </c:pt>
                <c:pt idx="8">
                  <c:v>7.2502223943708829E-3</c:v>
                </c:pt>
                <c:pt idx="9">
                  <c:v>6.1630510635802375E-3</c:v>
                </c:pt>
                <c:pt idx="10">
                  <c:v>5.4374919465490761E-3</c:v>
                </c:pt>
                <c:pt idx="11">
                  <c:v>4.931113500924943E-3</c:v>
                </c:pt>
                <c:pt idx="12">
                  <c:v>4.5623354978271882E-3</c:v>
                </c:pt>
                <c:pt idx="13">
                  <c:v>4.2831491859495491E-3</c:v>
                </c:pt>
                <c:pt idx="14">
                  <c:v>4.0645327163799615E-3</c:v>
                </c:pt>
                <c:pt idx="15">
                  <c:v>3.8884304460332542E-3</c:v>
                </c:pt>
                <c:pt idx="16">
                  <c:v>3.7432561410045105E-3</c:v>
                </c:pt>
                <c:pt idx="17">
                  <c:v>3.6213280108057101E-3</c:v>
                </c:pt>
                <c:pt idx="18">
                  <c:v>3.5173793984972228E-3</c:v>
                </c:pt>
                <c:pt idx="19">
                  <c:v>3.4276773068663323E-3</c:v>
                </c:pt>
                <c:pt idx="20">
                  <c:v>3.3494898123093814E-3</c:v>
                </c:pt>
                <c:pt idx="21">
                  <c:v>3.2807571595750099E-3</c:v>
                </c:pt>
                <c:pt idx="22">
                  <c:v>3.2198839584322157E-3</c:v>
                </c:pt>
                <c:pt idx="23">
                  <c:v>3.1656047937475094E-3</c:v>
                </c:pt>
                <c:pt idx="24">
                  <c:v>3.1168952511056542E-3</c:v>
                </c:pt>
                <c:pt idx="25">
                  <c:v>3.0729116310616168E-3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C-40F5-9F97-B6024E10C659}"/>
            </c:ext>
          </c:extLst>
        </c:ser>
        <c:ser>
          <c:idx val="1"/>
          <c:order val="2"/>
          <c:tx>
            <c:strRef>
              <c:f>exercise_PVT!$M$26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exercise_PVT!$M$27:$M$52</c:f>
              <c:numCache>
                <c:formatCode>0.000</c:formatCode>
                <c:ptCount val="26"/>
                <c:pt idx="0">
                  <c:v>1.0303260611055958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C-40F5-9F97-B6024E10C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exercise_PVT!$F$26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exercise_PVT!$B$125:$B$150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exercise_PVT!$I$125:$I$150</c:f>
              <c:numCache>
                <c:formatCode>0.00</c:formatCode>
                <c:ptCount val="26"/>
                <c:pt idx="0">
                  <c:v>2.1560049658298901</c:v>
                </c:pt>
                <c:pt idx="1">
                  <c:v>1.7058274405176901</c:v>
                </c:pt>
                <c:pt idx="2">
                  <c:v>1.55416395496072</c:v>
                </c:pt>
                <c:pt idx="3">
                  <c:v>1.3832511780377701</c:v>
                </c:pt>
                <c:pt idx="4">
                  <c:v>1.1849931712022801</c:v>
                </c:pt>
                <c:pt idx="5">
                  <c:v>1.05211434092468</c:v>
                </c:pt>
                <c:pt idx="6">
                  <c:v>0.94862964562263596</c:v>
                </c:pt>
                <c:pt idx="7">
                  <c:v>0.86281251384627</c:v>
                </c:pt>
                <c:pt idx="8">
                  <c:v>0.78935474051698695</c:v>
                </c:pt>
                <c:pt idx="9">
                  <c:v>0.72538606380474202</c:v>
                </c:pt>
                <c:pt idx="10">
                  <c:v>0.66915506351068599</c:v>
                </c:pt>
                <c:pt idx="11">
                  <c:v>0.67156328784202901</c:v>
                </c:pt>
                <c:pt idx="12">
                  <c:v>0.68405861996322204</c:v>
                </c:pt>
                <c:pt idx="13">
                  <c:v>0.69655395208441495</c:v>
                </c:pt>
                <c:pt idx="14">
                  <c:v>0.70904928420560798</c:v>
                </c:pt>
                <c:pt idx="15">
                  <c:v>0.721544616326801</c:v>
                </c:pt>
                <c:pt idx="16">
                  <c:v>0.73403994844799403</c:v>
                </c:pt>
                <c:pt idx="17">
                  <c:v>0.74653528056918705</c:v>
                </c:pt>
                <c:pt idx="18">
                  <c:v>0.75903061269037997</c:v>
                </c:pt>
                <c:pt idx="19">
                  <c:v>0.77152594481157299</c:v>
                </c:pt>
                <c:pt idx="20">
                  <c:v>0.78402127693276602</c:v>
                </c:pt>
                <c:pt idx="21">
                  <c:v>0.79651660905395905</c:v>
                </c:pt>
                <c:pt idx="22">
                  <c:v>0.80901194117515196</c:v>
                </c:pt>
                <c:pt idx="23">
                  <c:v>0.82150727329634499</c:v>
                </c:pt>
                <c:pt idx="24">
                  <c:v>0.83400260541753801</c:v>
                </c:pt>
                <c:pt idx="25">
                  <c:v>0.84649793753873004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B-442A-B6CB-F315A64F0BC6}"/>
            </c:ext>
          </c:extLst>
        </c:ser>
        <c:ser>
          <c:idx val="1"/>
          <c:order val="1"/>
          <c:tx>
            <c:strRef>
              <c:f>exercise_PVT!$H$26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exercise_PVT!$B$125:$B$150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exercise_PVT!$K$125:$K$150</c:f>
              <c:numCache>
                <c:formatCode>0.00</c:formatCode>
                <c:ptCount val="26"/>
                <c:pt idx="0">
                  <c:v>0.49450516561346203</c:v>
                </c:pt>
                <c:pt idx="1">
                  <c:v>0.49568448521335701</c:v>
                </c:pt>
                <c:pt idx="2">
                  <c:v>0.49717356350540998</c:v>
                </c:pt>
                <c:pt idx="3">
                  <c:v>0.50020148273013199</c:v>
                </c:pt>
                <c:pt idx="4">
                  <c:v>0.50645637174203595</c:v>
                </c:pt>
                <c:pt idx="5">
                  <c:v>0.51297666150388799</c:v>
                </c:pt>
                <c:pt idx="6">
                  <c:v>0.51976235201568799</c:v>
                </c:pt>
                <c:pt idx="7">
                  <c:v>0.52681344327743596</c:v>
                </c:pt>
                <c:pt idx="8">
                  <c:v>0.534129935289131</c:v>
                </c:pt>
                <c:pt idx="9">
                  <c:v>0.541711828050775</c:v>
                </c:pt>
                <c:pt idx="10">
                  <c:v>0.54955912156236597</c:v>
                </c:pt>
                <c:pt idx="11">
                  <c:v>0.55767181582390601</c:v>
                </c:pt>
                <c:pt idx="12">
                  <c:v>0.56604991083539302</c:v>
                </c:pt>
                <c:pt idx="13">
                  <c:v>0.57469340659682799</c:v>
                </c:pt>
                <c:pt idx="14">
                  <c:v>0.58360230310821104</c:v>
                </c:pt>
                <c:pt idx="15">
                  <c:v>0.59277660036954205</c:v>
                </c:pt>
                <c:pt idx="16">
                  <c:v>0.60221629838082102</c:v>
                </c:pt>
                <c:pt idx="17">
                  <c:v>0.61192139714204796</c:v>
                </c:pt>
                <c:pt idx="18">
                  <c:v>0.62189189665322298</c:v>
                </c:pt>
                <c:pt idx="19">
                  <c:v>0.63212779691434595</c:v>
                </c:pt>
                <c:pt idx="20">
                  <c:v>0.642629097925416</c:v>
                </c:pt>
                <c:pt idx="21">
                  <c:v>0.65339579968643502</c:v>
                </c:pt>
                <c:pt idx="22">
                  <c:v>0.664427902197401</c:v>
                </c:pt>
                <c:pt idx="23">
                  <c:v>0.67572540545831505</c:v>
                </c:pt>
                <c:pt idx="24">
                  <c:v>0.68728830946917696</c:v>
                </c:pt>
                <c:pt idx="25">
                  <c:v>0.69911661422998705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7B-442A-B6CB-F315A64F0BC6}"/>
            </c:ext>
          </c:extLst>
        </c:ser>
        <c:ser>
          <c:idx val="2"/>
          <c:order val="2"/>
          <c:tx>
            <c:strRef>
              <c:f>exercise_PVT!$G$26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exercise_PVT!$J$125:$J$150</c:f>
              <c:numCache>
                <c:formatCode>0.00</c:formatCode>
                <c:ptCount val="26"/>
                <c:pt idx="0">
                  <c:v>1.1660919395050101E-2</c:v>
                </c:pt>
                <c:pt idx="1">
                  <c:v>1.1716093611280801E-2</c:v>
                </c:pt>
                <c:pt idx="2">
                  <c:v>1.1808987320130899E-2</c:v>
                </c:pt>
                <c:pt idx="3">
                  <c:v>1.20480710401587E-2</c:v>
                </c:pt>
                <c:pt idx="4">
                  <c:v>1.27184512770108E-2</c:v>
                </c:pt>
                <c:pt idx="5">
                  <c:v>1.3682645275706401E-2</c:v>
                </c:pt>
                <c:pt idx="6">
                  <c:v>1.49958249568269E-2</c:v>
                </c:pt>
                <c:pt idx="7">
                  <c:v>1.6662090323001599E-2</c:v>
                </c:pt>
                <c:pt idx="8">
                  <c:v>1.8612671003194099E-2</c:v>
                </c:pt>
                <c:pt idx="9">
                  <c:v>2.0733492057591601E-2</c:v>
                </c:pt>
                <c:pt idx="10">
                  <c:v>2.2911561151152698E-2</c:v>
                </c:pt>
                <c:pt idx="11">
                  <c:v>2.5065367115478101E-2</c:v>
                </c:pt>
                <c:pt idx="12">
                  <c:v>2.7149989853059699E-2</c:v>
                </c:pt>
                <c:pt idx="13">
                  <c:v>2.9147599743131501E-2</c:v>
                </c:pt>
                <c:pt idx="14">
                  <c:v>3.10555308872686E-2</c:v>
                </c:pt>
                <c:pt idx="15">
                  <c:v>3.2877589940684501E-2</c:v>
                </c:pt>
                <c:pt idx="16">
                  <c:v>3.4619250690228802E-2</c:v>
                </c:pt>
                <c:pt idx="17">
                  <c:v>3.6285578432125397E-2</c:v>
                </c:pt>
                <c:pt idx="18">
                  <c:v>3.7880656112842699E-2</c:v>
                </c:pt>
                <c:pt idx="19">
                  <c:v>3.9407689305848002E-2</c:v>
                </c:pt>
                <c:pt idx="20">
                  <c:v>4.0869339901965202E-2</c:v>
                </c:pt>
                <c:pt idx="21">
                  <c:v>4.2268075916358401E-2</c:v>
                </c:pt>
                <c:pt idx="22">
                  <c:v>4.3606453351793903E-2</c:v>
                </c:pt>
                <c:pt idx="23">
                  <c:v>4.4887308467026897E-2</c:v>
                </c:pt>
                <c:pt idx="24">
                  <c:v>4.6113865949030899E-2</c:v>
                </c:pt>
                <c:pt idx="25">
                  <c:v>4.7289778277559397E-2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7B-442A-B6CB-F315A64F0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exercise_PVT!$K$26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exercise_PVT!$B$125:$B$150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exercise_PVT!$L$125:$L$150</c:f>
              <c:numCache>
                <c:formatCode>0</c:formatCode>
                <c:ptCount val="26"/>
                <c:pt idx="0">
                  <c:v>811.02344614281003</c:v>
                </c:pt>
                <c:pt idx="1">
                  <c:v>795.77638808590302</c:v>
                </c:pt>
                <c:pt idx="2">
                  <c:v>789.26321751579098</c:v>
                </c:pt>
                <c:pt idx="3">
                  <c:v>780.84804434291505</c:v>
                </c:pt>
                <c:pt idx="4">
                  <c:v>769.28166420221498</c:v>
                </c:pt>
                <c:pt idx="5">
                  <c:v>760.07367169177405</c:v>
                </c:pt>
                <c:pt idx="6">
                  <c:v>751.79475472769502</c:v>
                </c:pt>
                <c:pt idx="7">
                  <c:v>743.962571297512</c:v>
                </c:pt>
                <c:pt idx="8">
                  <c:v>736.36499538129101</c:v>
                </c:pt>
                <c:pt idx="9">
                  <c:v>728.89938857871596</c:v>
                </c:pt>
                <c:pt idx="10">
                  <c:v>721.51642900332502</c:v>
                </c:pt>
                <c:pt idx="11">
                  <c:v>723.26812533755196</c:v>
                </c:pt>
                <c:pt idx="12">
                  <c:v>726.07627955374005</c:v>
                </c:pt>
                <c:pt idx="13">
                  <c:v>728.38196797538706</c:v>
                </c:pt>
                <c:pt idx="14">
                  <c:v>730.30896706379497</c:v>
                </c:pt>
                <c:pt idx="15">
                  <c:v>731.94348612067995</c:v>
                </c:pt>
                <c:pt idx="16">
                  <c:v>733.34741381314802</c:v>
                </c:pt>
                <c:pt idx="17">
                  <c:v>734.566329176316</c:v>
                </c:pt>
                <c:pt idx="18">
                  <c:v>735.63454194911697</c:v>
                </c:pt>
                <c:pt idx="19">
                  <c:v>736.57837258183304</c:v>
                </c:pt>
                <c:pt idx="20">
                  <c:v>737.41834969551599</c:v>
                </c:pt>
                <c:pt idx="21">
                  <c:v>738.17072008482501</c:v>
                </c:pt>
                <c:pt idx="22">
                  <c:v>738.84850973277503</c:v>
                </c:pt>
                <c:pt idx="23">
                  <c:v>739.462284233329</c:v>
                </c:pt>
                <c:pt idx="24">
                  <c:v>740.02070349292796</c:v>
                </c:pt>
                <c:pt idx="25">
                  <c:v>740.53093283893395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27-48EA-B8B3-42B601DCB71E}"/>
            </c:ext>
          </c:extLst>
        </c:ser>
        <c:ser>
          <c:idx val="1"/>
          <c:order val="1"/>
          <c:tx>
            <c:strRef>
              <c:f>exercise_PVT!$J$26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exercise_PVT!$B$125:$B$150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exercise_PVT!$N$125:$N$150</c:f>
              <c:numCache>
                <c:formatCode>0</c:formatCode>
                <c:ptCount val="26"/>
                <c:pt idx="0">
                  <c:v>1067.62319378745</c:v>
                </c:pt>
                <c:pt idx="1">
                  <c:v>1067.6686358168499</c:v>
                </c:pt>
                <c:pt idx="2">
                  <c:v>1067.7280970806901</c:v>
                </c:pt>
                <c:pt idx="3">
                  <c:v>1067.85588583551</c:v>
                </c:pt>
                <c:pt idx="4">
                  <c:v>1068.1469589671799</c:v>
                </c:pt>
                <c:pt idx="5">
                  <c:v>1068.4854253338599</c:v>
                </c:pt>
                <c:pt idx="6">
                  <c:v>1068.87137491058</c:v>
                </c:pt>
                <c:pt idx="7">
                  <c:v>1069.30491039923</c:v>
                </c:pt>
                <c:pt idx="8">
                  <c:v>1069.7861472969801</c:v>
                </c:pt>
                <c:pt idx="9">
                  <c:v>1070.31521397345</c:v>
                </c:pt>
                <c:pt idx="10">
                  <c:v>1070.89225175655</c:v>
                </c:pt>
                <c:pt idx="11">
                  <c:v>1071.5174150272401</c:v>
                </c:pt>
                <c:pt idx="12">
                  <c:v>1072.1908713232201</c:v>
                </c:pt>
                <c:pt idx="13">
                  <c:v>1072.9128014517901</c:v>
                </c:pt>
                <c:pt idx="14">
                  <c:v>1073.6833996118901</c:v>
                </c:pt>
                <c:pt idx="15">
                  <c:v>1074.5028735256301</c:v>
                </c:pt>
                <c:pt idx="16">
                  <c:v>1075.37144457931</c:v>
                </c:pt>
                <c:pt idx="17">
                  <c:v>1076.28934797429</c:v>
                </c:pt>
                <c:pt idx="18">
                  <c:v>1077.2568328877101</c:v>
                </c:pt>
                <c:pt idx="19">
                  <c:v>1078.2741626434299</c:v>
                </c:pt>
                <c:pt idx="20">
                  <c:v>1079.34161489335</c:v>
                </c:pt>
                <c:pt idx="21">
                  <c:v>1080.4594818093101</c:v>
                </c:pt>
                <c:pt idx="22">
                  <c:v>1081.6280702858701</c:v>
                </c:pt>
                <c:pt idx="23">
                  <c:v>1082.8477021541901</c:v>
                </c:pt>
                <c:pt idx="24">
                  <c:v>1084.1187144074199</c:v>
                </c:pt>
                <c:pt idx="25">
                  <c:v>1085.4414594376599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27-48EA-B8B3-42B601DCB71E}"/>
            </c:ext>
          </c:extLst>
        </c:ser>
        <c:ser>
          <c:idx val="2"/>
          <c:order val="2"/>
          <c:tx>
            <c:strRef>
              <c:f>exercise_PVT!$I$26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exercise_PVT!$B$125:$B$150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exercise_PVT!$M$125:$M$150</c:f>
              <c:numCache>
                <c:formatCode>0</c:formatCode>
                <c:ptCount val="26"/>
                <c:pt idx="0">
                  <c:v>0.91112494408482303</c:v>
                </c:pt>
                <c:pt idx="1">
                  <c:v>4.59980193899995</c:v>
                </c:pt>
                <c:pt idx="2">
                  <c:v>9.3150535450549103</c:v>
                </c:pt>
                <c:pt idx="3">
                  <c:v>19.137042404295698</c:v>
                </c:pt>
                <c:pt idx="4">
                  <c:v>40.746840070535299</c:v>
                </c:pt>
                <c:pt idx="5">
                  <c:v>65.565159938697207</c:v>
                </c:pt>
                <c:pt idx="6">
                  <c:v>93.392234234404697</c:v>
                </c:pt>
                <c:pt idx="7">
                  <c:v>122.767477061679</c:v>
                </c:pt>
                <c:pt idx="8">
                  <c:v>151.65465832519601</c:v>
                </c:pt>
                <c:pt idx="9">
                  <c:v>178.40676454841201</c:v>
                </c:pt>
                <c:pt idx="10">
                  <c:v>202.21271328922501</c:v>
                </c:pt>
                <c:pt idx="11">
                  <c:v>222.978035243715</c:v>
                </c:pt>
                <c:pt idx="12">
                  <c:v>241.00156608904601</c:v>
                </c:pt>
                <c:pt idx="13">
                  <c:v>256.71064729823098</c:v>
                </c:pt>
                <c:pt idx="14">
                  <c:v>270.51818172576702</c:v>
                </c:pt>
                <c:pt idx="15">
                  <c:v>282.76962009740299</c:v>
                </c:pt>
                <c:pt idx="16">
                  <c:v>293.736244216763</c:v>
                </c:pt>
                <c:pt idx="17">
                  <c:v>303.62618263772401</c:v>
                </c:pt>
                <c:pt idx="18">
                  <c:v>312.59920396126898</c:v>
                </c:pt>
                <c:pt idx="19">
                  <c:v>320.77990474698998</c:v>
                </c:pt>
                <c:pt idx="20">
                  <c:v>328.26790395338003</c:v>
                </c:pt>
                <c:pt idx="21">
                  <c:v>335.14519561162302</c:v>
                </c:pt>
                <c:pt idx="22">
                  <c:v>341.48125031666302</c:v>
                </c:pt>
                <c:pt idx="23">
                  <c:v>347.33647174521502</c:v>
                </c:pt>
                <c:pt idx="24">
                  <c:v>352.76450166554798</c:v>
                </c:pt>
                <c:pt idx="25">
                  <c:v>357.81373889366898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27-48EA-B8B3-42B601DCB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exercise_PVT!$U$26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exercise_PVT!$O$125:$O$150</c:f>
              <c:numCache>
                <c:formatCode>0</c:formatCode>
                <c:ptCount val="26"/>
                <c:pt idx="0">
                  <c:v>0.49825868337260698</c:v>
                </c:pt>
                <c:pt idx="1">
                  <c:v>4.8300137799873598E-2</c:v>
                </c:pt>
                <c:pt idx="2">
                  <c:v>1.7678885216249399E-2</c:v>
                </c:pt>
                <c:pt idx="3">
                  <c:v>6.4708507413438303E-3</c:v>
                </c:pt>
                <c:pt idx="4">
                  <c:v>2.36847000275016E-3</c:v>
                </c:pt>
                <c:pt idx="5">
                  <c:v>1.31563543764799E-3</c:v>
                </c:pt>
                <c:pt idx="6">
                  <c:v>8.6691076307570097E-4</c:v>
                </c:pt>
                <c:pt idx="7">
                  <c:v>6.2727051814487995E-4</c:v>
                </c:pt>
                <c:pt idx="8">
                  <c:v>4.8155075633489502E-4</c:v>
                </c:pt>
                <c:pt idx="9">
                  <c:v>3.8509619217357E-4</c:v>
                </c:pt>
                <c:pt idx="10">
                  <c:v>3.1730791197011099E-4</c:v>
                </c:pt>
                <c:pt idx="11">
                  <c:v>2.37567700258398E-4</c:v>
                </c:pt>
                <c:pt idx="12">
                  <c:v>2.1381093023255799E-4</c:v>
                </c:pt>
                <c:pt idx="13">
                  <c:v>1.94373572938689E-4</c:v>
                </c:pt>
                <c:pt idx="14">
                  <c:v>1.78175775193799E-4</c:v>
                </c:pt>
                <c:pt idx="15">
                  <c:v>1.6446994633273701E-4</c:v>
                </c:pt>
                <c:pt idx="16">
                  <c:v>1.52722093023256E-4</c:v>
                </c:pt>
                <c:pt idx="17">
                  <c:v>1.42540620155039E-4</c:v>
                </c:pt>
                <c:pt idx="18">
                  <c:v>1.3363183139534899E-4</c:v>
                </c:pt>
                <c:pt idx="19">
                  <c:v>1.25771135430917E-4</c:v>
                </c:pt>
                <c:pt idx="20">
                  <c:v>1.18783850129199E-4</c:v>
                </c:pt>
                <c:pt idx="21">
                  <c:v>1.12532068543452E-4</c:v>
                </c:pt>
                <c:pt idx="22">
                  <c:v>1.0690546511627899E-4</c:v>
                </c:pt>
                <c:pt idx="23">
                  <c:v>1.01814728682171E-4</c:v>
                </c:pt>
                <c:pt idx="24">
                  <c:v>9.7186786469344606E-5</c:v>
                </c:pt>
                <c:pt idx="25">
                  <c:v>9.2961274014155705E-5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71-4A42-8D81-2838D6A4BFA5}"/>
            </c:ext>
          </c:extLst>
        </c:ser>
        <c:ser>
          <c:idx val="1"/>
          <c:order val="1"/>
          <c:tx>
            <c:strRef>
              <c:f>exercise_PVT!$T$26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pPr>
              <a:solidFill>
                <a:sysClr val="window" lastClr="FFFFFF">
                  <a:lumMod val="95000"/>
                </a:sysClr>
              </a:solidFill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exercise_PVT!$Q$125:$Q$150</c:f>
              <c:numCache>
                <c:formatCode>0.00E+00</c:formatCode>
                <c:ptCount val="26"/>
                <c:pt idx="0">
                  <c:v>3.78374620279512E-5</c:v>
                </c:pt>
                <c:pt idx="1">
                  <c:v>3.7796696500802801E-5</c:v>
                </c:pt>
                <c:pt idx="2">
                  <c:v>3.7745862951246003E-5</c:v>
                </c:pt>
                <c:pt idx="3">
                  <c:v>3.7644604954190997E-5</c:v>
                </c:pt>
                <c:pt idx="4">
                  <c:v>3.7443710085765802E-5</c:v>
                </c:pt>
                <c:pt idx="5">
                  <c:v>3.7244948033572399E-5</c:v>
                </c:pt>
                <c:pt idx="6">
                  <c:v>3.7048285012135802E-5</c:v>
                </c:pt>
                <c:pt idx="7">
                  <c:v>3.6853687945817697E-5</c:v>
                </c:pt>
                <c:pt idx="8">
                  <c:v>3.6661124450270998E-5</c:v>
                </c:pt>
                <c:pt idx="9">
                  <c:v>3.6470562814473901E-5</c:v>
                </c:pt>
                <c:pt idx="10">
                  <c:v>3.6281971983320802E-5</c:v>
                </c:pt>
                <c:pt idx="11">
                  <c:v>3.60953215407505E-5</c:v>
                </c:pt>
                <c:pt idx="12">
                  <c:v>3.5910581693392998E-5</c:v>
                </c:pt>
                <c:pt idx="13">
                  <c:v>3.5727723254715299E-5</c:v>
                </c:pt>
                <c:pt idx="14">
                  <c:v>3.5546717629650001E-5</c:v>
                </c:pt>
                <c:pt idx="15">
                  <c:v>3.5367536799687602E-5</c:v>
                </c:pt>
                <c:pt idx="16">
                  <c:v>3.5190153308418302E-5</c:v>
                </c:pt>
                <c:pt idx="17">
                  <c:v>3.5014540247507002E-5</c:v>
                </c:pt>
                <c:pt idx="18">
                  <c:v>3.4840671243084599E-5</c:v>
                </c:pt>
                <c:pt idx="19">
                  <c:v>3.4668520442544801E-5</c:v>
                </c:pt>
                <c:pt idx="20">
                  <c:v>3.4498062501728701E-5</c:v>
                </c:pt>
                <c:pt idx="21">
                  <c:v>3.4329272572486801E-5</c:v>
                </c:pt>
                <c:pt idx="22">
                  <c:v>3.41621262906035E-5</c:v>
                </c:pt>
                <c:pt idx="23">
                  <c:v>3.3996599764072998E-5</c:v>
                </c:pt>
                <c:pt idx="24">
                  <c:v>3.3832669561714799E-5</c:v>
                </c:pt>
                <c:pt idx="25">
                  <c:v>3.3670312702116297E-5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71-4A42-8D81-2838D6A4BFA5}"/>
            </c:ext>
          </c:extLst>
        </c:ser>
        <c:ser>
          <c:idx val="2"/>
          <c:order val="2"/>
          <c:tx>
            <c:strRef>
              <c:f>exercise_PVT!$V$26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exercise_PVT!$P$125:$P$150</c:f>
              <c:numCache>
                <c:formatCode>0.00E+00</c:formatCode>
                <c:ptCount val="26"/>
                <c:pt idx="0">
                  <c:v>1.0023857707950601</c:v>
                </c:pt>
                <c:pt idx="1">
                  <c:v>0.20244469970579701</c:v>
                </c:pt>
                <c:pt idx="2">
                  <c:v>0.102550553019295</c:v>
                </c:pt>
                <c:pt idx="3">
                  <c:v>5.2831960881571098E-2</c:v>
                </c:pt>
                <c:pt idx="4">
                  <c:v>2.8396434090459399E-2</c:v>
                </c:pt>
                <c:pt idx="5">
                  <c:v>2.0184164865056101E-2</c:v>
                </c:pt>
                <c:pt idx="6">
                  <c:v>1.5484849037100601E-2</c:v>
                </c:pt>
                <c:pt idx="7">
                  <c:v>1.1997369744629199E-2</c:v>
                </c:pt>
                <c:pt idx="8">
                  <c:v>9.2380104232467897E-3</c:v>
                </c:pt>
                <c:pt idx="9">
                  <c:v>7.1009336693922996E-3</c:v>
                </c:pt>
                <c:pt idx="10">
                  <c:v>5.50208439050409E-3</c:v>
                </c:pt>
                <c:pt idx="11">
                  <c:v>4.33287881754486E-3</c:v>
                </c:pt>
                <c:pt idx="12">
                  <c:v>3.4834166523360801E-3</c:v>
                </c:pt>
                <c:pt idx="13">
                  <c:v>2.8616167448859099E-3</c:v>
                </c:pt>
                <c:pt idx="14">
                  <c:v>2.3984982248809999E-3</c:v>
                </c:pt>
                <c:pt idx="15">
                  <c:v>2.0455644724820198E-3</c:v>
                </c:pt>
                <c:pt idx="16">
                  <c:v>1.76983791015114E-3</c:v>
                </c:pt>
                <c:pt idx="17">
                  <c:v>1.5492036754003299E-3</c:v>
                </c:pt>
                <c:pt idx="18">
                  <c:v>1.36884526687346E-3</c:v>
                </c:pt>
                <c:pt idx="19">
                  <c:v>1.21875500329505E-3</c:v>
                </c:pt>
                <c:pt idx="20">
                  <c:v>1.0920730564827699E-3</c:v>
                </c:pt>
                <c:pt idx="21">
                  <c:v>9.8400370785263003E-4</c:v>
                </c:pt>
                <c:pt idx="22">
                  <c:v>8.9111441181083004E-4</c:v>
                </c:pt>
                <c:pt idx="23">
                  <c:v>8.1088268028920699E-4</c:v>
                </c:pt>
                <c:pt idx="24">
                  <c:v>7.4140176232851405E-4</c:v>
                </c:pt>
                <c:pt idx="25">
                  <c:v>6.8118786493963303E-4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71-4A42-8D81-2838D6A4B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exercise_PVT!$D$26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exercise_PVT!$B$125:$B$150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exercise_PVT!$D$125:$D$150</c:f>
              <c:numCache>
                <c:formatCode>0</c:formatCode>
                <c:ptCount val="26"/>
                <c:pt idx="0">
                  <c:v>0.82921437497374595</c:v>
                </c:pt>
                <c:pt idx="1">
                  <c:v>17.715345948951001</c:v>
                </c:pt>
                <c:pt idx="2">
                  <c:v>25.2447578351907</c:v>
                </c:pt>
                <c:pt idx="3">
                  <c:v>35.332811720409403</c:v>
                </c:pt>
                <c:pt idx="4">
                  <c:v>49.912020624561201</c:v>
                </c:pt>
                <c:pt idx="5">
                  <c:v>62.094961243221803</c:v>
                </c:pt>
                <c:pt idx="6">
                  <c:v>73.454290979863799</c:v>
                </c:pt>
                <c:pt idx="7">
                  <c:v>84.539102352469499</c:v>
                </c:pt>
                <c:pt idx="8">
                  <c:v>95.607519269076704</c:v>
                </c:pt>
                <c:pt idx="9">
                  <c:v>106.800435141431</c:v>
                </c:pt>
                <c:pt idx="10">
                  <c:v>118.20199382909099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1A-4D6D-99B4-5D6A0379A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exercise_PVT!$B$125:$B$150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exercise_PVT!$F$125:$F$150</c:f>
              <c:numCache>
                <c:formatCode>0.00</c:formatCode>
                <c:ptCount val="26"/>
                <c:pt idx="0">
                  <c:v>1.06151277151872</c:v>
                </c:pt>
                <c:pt idx="1">
                  <c:v>1.10518302314382</c:v>
                </c:pt>
                <c:pt idx="2">
                  <c:v>1.12479252660063</c:v>
                </c:pt>
                <c:pt idx="3">
                  <c:v>1.15111959744655</c:v>
                </c:pt>
                <c:pt idx="4">
                  <c:v>1.1892650073573501</c:v>
                </c:pt>
                <c:pt idx="5">
                  <c:v>1.22129644442177</c:v>
                </c:pt>
                <c:pt idx="6">
                  <c:v>1.2513590852357599</c:v>
                </c:pt>
                <c:pt idx="7">
                  <c:v>1.2809156212625199</c:v>
                </c:pt>
                <c:pt idx="8">
                  <c:v>1.31065890110948</c:v>
                </c:pt>
                <c:pt idx="9">
                  <c:v>1.3409673512786899</c:v>
                </c:pt>
                <c:pt idx="10">
                  <c:v>1.3720638899968001</c:v>
                </c:pt>
                <c:pt idx="11">
                  <c:v>1.3714742365247401</c:v>
                </c:pt>
                <c:pt idx="12">
                  <c:v>1.36616995752797</c:v>
                </c:pt>
                <c:pt idx="13">
                  <c:v>1.3618453553390499</c:v>
                </c:pt>
                <c:pt idx="14">
                  <c:v>1.35825197927955</c:v>
                </c:pt>
                <c:pt idx="15">
                  <c:v>1.35521883698607</c:v>
                </c:pt>
                <c:pt idx="16">
                  <c:v>1.3526243923630199</c:v>
                </c:pt>
                <c:pt idx="17">
                  <c:v>1.35037989164612</c:v>
                </c:pt>
                <c:pt idx="18">
                  <c:v>1.348419008944</c:v>
                </c:pt>
                <c:pt idx="19">
                  <c:v>1.34669118307543</c:v>
                </c:pt>
                <c:pt idx="20">
                  <c:v>1.3451571966029601</c:v>
                </c:pt>
                <c:pt idx="21">
                  <c:v>1.3437861635666299</c:v>
                </c:pt>
                <c:pt idx="22">
                  <c:v>1.3425534286572001</c:v>
                </c:pt>
                <c:pt idx="23">
                  <c:v>1.34143907153891</c:v>
                </c:pt>
                <c:pt idx="24">
                  <c:v>1.3404268222740101</c:v>
                </c:pt>
                <c:pt idx="25">
                  <c:v>1.3395032617979099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81-4D69-B2C2-64CD355C8FB3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exercise_PVT!$B$125:$B$150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exercise_PVT!$G$125:$G$150</c:f>
              <c:numCache>
                <c:formatCode>0.00</c:formatCode>
                <c:ptCount val="26"/>
                <c:pt idx="0">
                  <c:v>1.20678289749209</c:v>
                </c:pt>
                <c:pt idx="1">
                  <c:v>0.23903855309019001</c:v>
                </c:pt>
                <c:pt idx="2">
                  <c:v>0.11803796882989601</c:v>
                </c:pt>
                <c:pt idx="3">
                  <c:v>5.7455586750081597E-2</c:v>
                </c:pt>
                <c:pt idx="4">
                  <c:v>2.6984423776092701E-2</c:v>
                </c:pt>
                <c:pt idx="5">
                  <c:v>1.67700345889196E-2</c:v>
                </c:pt>
                <c:pt idx="6">
                  <c:v>1.17732486968916E-2</c:v>
                </c:pt>
                <c:pt idx="7">
                  <c:v>8.9561993641654007E-3</c:v>
                </c:pt>
                <c:pt idx="8">
                  <c:v>7.2502223943708803E-3</c:v>
                </c:pt>
                <c:pt idx="9">
                  <c:v>6.1630510635802402E-3</c:v>
                </c:pt>
                <c:pt idx="10">
                  <c:v>5.4374919465490796E-3</c:v>
                </c:pt>
                <c:pt idx="11">
                  <c:v>4.9311135009249404E-3</c:v>
                </c:pt>
                <c:pt idx="12">
                  <c:v>4.5623354978271899E-3</c:v>
                </c:pt>
                <c:pt idx="13">
                  <c:v>4.28314918594955E-3</c:v>
                </c:pt>
                <c:pt idx="14">
                  <c:v>4.0645327163799597E-3</c:v>
                </c:pt>
                <c:pt idx="15">
                  <c:v>3.8884304460332498E-3</c:v>
                </c:pt>
                <c:pt idx="16">
                  <c:v>3.7432561410045101E-3</c:v>
                </c:pt>
                <c:pt idx="17">
                  <c:v>3.6213280108057101E-3</c:v>
                </c:pt>
                <c:pt idx="18">
                  <c:v>3.5173793984972202E-3</c:v>
                </c:pt>
                <c:pt idx="19">
                  <c:v>3.4276773068663302E-3</c:v>
                </c:pt>
                <c:pt idx="20">
                  <c:v>3.3494898123093801E-3</c:v>
                </c:pt>
                <c:pt idx="21">
                  <c:v>3.2807571595750099E-3</c:v>
                </c:pt>
                <c:pt idx="22">
                  <c:v>3.2198839584322201E-3</c:v>
                </c:pt>
                <c:pt idx="23">
                  <c:v>3.1656047937475098E-3</c:v>
                </c:pt>
                <c:pt idx="24">
                  <c:v>3.1168952511056499E-3</c:v>
                </c:pt>
                <c:pt idx="25">
                  <c:v>3.0729116310616198E-3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81-4D69-B2C2-64CD355C8FB3}"/>
            </c:ext>
          </c:extLst>
        </c:ser>
        <c:ser>
          <c:idx val="1"/>
          <c:order val="2"/>
          <c:tx>
            <c:strRef>
              <c:f>exercise_PVT!$M$26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exercise_PVT!$B$125:$B$150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exercise_PVT!$H$125:$H$150</c:f>
              <c:numCache>
                <c:formatCode>0.00</c:formatCode>
                <c:ptCount val="26"/>
                <c:pt idx="0">
                  <c:v>1.0303260611056</c:v>
                </c:pt>
                <c:pt idx="1">
                  <c:v>1.0302822084479599</c:v>
                </c:pt>
                <c:pt idx="2">
                  <c:v>1.03022483252763</c:v>
                </c:pt>
                <c:pt idx="3">
                  <c:v>1.03010154702602</c:v>
                </c:pt>
                <c:pt idx="4">
                  <c:v>1.029820841379</c:v>
                </c:pt>
                <c:pt idx="5">
                  <c:v>1.02949462287358</c:v>
                </c:pt>
                <c:pt idx="6">
                  <c:v>1.0291228915097701</c:v>
                </c:pt>
                <c:pt idx="7">
                  <c:v>1.02870564728755</c:v>
                </c:pt>
                <c:pt idx="8">
                  <c:v>1.02824289020694</c:v>
                </c:pt>
                <c:pt idx="9">
                  <c:v>1.02773462026794</c:v>
                </c:pt>
                <c:pt idx="10">
                  <c:v>1.02718083747053</c:v>
                </c:pt>
                <c:pt idx="11">
                  <c:v>1.0265815418147299</c:v>
                </c:pt>
                <c:pt idx="12">
                  <c:v>1.02593673330054</c:v>
                </c:pt>
                <c:pt idx="13">
                  <c:v>1.0252464119279401</c:v>
                </c:pt>
                <c:pt idx="14">
                  <c:v>1.0245105776969501</c:v>
                </c:pt>
                <c:pt idx="15">
                  <c:v>1.02372923060756</c:v>
                </c:pt>
                <c:pt idx="16">
                  <c:v>1.02290237065977</c:v>
                </c:pt>
                <c:pt idx="17">
                  <c:v>1.0220299978535801</c:v>
                </c:pt>
                <c:pt idx="18">
                  <c:v>1.0211121121890001</c:v>
                </c:pt>
                <c:pt idx="19">
                  <c:v>1.0201487136660199</c:v>
                </c:pt>
                <c:pt idx="20">
                  <c:v>1.0191398022846501</c:v>
                </c:pt>
                <c:pt idx="21">
                  <c:v>1.01808537804487</c:v>
                </c:pt>
                <c:pt idx="22">
                  <c:v>1.0169854409467001</c:v>
                </c:pt>
                <c:pt idx="23">
                  <c:v>1.0158399909901299</c:v>
                </c:pt>
                <c:pt idx="24">
                  <c:v>1.0146490281751701</c:v>
                </c:pt>
                <c:pt idx="25">
                  <c:v>1.0134125525018001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81-4D69-B2C2-64CD355C8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20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12</xdr:col>
      <xdr:colOff>533271</xdr:colOff>
      <xdr:row>56</xdr:row>
      <xdr:rowOff>90368</xdr:rowOff>
    </xdr:from>
    <xdr:to>
      <xdr:col>19</xdr:col>
      <xdr:colOff>478972</xdr:colOff>
      <xdr:row>79</xdr:row>
      <xdr:rowOff>44850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563504</xdr:colOff>
      <xdr:row>56</xdr:row>
      <xdr:rowOff>78547</xdr:rowOff>
    </xdr:from>
    <xdr:to>
      <xdr:col>27</xdr:col>
      <xdr:colOff>65314</xdr:colOff>
      <xdr:row>79</xdr:row>
      <xdr:rowOff>54430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531281</xdr:colOff>
      <xdr:row>79</xdr:row>
      <xdr:rowOff>157143</xdr:rowOff>
    </xdr:from>
    <xdr:to>
      <xdr:col>26</xdr:col>
      <xdr:colOff>68647</xdr:colOff>
      <xdr:row>102</xdr:row>
      <xdr:rowOff>126625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520267</xdr:colOff>
      <xdr:row>80</xdr:row>
      <xdr:rowOff>7336</xdr:rowOff>
    </xdr:from>
    <xdr:to>
      <xdr:col>19</xdr:col>
      <xdr:colOff>450892</xdr:colOff>
      <xdr:row>102</xdr:row>
      <xdr:rowOff>162534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150981</xdr:colOff>
      <xdr:row>56</xdr:row>
      <xdr:rowOff>66589</xdr:rowOff>
    </xdr:from>
    <xdr:to>
      <xdr:col>34</xdr:col>
      <xdr:colOff>431546</xdr:colOff>
      <xdr:row>79</xdr:row>
      <xdr:rowOff>58998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124878</xdr:colOff>
      <xdr:row>79</xdr:row>
      <xdr:rowOff>118751</xdr:rowOff>
    </xdr:from>
    <xdr:to>
      <xdr:col>12</xdr:col>
      <xdr:colOff>411466</xdr:colOff>
      <xdr:row>102</xdr:row>
      <xdr:rowOff>82642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231073</xdr:colOff>
      <xdr:row>56</xdr:row>
      <xdr:rowOff>85440</xdr:rowOff>
    </xdr:from>
    <xdr:to>
      <xdr:col>6</xdr:col>
      <xdr:colOff>30050</xdr:colOff>
      <xdr:row>79</xdr:row>
      <xdr:rowOff>54922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141676</xdr:colOff>
      <xdr:row>56</xdr:row>
      <xdr:rowOff>84162</xdr:rowOff>
    </xdr:from>
    <xdr:to>
      <xdr:col>12</xdr:col>
      <xdr:colOff>419778</xdr:colOff>
      <xdr:row>79</xdr:row>
      <xdr:rowOff>50420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5577126-ADC4-4096-8189-379C948C4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516511</xdr:colOff>
      <xdr:row>153</xdr:row>
      <xdr:rowOff>23779</xdr:rowOff>
    </xdr:from>
    <xdr:to>
      <xdr:col>20</xdr:col>
      <xdr:colOff>343149</xdr:colOff>
      <xdr:row>175</xdr:row>
      <xdr:rowOff>144949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A17E778-0454-40E3-93BA-FB3EE8CD6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427681</xdr:colOff>
      <xdr:row>153</xdr:row>
      <xdr:rowOff>11958</xdr:rowOff>
    </xdr:from>
    <xdr:to>
      <xdr:col>28</xdr:col>
      <xdr:colOff>24741</xdr:colOff>
      <xdr:row>175</xdr:row>
      <xdr:rowOff>154529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8BCD01CA-D275-43A0-80E9-07E5C0B35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28</xdr:col>
      <xdr:colOff>110408</xdr:colOff>
      <xdr:row>153</xdr:row>
      <xdr:rowOff>0</xdr:rowOff>
    </xdr:from>
    <xdr:to>
      <xdr:col>35</xdr:col>
      <xdr:colOff>390973</xdr:colOff>
      <xdr:row>175</xdr:row>
      <xdr:rowOff>159097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4B715110-18C2-41FC-A2DC-D8F9920F98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153</xdr:row>
      <xdr:rowOff>18851</xdr:rowOff>
    </xdr:from>
    <xdr:to>
      <xdr:col>6</xdr:col>
      <xdr:colOff>608602</xdr:colOff>
      <xdr:row>175</xdr:row>
      <xdr:rowOff>155021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A6481BC2-0D9E-495E-B4A8-F65AD796B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720228</xdr:colOff>
      <xdr:row>153</xdr:row>
      <xdr:rowOff>17573</xdr:rowOff>
    </xdr:from>
    <xdr:to>
      <xdr:col>13</xdr:col>
      <xdr:colOff>403018</xdr:colOff>
      <xdr:row>175</xdr:row>
      <xdr:rowOff>150519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8F68DE8F-D7B7-44B8-9D5F-DEA37BBFBC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json"/>
      <definedName name="encode_PVT"/>
      <definedName name="json_PVT_calc"/>
      <definedName name="PVT_bg_m3m3"/>
      <definedName name="PVT_bo_m3m3"/>
      <definedName name="PVT_bw_m3m3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B150"/>
  <sheetViews>
    <sheetView tabSelected="1" topLeftCell="A154" zoomScale="85" zoomScaleNormal="85" workbookViewId="0">
      <selection activeCell="C109" sqref="C109"/>
    </sheetView>
  </sheetViews>
  <sheetFormatPr defaultRowHeight="12.75" x14ac:dyDescent="0.2"/>
  <cols>
    <col min="1" max="1" width="12.28515625" customWidth="1"/>
    <col min="2" max="2" width="13.140625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1.7109375" customWidth="1"/>
    <col min="8" max="8" width="12.28515625" customWidth="1"/>
    <col min="9" max="9" width="10.5703125" bestFit="1" customWidth="1"/>
    <col min="10" max="10" width="11.28515625" customWidth="1"/>
    <col min="11" max="11" width="10.140625" customWidth="1"/>
    <col min="12" max="13" width="9" bestFit="1" customWidth="1"/>
    <col min="14" max="14" width="9.140625" customWidth="1"/>
    <col min="15" max="17" width="9" bestFit="1" customWidth="1"/>
    <col min="18" max="18" width="21" customWidth="1"/>
    <col min="19" max="19" width="12.7109375" bestFit="1" customWidth="1"/>
    <col min="20" max="21" width="10.5703125" bestFit="1" customWidth="1"/>
    <col min="22" max="25" width="9.140625" customWidth="1"/>
    <col min="26" max="26" width="11.140625" customWidth="1"/>
    <col min="27" max="32" width="9.140625" customWidth="1"/>
  </cols>
  <sheetData>
    <row r="1" spans="1:19" x14ac:dyDescent="0.2">
      <c r="A1" s="1" t="s">
        <v>19</v>
      </c>
      <c r="F1" t="s">
        <v>29</v>
      </c>
      <c r="G1" t="str">
        <f>[1]!unf_version()</f>
        <v>7.40</v>
      </c>
      <c r="H1" s="20" t="s">
        <v>42</v>
      </c>
      <c r="I1" s="24">
        <v>44973</v>
      </c>
      <c r="J1" s="25"/>
      <c r="K1" s="25"/>
      <c r="L1" s="26"/>
    </row>
    <row r="2" spans="1:19" x14ac:dyDescent="0.2">
      <c r="A2" t="s">
        <v>20</v>
      </c>
      <c r="H2" s="20" t="s">
        <v>43</v>
      </c>
      <c r="I2" s="27">
        <v>7.4</v>
      </c>
      <c r="J2" s="22"/>
      <c r="K2" s="22"/>
      <c r="L2" s="23"/>
    </row>
    <row r="3" spans="1:19" ht="15" x14ac:dyDescent="0.25">
      <c r="A3" s="21" t="s">
        <v>36</v>
      </c>
      <c r="B3" s="52" t="s">
        <v>57</v>
      </c>
      <c r="C3" s="52"/>
      <c r="D3" s="52"/>
      <c r="E3" s="53"/>
      <c r="H3" s="21" t="s">
        <v>36</v>
      </c>
      <c r="I3" s="54" t="s">
        <v>57</v>
      </c>
      <c r="J3" s="54"/>
      <c r="K3" s="54"/>
      <c r="L3" s="54"/>
    </row>
    <row r="4" spans="1:19" ht="15" x14ac:dyDescent="0.25">
      <c r="A4" s="21" t="s">
        <v>39</v>
      </c>
      <c r="B4" s="52" t="s">
        <v>40</v>
      </c>
      <c r="C4" s="52"/>
      <c r="D4" s="52"/>
      <c r="E4" s="53"/>
      <c r="H4" s="21" t="s">
        <v>39</v>
      </c>
      <c r="I4" s="55" t="s">
        <v>40</v>
      </c>
      <c r="J4" s="55"/>
      <c r="K4" s="55"/>
      <c r="L4" s="55"/>
    </row>
    <row r="5" spans="1:19" ht="15" x14ac:dyDescent="0.25">
      <c r="A5" s="21" t="s">
        <v>44</v>
      </c>
      <c r="B5" s="52" t="s">
        <v>38</v>
      </c>
      <c r="C5" s="52"/>
      <c r="D5" s="52"/>
      <c r="E5" s="53"/>
      <c r="H5" s="21" t="s">
        <v>44</v>
      </c>
      <c r="I5" s="55" t="s">
        <v>38</v>
      </c>
      <c r="J5" s="55"/>
      <c r="K5" s="55"/>
      <c r="L5" s="55"/>
    </row>
    <row r="6" spans="1:19" x14ac:dyDescent="0.2">
      <c r="A6" s="58" t="s">
        <v>37</v>
      </c>
      <c r="B6" s="61" t="s">
        <v>41</v>
      </c>
      <c r="C6" s="62"/>
      <c r="D6" s="62"/>
      <c r="E6" s="63"/>
      <c r="H6" s="70" t="s">
        <v>37</v>
      </c>
      <c r="I6" s="71" t="s">
        <v>41</v>
      </c>
      <c r="J6" s="71"/>
      <c r="K6" s="71"/>
      <c r="L6" s="71"/>
    </row>
    <row r="7" spans="1:19" x14ac:dyDescent="0.2">
      <c r="A7" s="59"/>
      <c r="B7" s="64"/>
      <c r="C7" s="65"/>
      <c r="D7" s="65"/>
      <c r="E7" s="66"/>
      <c r="H7" s="70"/>
      <c r="I7" s="71"/>
      <c r="J7" s="71"/>
      <c r="K7" s="71"/>
      <c r="L7" s="71"/>
    </row>
    <row r="8" spans="1:19" x14ac:dyDescent="0.2">
      <c r="A8" s="60"/>
      <c r="B8" s="67"/>
      <c r="C8" s="68"/>
      <c r="D8" s="68"/>
      <c r="E8" s="69"/>
      <c r="H8" s="70"/>
      <c r="I8" s="71"/>
      <c r="J8" s="71"/>
      <c r="K8" s="71"/>
      <c r="L8" s="71"/>
    </row>
    <row r="10" spans="1:19" x14ac:dyDescent="0.2">
      <c r="A10" s="1" t="s">
        <v>1</v>
      </c>
    </row>
    <row r="11" spans="1:19" ht="18.75" x14ac:dyDescent="0.35">
      <c r="B11" s="4" t="s">
        <v>9</v>
      </c>
      <c r="C11" s="2">
        <v>0.86</v>
      </c>
      <c r="D11" s="5"/>
      <c r="E11" s="15">
        <f>gamma_oil_*1000</f>
        <v>860</v>
      </c>
      <c r="F11" s="16" t="s">
        <v>18</v>
      </c>
    </row>
    <row r="12" spans="1:19" ht="18.75" x14ac:dyDescent="0.35">
      <c r="B12" s="3" t="s">
        <v>11</v>
      </c>
      <c r="C12" s="2">
        <v>1.1000000000000001</v>
      </c>
      <c r="D12" s="5"/>
      <c r="E12" s="15">
        <f>gamma_wat_*1000</f>
        <v>1100</v>
      </c>
      <c r="F12" s="16" t="s">
        <v>18</v>
      </c>
    </row>
    <row r="13" spans="1:19" ht="18.75" x14ac:dyDescent="0.35">
      <c r="B13" s="3" t="s">
        <v>10</v>
      </c>
      <c r="C13" s="2">
        <v>0.9</v>
      </c>
      <c r="D13" s="5"/>
      <c r="E13" s="15">
        <f>gamma_gas_*1.22</f>
        <v>1.0980000000000001</v>
      </c>
      <c r="F13" s="16" t="s">
        <v>18</v>
      </c>
    </row>
    <row r="14" spans="1:19" ht="18.75" x14ac:dyDescent="0.35">
      <c r="B14" s="6" t="s">
        <v>12</v>
      </c>
      <c r="C14" s="2">
        <v>120</v>
      </c>
      <c r="D14" s="3" t="s">
        <v>13</v>
      </c>
      <c r="E14" s="17">
        <f>Rsb_/gamma_oil_</f>
        <v>139.53488372093022</v>
      </c>
      <c r="F14" s="16" t="s">
        <v>31</v>
      </c>
    </row>
    <row r="15" spans="1:19" ht="18" x14ac:dyDescent="0.35">
      <c r="B15" s="3" t="s">
        <v>15</v>
      </c>
      <c r="C15" s="2"/>
      <c r="D15" s="3" t="s">
        <v>6</v>
      </c>
      <c r="E15" s="17">
        <f>Pb_*1.01325/10</f>
        <v>0</v>
      </c>
      <c r="F15" s="16" t="s">
        <v>7</v>
      </c>
      <c r="S15" t="s">
        <v>58</v>
      </c>
    </row>
    <row r="16" spans="1:19" ht="18" x14ac:dyDescent="0.35">
      <c r="B16" s="3" t="s">
        <v>14</v>
      </c>
      <c r="C16" s="2">
        <v>100</v>
      </c>
      <c r="D16" s="3" t="s">
        <v>3</v>
      </c>
      <c r="E16" s="17">
        <f>Tres_*9/5+32</f>
        <v>212</v>
      </c>
      <c r="F16" s="16" t="s">
        <v>8</v>
      </c>
    </row>
    <row r="17" spans="2:22" ht="18" x14ac:dyDescent="0.35">
      <c r="B17" s="6" t="s">
        <v>16</v>
      </c>
      <c r="C17" s="2"/>
      <c r="D17" s="3" t="s">
        <v>2</v>
      </c>
      <c r="E17" s="18"/>
      <c r="F17" s="5"/>
    </row>
    <row r="18" spans="2:22" ht="18" x14ac:dyDescent="0.35">
      <c r="B18" s="7" t="s">
        <v>17</v>
      </c>
      <c r="C18" s="2"/>
      <c r="D18" s="3" t="s">
        <v>5</v>
      </c>
      <c r="E18" s="18"/>
      <c r="F18" s="5"/>
    </row>
    <row r="24" spans="2:22" x14ac:dyDescent="0.2">
      <c r="B24" t="s">
        <v>55</v>
      </c>
    </row>
    <row r="26" spans="2:22" ht="15.75" x14ac:dyDescent="0.2">
      <c r="B26" s="8" t="s">
        <v>0</v>
      </c>
      <c r="C26" s="8" t="s">
        <v>4</v>
      </c>
      <c r="D26" s="8" t="s">
        <v>21</v>
      </c>
      <c r="E26" s="8" t="s">
        <v>22</v>
      </c>
      <c r="F26" s="9" t="s">
        <v>23</v>
      </c>
      <c r="G26" s="10" t="s">
        <v>24</v>
      </c>
      <c r="H26" s="10" t="s">
        <v>25</v>
      </c>
      <c r="I26" s="8" t="s">
        <v>26</v>
      </c>
      <c r="J26" s="8" t="s">
        <v>27</v>
      </c>
      <c r="K26" s="8" t="s">
        <v>28</v>
      </c>
      <c r="L26" s="8" t="s">
        <v>32</v>
      </c>
      <c r="M26" s="8" t="s">
        <v>51</v>
      </c>
      <c r="N26" s="8" t="s">
        <v>35</v>
      </c>
      <c r="O26" s="8" t="s">
        <v>33</v>
      </c>
      <c r="P26" s="8" t="s">
        <v>34</v>
      </c>
      <c r="Q26" s="8" t="s">
        <v>46</v>
      </c>
      <c r="R26" s="8" t="s">
        <v>47</v>
      </c>
      <c r="S26" s="8" t="s">
        <v>48</v>
      </c>
      <c r="T26" s="8" t="s">
        <v>49</v>
      </c>
      <c r="U26" s="8" t="s">
        <v>45</v>
      </c>
      <c r="V26" s="8" t="s">
        <v>50</v>
      </c>
    </row>
    <row r="27" spans="2:22" x14ac:dyDescent="0.2">
      <c r="B27" s="11">
        <v>1</v>
      </c>
      <c r="C27" s="11">
        <v>80</v>
      </c>
      <c r="D27" s="12">
        <f>[1]!PVT_rs_m3m3(B27,C27,,gamma_gas_,gamma_oil_,gamma_wat_,Rsb_,Pb_,Tres_,Bob_,muob_)</f>
        <v>0.25089974166166029</v>
      </c>
      <c r="E27" s="13">
        <f>[1]!PVT_bo_m3m3(B27,C27,,gamma_gas_,gamma_oil_,gamma_wat_,Rsb_,Pb_,Tres_,Bob_,muob_)</f>
        <v>1.0554189485394045</v>
      </c>
      <c r="F27" s="45">
        <f>[1]!PVT_mu_oil_cP(B27,C27,,gamma_gas_,gamma_oil_,gamma_wat_,Rsb_,Pb_,Tres_,Bob_,muob_)</f>
        <v>2.6623666469705523</v>
      </c>
      <c r="G27" s="14">
        <f>[1]!PVT_mu_gas_cP(B27,C27,,gamma_gas_,gamma_oil_,gamma_wat_,Rsb_,Pb_,Tres_,Bob_,muob_)</f>
        <v>1.1660919395050064E-2</v>
      </c>
      <c r="H27" s="13">
        <f>[1]!PVT_mu_wat_cP(B27,C27,,gamma_gas_,gamma_oil_,gamma_wat_,Rsb_,Pb_,Tres_,Bob_,muob_)</f>
        <v>0.49450516561346208</v>
      </c>
      <c r="I27" s="45">
        <f>[1]!PVT_rho_gas_kgm3(B27,C27,,gamma_gas_,gamma_oil_,gamma_wat_,Rsb_,Pb_,Tres_,Bob_,muob_)</f>
        <v>0.91112494408482325</v>
      </c>
      <c r="J27" s="45">
        <f>[1]!PVT_rho_wat_kgm3(B27,C27,,gamma_gas_,gamma_oil_,gamma_wat_,Rsb_,Pb_,Tres_,Bob_,muob_)</f>
        <v>1067.6231937874506</v>
      </c>
      <c r="K27" s="45">
        <f>[1]!PVT_rho_oil_kgm3(B27,C27,,gamma_gas_,gamma_oil_,gamma_wat_,Rsb_,Pb_,Tres_,Bob_,muob_)</f>
        <v>815.10368274464463</v>
      </c>
      <c r="L27" s="19">
        <f>[1]!PVT_bg_m3m3(B27,C27,,gamma_gas_,gamma_oil_,gamma_wat_,Rsb_,Pb_,Tres_,Bob_,muob_)</f>
        <v>1.2067828974920884</v>
      </c>
      <c r="M27" s="19">
        <f>[1]!PVT_bw_m3m3(B27,C27,,gamma_gas_,gamma_oil_,gamma_wat_,Rsb_,Pb_,Tres_,Bob_,muob_)</f>
        <v>1.0303260611055958</v>
      </c>
      <c r="N27" s="14"/>
      <c r="O27" s="14">
        <f>[1]!PVT_ST_oilgas_Nm(B27,C27,,gamma_gas_,gamma_oil_,gamma_wat_,Rsb_,Pb_,Tres_,Bob_,muob_)</f>
        <v>6.6414592185628799E-2</v>
      </c>
      <c r="P27" s="19">
        <f>[1]!PVT_ST_watgas_Nm(B27,C27,,gamma_gas_,gamma_oil_,gamma_wat_,Rsb_,Pb_,Tres_,Bob_,muob_)</f>
        <v>6.4550360938274251E-2</v>
      </c>
      <c r="Q27" s="28">
        <f>[1]!PVT_cp_oil_JkgC(B27,C27,,gamma_gas_,gamma_oil_,gamma_wat_,Rsb_,Pb_,Tres_,Bob_,muob_)</f>
        <v>2612.2600000000002</v>
      </c>
      <c r="R27" s="28">
        <f>[1]!PVT_cp_gas_JkgC(B27,C27,,gamma_gas_,gamma_oil_,gamma_wat_,Rsb_,Pb_,Tres_,Bob_,muob_)</f>
        <v>1925.7003792225805</v>
      </c>
      <c r="S27" s="28">
        <f>[1]!PVT_cp_wat_JkgC(B27,C27,,gamma_gas_,gamma_oil_,gamma_wat_,Rsb_,Pb_,Tres_,Bob_,muob_)</f>
        <v>4176</v>
      </c>
      <c r="T27" s="29">
        <f>[1]!PVT_compressibility_wat_1atm(B27,C27,,gamma_gas_,gamma_oil_,gamma_wat_,Rsb_,Pb_,Tres_,Bob_,muob_)</f>
        <v>3.7837462027951241E-5</v>
      </c>
      <c r="U27" s="29">
        <f>[1]!PVT_compressibility_oil_1atm(B27,C27,,gamma_gas_,gamma_oil_,gamma_wat_,Rsb_,Pb_,Tres_,Bob_,muob_)</f>
        <v>0.34467666273518999</v>
      </c>
      <c r="V27" s="29">
        <f>[1]!PVT_compressibility_gas_1atm(B27,C27,,gamma_gas_,gamma_oil_,gamma_wat_,Rsb_,Pb_,Tres_,Bob_,muob_)</f>
        <v>1.0023857707950601</v>
      </c>
    </row>
    <row r="28" spans="2:22" x14ac:dyDescent="0.2">
      <c r="B28" s="11">
        <v>5</v>
      </c>
      <c r="C28" s="11">
        <v>80</v>
      </c>
      <c r="D28" s="12">
        <f>[1]!PVT_rs_m3m3(B28,C28,,gamma_gas_,gamma_oil_,gamma_wat_,Rsb_,Pb_,Tres_,Bob_,muob_)</f>
        <v>1.7420479281022418</v>
      </c>
      <c r="E28" s="13">
        <f>[1]!PVT_bo_m3m3(B28,C28,,gamma_gas_,gamma_oil_,gamma_wat_,Rsb_,Pb_,Tres_,Bob_,muob_)</f>
        <v>1.059235904182513</v>
      </c>
      <c r="F28" s="45">
        <f>[1]!PVT_mu_oil_cP(B28,C28,,gamma_gas_,gamma_oil_,gamma_wat_,Rsb_,Pb_,Tres_,Bob_,muob_)</f>
        <v>2.5107343123125276</v>
      </c>
      <c r="G28" s="14">
        <f>[1]!PVT_mu_gas_cP(B28,C28,,gamma_gas_,gamma_oil_,gamma_wat_,Rsb_,Pb_,Tres_,Bob_,muob_)</f>
        <v>1.1716093611280813E-2</v>
      </c>
      <c r="H28" s="13">
        <f>[1]!PVT_mu_wat_cP(B28,C28,,gamma_gas_,gamma_oil_,gamma_wat_,Rsb_,Pb_,Tres_,Bob_,muob_)</f>
        <v>0.49568448521335695</v>
      </c>
      <c r="I28" s="45">
        <f>[1]!PVT_rho_gas_kgm3(B28,C28,,gamma_gas_,gamma_oil_,gamma_wat_,Rsb_,Pb_,Tres_,Bob_,muob_)</f>
        <v>4.5998019389999483</v>
      </c>
      <c r="J28" s="45">
        <f>[1]!PVT_rho_wat_kgm3(B28,C28,,gamma_gas_,gamma_oil_,gamma_wat_,Rsb_,Pb_,Tres_,Bob_,muob_)</f>
        <v>1067.6686358168463</v>
      </c>
      <c r="K28" s="45">
        <f>[1]!PVT_rho_oil_kgm3(B28,C28,,gamma_gas_,gamma_oil_,gamma_wat_,Rsb_,Pb_,Tres_,Bob_,muob_)</f>
        <v>813.71432988158301</v>
      </c>
      <c r="L28" s="19">
        <f>[1]!PVT_bg_m3m3(B28,C28,,gamma_gas_,gamma_oil_,gamma_wat_,Rsb_,Pb_,Tres_,Bob_,muob_)</f>
        <v>0.23903855309019043</v>
      </c>
      <c r="M28" s="19">
        <f>[1]!PVT_bw_m3m3(B28,C28,,gamma_gas_,gamma_oil_,gamma_wat_,Rsb_,Pb_,Tres_,Bob_,muob_)</f>
        <v>1.030282208447959</v>
      </c>
      <c r="N28" s="14"/>
      <c r="O28" s="14">
        <f>[1]!PVT_ST_oilgas_Nm(B28,C28,,gamma_gas_,gamma_oil_,gamma_wat_,Rsb_,Pb_,Tres_,Bob_,muob_)</f>
        <v>6.6074056436752376E-2</v>
      </c>
      <c r="P28" s="19">
        <f>[1]!PVT_ST_watgas_Nm(B28,C28,,gamma_gas_,gamma_oil_,gamma_wat_,Rsb_,Pb_,Tres_,Bob_,muob_)</f>
        <v>6.449014820619986E-2</v>
      </c>
      <c r="Q28" s="28">
        <f>[1]!PVT_cp_oil_JkgC(B28,C28,,gamma_gas_,gamma_oil_,gamma_wat_,Rsb_,Pb_,Tres_,Bob_,muob_)</f>
        <v>2612.2600000000002</v>
      </c>
      <c r="R28" s="28">
        <f>[1]!PVT_cp_gas_JkgC(B28,C28,,gamma_gas_,gamma_oil_,gamma_wat_,Rsb_,Pb_,Tres_,Bob_,muob_)</f>
        <v>1907.2056510380505</v>
      </c>
      <c r="S28" s="28">
        <f>[1]!PVT_cp_wat_JkgC(B28,C28,,gamma_gas_,gamma_oil_,gamma_wat_,Rsb_,Pb_,Tres_,Bob_,muob_)</f>
        <v>4176</v>
      </c>
      <c r="T28" s="29">
        <f>[1]!PVT_compressibility_wat_1atm(B28,C28,,gamma_gas_,gamma_oil_,gamma_wat_,Rsb_,Pb_,Tres_,Bob_,muob_)</f>
        <v>3.7796696500802808E-5</v>
      </c>
      <c r="U28" s="29">
        <f>[1]!PVT_compressibility_oil_1atm(B28,C28,,gamma_gas_,gamma_oil_,gamma_wat_,Rsb_,Pb_,Tres_,Bob_,muob_)</f>
        <v>9.3648438492547156E-2</v>
      </c>
      <c r="V28" s="29">
        <f>[1]!PVT_compressibility_gas_1atm(B28,C28,,gamma_gas_,gamma_oil_,gamma_wat_,Rsb_,Pb_,Tres_,Bob_,muob_)</f>
        <v>0.20244469970579745</v>
      </c>
    </row>
    <row r="29" spans="2:22" x14ac:dyDescent="0.2">
      <c r="B29" s="11">
        <v>10</v>
      </c>
      <c r="C29" s="11">
        <v>80</v>
      </c>
      <c r="D29" s="12">
        <f>[1]!PVT_rs_m3m3(B29,C29,,gamma_gas_,gamma_oil_,gamma_wat_,Rsb_,Pb_,Tres_,Bob_,muob_)</f>
        <v>4.0132869615225495</v>
      </c>
      <c r="E29" s="13">
        <f>[1]!PVT_bo_m3m3(B29,C29,,gamma_gas_,gamma_oil_,gamma_wat_,Rsb_,Pb_,Tres_,Bob_,muob_)</f>
        <v>1.0650975614866496</v>
      </c>
      <c r="F29" s="45">
        <f>[1]!PVT_mu_oil_cP(B29,C29,,gamma_gas_,gamma_oil_,gamma_wat_,Rsb_,Pb_,Tres_,Bob_,muob_)</f>
        <v>2.3144186028088236</v>
      </c>
      <c r="G29" s="14">
        <f>[1]!PVT_mu_gas_cP(B29,C29,,gamma_gas_,gamma_oil_,gamma_wat_,Rsb_,Pb_,Tres_,Bob_,muob_)</f>
        <v>1.1808987320130901E-2</v>
      </c>
      <c r="H29" s="13">
        <f>[1]!PVT_mu_wat_cP(B29,C29,,gamma_gas_,gamma_oil_,gamma_wat_,Rsb_,Pb_,Tres_,Bob_,muob_)</f>
        <v>0.49717356350541014</v>
      </c>
      <c r="I29" s="45">
        <f>[1]!PVT_rho_gas_kgm3(B29,C29,,gamma_gas_,gamma_oil_,gamma_wat_,Rsb_,Pb_,Tres_,Bob_,muob_)</f>
        <v>9.3150535450549121</v>
      </c>
      <c r="J29" s="45">
        <f>[1]!PVT_rho_wat_kgm3(B29,C29,,gamma_gas_,gamma_oil_,gamma_wat_,Rsb_,Pb_,Tres_,Bob_,muob_)</f>
        <v>1067.7280970806928</v>
      </c>
      <c r="K29" s="45">
        <f>[1]!PVT_rho_oil_kgm3(B29,C29,,gamma_gas_,gamma_oil_,gamma_wat_,Rsb_,Pb_,Tres_,Bob_,muob_)</f>
        <v>811.58079848222224</v>
      </c>
      <c r="L29" s="19">
        <f>[1]!PVT_bg_m3m3(B29,C29,,gamma_gas_,gamma_oil_,gamma_wat_,Rsb_,Pb_,Tres_,Bob_,muob_)</f>
        <v>0.11803796882989559</v>
      </c>
      <c r="M29" s="19">
        <f>[1]!PVT_bw_m3m3(B29,C29,,gamma_gas_,gamma_oil_,gamma_wat_,Rsb_,Pb_,Tres_,Bob_,muob_)</f>
        <v>1.0302248325276284</v>
      </c>
      <c r="N29" s="14"/>
      <c r="O29" s="14">
        <f>[1]!PVT_ST_oilgas_Nm(B29,C29,,gamma_gas_,gamma_oil_,gamma_wat_,Rsb_,Pb_,Tres_,Bob_,muob_)</f>
        <v>6.5650841112889283E-2</v>
      </c>
      <c r="P29" s="19">
        <f>[1]!PVT_ST_watgas_Nm(B29,C29,,gamma_gas_,gamma_oil_,gamma_wat_,Rsb_,Pb_,Tres_,Bob_,muob_)</f>
        <v>6.4414961269221249E-2</v>
      </c>
      <c r="Q29" s="28">
        <f>[1]!PVT_cp_oil_JkgC(B29,C29,,gamma_gas_,gamma_oil_,gamma_wat_,Rsb_,Pb_,Tres_,Bob_,muob_)</f>
        <v>2612.2600000000002</v>
      </c>
      <c r="R29" s="28">
        <f>[1]!PVT_cp_gas_JkgC(B29,C29,,gamma_gas_,gamma_oil_,gamma_wat_,Rsb_,Pb_,Tres_,Bob_,muob_)</f>
        <v>1883.5679707657052</v>
      </c>
      <c r="S29" s="28">
        <f>[1]!PVT_cp_wat_JkgC(B29,C29,,gamma_gas_,gamma_oil_,gamma_wat_,Rsb_,Pb_,Tres_,Bob_,muob_)</f>
        <v>4176</v>
      </c>
      <c r="T29" s="29">
        <f>[1]!PVT_compressibility_wat_1atm(B29,C29,,gamma_gas_,gamma_oil_,gamma_wat_,Rsb_,Pb_,Tres_,Bob_,muob_)</f>
        <v>3.7745862951246043E-5</v>
      </c>
      <c r="U29" s="29">
        <f>[1]!PVT_compressibility_oil_1atm(B29,C29,,gamma_gas_,gamma_oil_,gamma_wat_,Rsb_,Pb_,Tres_,Bob_,muob_)</f>
        <v>5.2373486587491871E-2</v>
      </c>
      <c r="V29" s="29">
        <f>[1]!PVT_compressibility_gas_1atm(B29,C29,,gamma_gas_,gamma_oil_,gamma_wat_,Rsb_,Pb_,Tres_,Bob_,muob_)</f>
        <v>0.10255055301929512</v>
      </c>
    </row>
    <row r="30" spans="2:22" x14ac:dyDescent="0.2">
      <c r="B30" s="11">
        <v>20</v>
      </c>
      <c r="C30" s="11">
        <v>80</v>
      </c>
      <c r="D30" s="12">
        <f>[1]!PVT_rs_m3m3(B30,C30,,gamma_gas_,gamma_oil_,gamma_wat_,Rsb_,Pb_,Tres_,Bob_,muob_)</f>
        <v>9.2457113123592549</v>
      </c>
      <c r="E30" s="13">
        <f>[1]!PVT_bo_m3m3(B30,C30,,gamma_gas_,gamma_oil_,gamma_wat_,Rsb_,Pb_,Tres_,Bob_,muob_)</f>
        <v>1.0788089123577109</v>
      </c>
      <c r="F30" s="45">
        <f>[1]!PVT_mu_oil_cP(B30,C30,,gamma_gas_,gamma_oil_,gamma_wat_,Rsb_,Pb_,Tres_,Bob_,muob_)</f>
        <v>1.9731221901146054</v>
      </c>
      <c r="G30" s="14">
        <f>[1]!PVT_mu_gas_cP(B30,C30,,gamma_gas_,gamma_oil_,gamma_wat_,Rsb_,Pb_,Tres_,Bob_,muob_)</f>
        <v>1.2048071040158715E-2</v>
      </c>
      <c r="H30" s="13">
        <f>[1]!PVT_mu_wat_cP(B30,C30,,gamma_gas_,gamma_oil_,gamma_wat_,Rsb_,Pb_,Tres_,Bob_,muob_)</f>
        <v>0.50020148273013165</v>
      </c>
      <c r="I30" s="45">
        <f>[1]!PVT_rho_gas_kgm3(B30,C30,,gamma_gas_,gamma_oil_,gamma_wat_,Rsb_,Pb_,Tres_,Bob_,muob_)</f>
        <v>19.137042404295681</v>
      </c>
      <c r="J30" s="45">
        <f>[1]!PVT_rho_wat_kgm3(B30,C30,,gamma_gas_,gamma_oil_,gamma_wat_,Rsb_,Pb_,Tres_,Bob_,muob_)</f>
        <v>1067.8558858355127</v>
      </c>
      <c r="K30" s="45">
        <f>[1]!PVT_rho_oil_kgm3(B30,C30,,gamma_gas_,gamma_oil_,gamma_wat_,Rsb_,Pb_,Tres_,Bob_,muob_)</f>
        <v>806.5987655381449</v>
      </c>
      <c r="L30" s="19">
        <f>[1]!PVT_bg_m3m3(B30,C30,,gamma_gas_,gamma_oil_,gamma_wat_,Rsb_,Pb_,Tres_,Bob_,muob_)</f>
        <v>5.7455586750081569E-2</v>
      </c>
      <c r="M30" s="19">
        <f>[1]!PVT_bw_m3m3(B30,C30,,gamma_gas_,gamma_oil_,gamma_wat_,Rsb_,Pb_,Tres_,Bob_,muob_)</f>
        <v>1.0301015470260175</v>
      </c>
      <c r="N30" s="14"/>
      <c r="O30" s="14">
        <f>[1]!PVT_ST_oilgas_Nm(B30,C30,,gamma_gas_,gamma_oil_,gamma_wat_,Rsb_,Pb_,Tres_,Bob_,muob_)</f>
        <v>6.4812525395937348E-2</v>
      </c>
      <c r="P30" s="19">
        <f>[1]!PVT_ST_watgas_Nm(B30,C30,,gamma_gas_,gamma_oil_,gamma_wat_,Rsb_,Pb_,Tres_,Bob_,muob_)</f>
        <v>6.4264850266977189E-2</v>
      </c>
      <c r="Q30" s="28">
        <f>[1]!PVT_cp_oil_JkgC(B30,C30,,gamma_gas_,gamma_oil_,gamma_wat_,Rsb_,Pb_,Tres_,Bob_,muob_)</f>
        <v>2612.2600000000002</v>
      </c>
      <c r="R30" s="28">
        <f>[1]!PVT_cp_gas_JkgC(B30,C30,,gamma_gas_,gamma_oil_,gamma_wat_,Rsb_,Pb_,Tres_,Bob_,muob_)</f>
        <v>1833.6727413526064</v>
      </c>
      <c r="S30" s="28">
        <f>[1]!PVT_cp_wat_JkgC(B30,C30,,gamma_gas_,gamma_oil_,gamma_wat_,Rsb_,Pb_,Tres_,Bob_,muob_)</f>
        <v>4176</v>
      </c>
      <c r="T30" s="29">
        <f>[1]!PVT_compressibility_wat_1atm(B30,C30,,gamma_gas_,gamma_oil_,gamma_wat_,Rsb_,Pb_,Tres_,Bob_,muob_)</f>
        <v>3.7644604954191038E-5</v>
      </c>
      <c r="U30" s="29">
        <f>[1]!PVT_compressibility_oil_1atm(B30,C30,,gamma_gas_,gamma_oil_,gamma_wat_,Rsb_,Pb_,Tres_,Bob_,muob_)</f>
        <v>2.8277578673309187E-2</v>
      </c>
      <c r="V30" s="29">
        <f>[1]!PVT_compressibility_gas_1atm(B30,C30,,gamma_gas_,gamma_oil_,gamma_wat_,Rsb_,Pb_,Tres_,Bob_,muob_)</f>
        <v>5.283196088157114E-2</v>
      </c>
    </row>
    <row r="31" spans="2:22" x14ac:dyDescent="0.2">
      <c r="B31" s="11">
        <v>40</v>
      </c>
      <c r="C31" s="11">
        <v>80</v>
      </c>
      <c r="D31" s="12">
        <f>[1]!PVT_rs_m3m3(B31,C31,,gamma_gas_,gamma_oil_,gamma_wat_,Rsb_,Pb_,Tres_,Bob_,muob_)</f>
        <v>21.300041210872571</v>
      </c>
      <c r="E31" s="13">
        <f>[1]!PVT_bo_m3m3(B31,C31,,gamma_gas_,gamma_oil_,gamma_wat_,Rsb_,Pb_,Tres_,Bob_,muob_)</f>
        <v>1.1113798812672513</v>
      </c>
      <c r="F31" s="45">
        <f>[1]!PVT_mu_oil_cP(B31,C31,,gamma_gas_,gamma_oil_,gamma_wat_,Rsb_,Pb_,Tres_,Bob_,muob_)</f>
        <v>1.5015997838031903</v>
      </c>
      <c r="G31" s="14">
        <f>[1]!PVT_mu_gas_cP(B31,C31,,gamma_gas_,gamma_oil_,gamma_wat_,Rsb_,Pb_,Tres_,Bob_,muob_)</f>
        <v>1.2718451277010821E-2</v>
      </c>
      <c r="H31" s="13">
        <f>[1]!PVT_mu_wat_cP(B31,C31,,gamma_gas_,gamma_oil_,gamma_wat_,Rsb_,Pb_,Tres_,Bob_,muob_)</f>
        <v>0.50645637174203584</v>
      </c>
      <c r="I31" s="45">
        <f>[1]!PVT_rho_gas_kgm3(B31,C31,,gamma_gas_,gamma_oil_,gamma_wat_,Rsb_,Pb_,Tres_,Bob_,muob_)</f>
        <v>40.746840070535264</v>
      </c>
      <c r="J31" s="45">
        <f>[1]!PVT_rho_wat_kgm3(B31,C31,,gamma_gas_,gamma_oil_,gamma_wat_,Rsb_,Pb_,Tres_,Bob_,muob_)</f>
        <v>1068.1469589671813</v>
      </c>
      <c r="K31" s="45">
        <f>[1]!PVT_rho_oil_kgm3(B31,C31,,gamma_gas_,gamma_oil_,gamma_wat_,Rsb_,Pb_,Tres_,Bob_,muob_)</f>
        <v>794.88575347006531</v>
      </c>
      <c r="L31" s="19">
        <f>[1]!PVT_bg_m3m3(B31,C31,,gamma_gas_,gamma_oil_,gamma_wat_,Rsb_,Pb_,Tres_,Bob_,muob_)</f>
        <v>2.6984423776092736E-2</v>
      </c>
      <c r="M31" s="19">
        <f>[1]!PVT_bw_m3m3(B31,C31,,gamma_gas_,gamma_oil_,gamma_wat_,Rsb_,Pb_,Tres_,Bob_,muob_)</f>
        <v>1.0298208413789975</v>
      </c>
      <c r="N31" s="14"/>
      <c r="O31" s="14">
        <f>[1]!PVT_ST_oilgas_Nm(B31,C31,,gamma_gas_,gamma_oil_,gamma_wat_,Rsb_,Pb_,Tres_,Bob_,muob_)</f>
        <v>6.3167871401489079E-2</v>
      </c>
      <c r="P31" s="19">
        <f>[1]!PVT_ST_watgas_Nm(B31,C31,,gamma_gas_,gamma_oil_,gamma_wat_,Rsb_,Pb_,Tres_,Bob_,muob_)</f>
        <v>6.3965676891978046E-2</v>
      </c>
      <c r="Q31" s="28">
        <f>[1]!PVT_cp_oil_JkgC(B31,C31,,gamma_gas_,gamma_oil_,gamma_wat_,Rsb_,Pb_,Tres_,Bob_,muob_)</f>
        <v>2612.2600000000002</v>
      </c>
      <c r="R31" s="28">
        <f>[1]!PVT_cp_gas_JkgC(B31,C31,,gamma_gas_,gamma_oil_,gamma_wat_,Rsb_,Pb_,Tres_,Bob_,muob_)</f>
        <v>1722.3948137387415</v>
      </c>
      <c r="S31" s="28">
        <f>[1]!PVT_cp_wat_JkgC(B31,C31,,gamma_gas_,gamma_oil_,gamma_wat_,Rsb_,Pb_,Tres_,Bob_,muob_)</f>
        <v>4176</v>
      </c>
      <c r="T31" s="29">
        <f>[1]!PVT_compressibility_wat_1atm(B31,C31,,gamma_gas_,gamma_oil_,gamma_wat_,Rsb_,Pb_,Tres_,Bob_,muob_)</f>
        <v>3.7443710085765843E-5</v>
      </c>
      <c r="U31" s="29">
        <f>[1]!PVT_compressibility_oil_1atm(B31,C31,,gamma_gas_,gamma_oil_,gamma_wat_,Rsb_,Pb_,Tres_,Bob_,muob_)</f>
        <v>1.3978090687335706E-2</v>
      </c>
      <c r="V31" s="29">
        <f>[1]!PVT_compressibility_gas_1atm(B31,C31,,gamma_gas_,gamma_oil_,gamma_wat_,Rsb_,Pb_,Tres_,Bob_,muob_)</f>
        <v>2.8396434090459444E-2</v>
      </c>
    </row>
    <row r="32" spans="2:22" x14ac:dyDescent="0.2">
      <c r="B32" s="11">
        <v>60</v>
      </c>
      <c r="C32" s="11">
        <v>80</v>
      </c>
      <c r="D32" s="12">
        <f>[1]!PVT_rs_m3m3(B32,C32,,gamma_gas_,gamma_oil_,gamma_wat_,Rsb_,Pb_,Tres_,Bob_,muob_)</f>
        <v>34.705181468301603</v>
      </c>
      <c r="E32" s="13">
        <f>[1]!PVT_bo_m3m3(B32,C32,,gamma_gas_,gamma_oil_,gamma_wat_,Rsb_,Pb_,Tres_,Bob_,muob_)</f>
        <v>1.1489829174197366</v>
      </c>
      <c r="F32" s="45">
        <f>[1]!PVT_mu_oil_cP(B32,C32,,gamma_gas_,gamma_oil_,gamma_wat_,Rsb_,Pb_,Tres_,Bob_,muob_)</f>
        <v>1.2091654051069654</v>
      </c>
      <c r="G32" s="14">
        <f>[1]!PVT_mu_gas_cP(B32,C32,,gamma_gas_,gamma_oil_,gamma_wat_,Rsb_,Pb_,Tres_,Bob_,muob_)</f>
        <v>1.3682645275706399E-2</v>
      </c>
      <c r="H32" s="13">
        <f>[1]!PVT_mu_wat_cP(B32,C32,,gamma_gas_,gamma_oil_,gamma_wat_,Rsb_,Pb_,Tres_,Bob_,muob_)</f>
        <v>0.51297666150388777</v>
      </c>
      <c r="I32" s="45">
        <f>[1]!PVT_rho_gas_kgm3(B32,C32,,gamma_gas_,gamma_oil_,gamma_wat_,Rsb_,Pb_,Tres_,Bob_,muob_)</f>
        <v>65.565159938697178</v>
      </c>
      <c r="J32" s="45">
        <f>[1]!PVT_rho_wat_kgm3(B32,C32,,gamma_gas_,gamma_oil_,gamma_wat_,Rsb_,Pb_,Tres_,Bob_,muob_)</f>
        <v>1068.4854253338608</v>
      </c>
      <c r="K32" s="45">
        <f>[1]!PVT_rho_oil_kgm3(B32,C32,,gamma_gas_,gamma_oil_,gamma_wat_,Rsb_,Pb_,Tres_,Bob_,muob_)</f>
        <v>781.69951403353525</v>
      </c>
      <c r="L32" s="19">
        <f>[1]!PVT_bg_m3m3(B32,C32,,gamma_gas_,gamma_oil_,gamma_wat_,Rsb_,Pb_,Tres_,Bob_,muob_)</f>
        <v>1.6770034588919642E-2</v>
      </c>
      <c r="M32" s="19">
        <f>[1]!PVT_bw_m3m3(B32,C32,,gamma_gas_,gamma_oil_,gamma_wat_,Rsb_,Pb_,Tres_,Bob_,muob_)</f>
        <v>1.0294946228735804</v>
      </c>
      <c r="N32" s="14"/>
      <c r="O32" s="14">
        <f>[1]!PVT_ST_oilgas_Nm(B32,C32,,gamma_gas_,gamma_oil_,gamma_wat_,Rsb_,Pb_,Tres_,Bob_,muob_)</f>
        <v>6.156495141979422E-2</v>
      </c>
      <c r="P32" s="19">
        <f>[1]!PVT_ST_watgas_Nm(B32,C32,,gamma_gas_,gamma_oil_,gamma_wat_,Rsb_,Pb_,Tres_,Bob_,muob_)</f>
        <v>6.3667896264459636E-2</v>
      </c>
      <c r="Q32" s="28">
        <f>[1]!PVT_cp_oil_JkgC(B32,C32,,gamma_gas_,gamma_oil_,gamma_wat_,Rsb_,Pb_,Tres_,Bob_,muob_)</f>
        <v>2612.2600000000002</v>
      </c>
      <c r="R32" s="28">
        <f>[1]!PVT_cp_gas_JkgC(B32,C32,,gamma_gas_,gamma_oil_,gamma_wat_,Rsb_,Pb_,Tres_,Bob_,muob_)</f>
        <v>1605.6274265025404</v>
      </c>
      <c r="S32" s="28">
        <f>[1]!PVT_cp_wat_JkgC(B32,C32,,gamma_gas_,gamma_oil_,gamma_wat_,Rsb_,Pb_,Tres_,Bob_,muob_)</f>
        <v>4176</v>
      </c>
      <c r="T32" s="29">
        <f>[1]!PVT_compressibility_wat_1atm(B32,C32,,gamma_gas_,gamma_oil_,gamma_wat_,Rsb_,Pb_,Tres_,Bob_,muob_)</f>
        <v>3.7244948033572365E-5</v>
      </c>
      <c r="U32" s="29">
        <f>[1]!PVT_compressibility_oil_1atm(B32,C32,,gamma_gas_,gamma_oil_,gamma_wat_,Rsb_,Pb_,Tres_,Bob_,muob_)</f>
        <v>8.4349832335752477E-3</v>
      </c>
      <c r="V32" s="29">
        <f>[1]!PVT_compressibility_gas_1atm(B32,C32,,gamma_gas_,gamma_oil_,gamma_wat_,Rsb_,Pb_,Tres_,Bob_,muob_)</f>
        <v>2.0184164865056059E-2</v>
      </c>
    </row>
    <row r="33" spans="2:22" x14ac:dyDescent="0.2">
      <c r="B33" s="11">
        <v>80</v>
      </c>
      <c r="C33" s="11">
        <v>80</v>
      </c>
      <c r="D33" s="12">
        <f>[1]!PVT_rs_m3m3(B33,C33,,gamma_gas_,gamma_oil_,gamma_wat_,Rsb_,Pb_,Tres_,Bob_,muob_)</f>
        <v>49.070508504672326</v>
      </c>
      <c r="E33" s="13">
        <f>[1]!PVT_bo_m3m3(B33,C33,,gamma_gas_,gamma_oil_,gamma_wat_,Rsb_,Pb_,Tres_,Bob_,muob_)</f>
        <v>1.1906475291126537</v>
      </c>
      <c r="F33" s="45">
        <f>[1]!PVT_mu_oil_cP(B33,C33,,gamma_gas_,gamma_oil_,gamma_wat_,Rsb_,Pb_,Tres_,Bob_,muob_)</f>
        <v>1.014286511152013</v>
      </c>
      <c r="G33" s="14">
        <f>[1]!PVT_mu_gas_cP(B33,C33,,gamma_gas_,gamma_oil_,gamma_wat_,Rsb_,Pb_,Tres_,Bob_,muob_)</f>
        <v>1.499582495682693E-2</v>
      </c>
      <c r="H33" s="13">
        <f>[1]!PVT_mu_wat_cP(B33,C33,,gamma_gas_,gamma_oil_,gamma_wat_,Rsb_,Pb_,Tres_,Bob_,muob_)</f>
        <v>0.51976235201568766</v>
      </c>
      <c r="I33" s="45">
        <f>[1]!PVT_rho_gas_kgm3(B33,C33,,gamma_gas_,gamma_oil_,gamma_wat_,Rsb_,Pb_,Tres_,Bob_,muob_)</f>
        <v>93.392234234404668</v>
      </c>
      <c r="J33" s="45">
        <f>[1]!PVT_rho_wat_kgm3(B33,C33,,gamma_gas_,gamma_oil_,gamma_wat_,Rsb_,Pb_,Tres_,Bob_,muob_)</f>
        <v>1068.8713749105848</v>
      </c>
      <c r="K33" s="45">
        <f>[1]!PVT_rho_oil_kgm3(B33,C33,,gamma_gas_,gamma_oil_,gamma_wat_,Rsb_,Pb_,Tres_,Bob_,muob_)</f>
        <v>767.61129878401493</v>
      </c>
      <c r="L33" s="19">
        <f>[1]!PVT_bg_m3m3(B33,C33,,gamma_gas_,gamma_oil_,gamma_wat_,Rsb_,Pb_,Tres_,Bob_,muob_)</f>
        <v>1.1773248696891602E-2</v>
      </c>
      <c r="M33" s="19">
        <f>[1]!PVT_bw_m3m3(B33,C33,,gamma_gas_,gamma_oil_,gamma_wat_,Rsb_,Pb_,Tres_,Bob_,muob_)</f>
        <v>1.0291228915097659</v>
      </c>
      <c r="N33" s="14"/>
      <c r="O33" s="14">
        <f>[1]!PVT_ST_oilgas_Nm(B33,C33,,gamma_gas_,gamma_oil_,gamma_wat_,Rsb_,Pb_,Tres_,Bob_,muob_)</f>
        <v>6.0002706426993423E-2</v>
      </c>
      <c r="P33" s="19">
        <f>[1]!PVT_ST_watgas_Nm(B33,C33,,gamma_gas_,gamma_oil_,gamma_wat_,Rsb_,Pb_,Tres_,Bob_,muob_)</f>
        <v>6.3371501900738231E-2</v>
      </c>
      <c r="Q33" s="28">
        <f>[1]!PVT_cp_oil_JkgC(B33,C33,,gamma_gas_,gamma_oil_,gamma_wat_,Rsb_,Pb_,Tres_,Bob_,muob_)</f>
        <v>2612.2600000000002</v>
      </c>
      <c r="R33" s="28">
        <f>[1]!PVT_cp_gas_JkgC(B33,C33,,gamma_gas_,gamma_oil_,gamma_wat_,Rsb_,Pb_,Tres_,Bob_,muob_)</f>
        <v>1502.9546426222566</v>
      </c>
      <c r="S33" s="28">
        <f>[1]!PVT_cp_wat_JkgC(B33,C33,,gamma_gas_,gamma_oil_,gamma_wat_,Rsb_,Pb_,Tres_,Bob_,muob_)</f>
        <v>4176</v>
      </c>
      <c r="T33" s="29">
        <f>[1]!PVT_compressibility_wat_1atm(B33,C33,,gamma_gas_,gamma_oil_,gamma_wat_,Rsb_,Pb_,Tres_,Bob_,muob_)</f>
        <v>3.7048285012135808E-5</v>
      </c>
      <c r="U33" s="29">
        <f>[1]!PVT_compressibility_oil_1atm(B33,C33,,gamma_gas_,gamma_oil_,gamma_wat_,Rsb_,Pb_,Tres_,Bob_,muob_)</f>
        <v>5.4758909234894609E-3</v>
      </c>
      <c r="V33" s="29">
        <f>[1]!PVT_compressibility_gas_1atm(B33,C33,,gamma_gas_,gamma_oil_,gamma_wat_,Rsb_,Pb_,Tres_,Bob_,muob_)</f>
        <v>1.5484849037100604E-2</v>
      </c>
    </row>
    <row r="34" spans="2:22" x14ac:dyDescent="0.2">
      <c r="B34" s="11">
        <v>100</v>
      </c>
      <c r="C34" s="11">
        <v>80</v>
      </c>
      <c r="D34" s="12">
        <f>[1]!PVT_rs_m3m3(B34,C34,,gamma_gas_,gamma_oil_,gamma_wat_,Rsb_,Pb_,Tres_,Bob_,muob_)</f>
        <v>64.194853804379633</v>
      </c>
      <c r="E34" s="13">
        <f>[1]!PVT_bo_m3m3(B34,C34,,gamma_gas_,gamma_oil_,gamma_wat_,Rsb_,Pb_,Tres_,Bob_,muob_)</f>
        <v>1.2358325078546537</v>
      </c>
      <c r="F34" s="45">
        <f>[1]!PVT_mu_oil_cP(B34,C34,,gamma_gas_,gamma_oil_,gamma_wat_,Rsb_,Pb_,Tres_,Bob_,muob_)</f>
        <v>0.87607476211856905</v>
      </c>
      <c r="G34" s="14">
        <f>[1]!PVT_mu_gas_cP(B34,C34,,gamma_gas_,gamma_oil_,gamma_wat_,Rsb_,Pb_,Tres_,Bob_,muob_)</f>
        <v>1.6662090323001578E-2</v>
      </c>
      <c r="H34" s="13">
        <f>[1]!PVT_mu_wat_cP(B34,C34,,gamma_gas_,gamma_oil_,gamma_wat_,Rsb_,Pb_,Tres_,Bob_,muob_)</f>
        <v>0.52681344327743551</v>
      </c>
      <c r="I34" s="45">
        <f>[1]!PVT_rho_gas_kgm3(B34,C34,,gamma_gas_,gamma_oil_,gamma_wat_,Rsb_,Pb_,Tres_,Bob_,muob_)</f>
        <v>122.76747706167906</v>
      </c>
      <c r="J34" s="45">
        <f>[1]!PVT_rho_wat_kgm3(B34,C34,,gamma_gas_,gamma_oil_,gamma_wat_,Rsb_,Pb_,Tres_,Bob_,muob_)</f>
        <v>1069.30491039923</v>
      </c>
      <c r="K34" s="45">
        <f>[1]!PVT_rho_oil_kgm3(B34,C34,,gamma_gas_,gamma_oil_,gamma_wat_,Rsb_,Pb_,Tres_,Bob_,muob_)</f>
        <v>753.00185234565424</v>
      </c>
      <c r="L34" s="19">
        <f>[1]!PVT_bg_m3m3(B34,C34,,gamma_gas_,gamma_oil_,gamma_wat_,Rsb_,Pb_,Tres_,Bob_,muob_)</f>
        <v>8.9561993641653972E-3</v>
      </c>
      <c r="M34" s="19">
        <f>[1]!PVT_bw_m3m3(B34,C34,,gamma_gas_,gamma_oil_,gamma_wat_,Rsb_,Pb_,Tres_,Bob_,muob_)</f>
        <v>1.0287056472875542</v>
      </c>
      <c r="N34" s="14"/>
      <c r="O34" s="14">
        <f>[1]!PVT_ST_oilgas_Nm(B34,C34,,gamma_gas_,gamma_oil_,gamma_wat_,Rsb_,Pb_,Tres_,Bob_,muob_)</f>
        <v>5.8480104272548641E-2</v>
      </c>
      <c r="P34" s="19">
        <f>[1]!PVT_ST_watgas_Nm(B34,C34,,gamma_gas_,gamma_oil_,gamma_wat_,Rsb_,Pb_,Tres_,Bob_,muob_)</f>
        <v>6.3076487347313664E-2</v>
      </c>
      <c r="Q34" s="28">
        <f>[1]!PVT_cp_oil_JkgC(B34,C34,,gamma_gas_,gamma_oil_,gamma_wat_,Rsb_,Pb_,Tres_,Bob_,muob_)</f>
        <v>2612.2600000000002</v>
      </c>
      <c r="R34" s="28">
        <f>[1]!PVT_cp_gas_JkgC(B34,C34,,gamma_gas_,gamma_oil_,gamma_wat_,Rsb_,Pb_,Tres_,Bob_,muob_)</f>
        <v>1429.1681252534001</v>
      </c>
      <c r="S34" s="28">
        <f>[1]!PVT_cp_wat_JkgC(B34,C34,,gamma_gas_,gamma_oil_,gamma_wat_,Rsb_,Pb_,Tres_,Bob_,muob_)</f>
        <v>4176</v>
      </c>
      <c r="T34" s="29">
        <f>[1]!PVT_compressibility_wat_1atm(B34,C34,,gamma_gas_,gamma_oil_,gamma_wat_,Rsb_,Pb_,Tres_,Bob_,muob_)</f>
        <v>3.6853687945817684E-5</v>
      </c>
      <c r="U34" s="29">
        <f>[1]!PVT_compressibility_oil_1atm(B34,C34,,gamma_gas_,gamma_oil_,gamma_wat_,Rsb_,Pb_,Tres_,Bob_,muob_)</f>
        <v>3.7073082634118317E-3</v>
      </c>
      <c r="V34" s="29">
        <f>[1]!PVT_compressibility_gas_1atm(B34,C34,,gamma_gas_,gamma_oil_,gamma_wat_,Rsb_,Pb_,Tres_,Bob_,muob_)</f>
        <v>1.1997369744629205E-2</v>
      </c>
    </row>
    <row r="35" spans="2:22" x14ac:dyDescent="0.2">
      <c r="B35" s="11">
        <v>120</v>
      </c>
      <c r="C35" s="11">
        <v>80</v>
      </c>
      <c r="D35" s="12">
        <f>[1]!PVT_rs_m3m3(B35,C35,,gamma_gas_,gamma_oil_,gamma_wat_,Rsb_,Pb_,Tres_,Bob_,muob_)</f>
        <v>79.952939317657112</v>
      </c>
      <c r="E35" s="13">
        <f>[1]!PVT_bo_m3m3(B35,C35,,gamma_gas_,gamma_oil_,gamma_wat_,Rsb_,Pb_,Tres_,Bob_,muob_)</f>
        <v>1.2841720562398828</v>
      </c>
      <c r="F35" s="45">
        <f>[1]!PVT_mu_oil_cP(B35,C35,,gamma_gas_,gamma_oil_,gamma_wat_,Rsb_,Pb_,Tres_,Bob_,muob_)</f>
        <v>0.77319018290817398</v>
      </c>
      <c r="G35" s="14">
        <f>[1]!PVT_mu_gas_cP(B35,C35,,gamma_gas_,gamma_oil_,gamma_wat_,Rsb_,Pb_,Tres_,Bob_,muob_)</f>
        <v>1.8612671003194109E-2</v>
      </c>
      <c r="H35" s="13">
        <f>[1]!PVT_mu_wat_cP(B35,C35,,gamma_gas_,gamma_oil_,gamma_wat_,Rsb_,Pb_,Tres_,Bob_,muob_)</f>
        <v>0.53412993528913122</v>
      </c>
      <c r="I35" s="45">
        <f>[1]!PVT_rho_gas_kgm3(B35,C35,,gamma_gas_,gamma_oil_,gamma_wat_,Rsb_,Pb_,Tres_,Bob_,muob_)</f>
        <v>151.6546583251959</v>
      </c>
      <c r="J35" s="45">
        <f>[1]!PVT_rho_wat_kgm3(B35,C35,,gamma_gas_,gamma_oil_,gamma_wat_,Rsb_,Pb_,Tres_,Bob_,muob_)</f>
        <v>1069.7861472969807</v>
      </c>
      <c r="K35" s="45">
        <f>[1]!PVT_rho_oil_kgm3(B35,C35,,gamma_gas_,gamma_oil_,gamma_wat_,Rsb_,Pb_,Tres_,Bob_,muob_)</f>
        <v>738.14926182358397</v>
      </c>
      <c r="L35" s="19">
        <f>[1]!PVT_bg_m3m3(B35,C35,,gamma_gas_,gamma_oil_,gamma_wat_,Rsb_,Pb_,Tres_,Bob_,muob_)</f>
        <v>7.2502223943708829E-3</v>
      </c>
      <c r="M35" s="19">
        <f>[1]!PVT_bw_m3m3(B35,C35,,gamma_gas_,gamma_oil_,gamma_wat_,Rsb_,Pb_,Tres_,Bob_,muob_)</f>
        <v>1.0282428902069449</v>
      </c>
      <c r="N35" s="14"/>
      <c r="O35" s="14">
        <f>[1]!PVT_ST_oilgas_Nm(B35,C35,,gamma_gas_,gamma_oil_,gamma_wat_,Rsb_,Pb_,Tres_,Bob_,muob_)</f>
        <v>5.699613899731764E-2</v>
      </c>
      <c r="P35" s="19">
        <f>[1]!PVT_ST_watgas_Nm(B35,C35,,gamma_gas_,gamma_oil_,gamma_wat_,Rsb_,Pb_,Tres_,Bob_,muob_)</f>
        <v>6.2782846180728977E-2</v>
      </c>
      <c r="Q35" s="28">
        <f>[1]!PVT_cp_oil_JkgC(B35,C35,,gamma_gas_,gamma_oil_,gamma_wat_,Rsb_,Pb_,Tres_,Bob_,muob_)</f>
        <v>2612.2600000000002</v>
      </c>
      <c r="R35" s="28">
        <f>[1]!PVT_cp_gas_JkgC(B35,C35,,gamma_gas_,gamma_oil_,gamma_wat_,Rsb_,Pb_,Tres_,Bob_,muob_)</f>
        <v>1388.3281949026382</v>
      </c>
      <c r="S35" s="28">
        <f>[1]!PVT_cp_wat_JkgC(B35,C35,,gamma_gas_,gamma_oil_,gamma_wat_,Rsb_,Pb_,Tres_,Bob_,muob_)</f>
        <v>4176</v>
      </c>
      <c r="T35" s="29">
        <f>[1]!PVT_compressibility_wat_1atm(B35,C35,,gamma_gas_,gamma_oil_,gamma_wat_,Rsb_,Pb_,Tres_,Bob_,muob_)</f>
        <v>3.6661124450271005E-5</v>
      </c>
      <c r="U35" s="29">
        <f>[1]!PVT_compressibility_oil_1atm(B35,C35,,gamma_gas_,gamma_oil_,gamma_wat_,Rsb_,Pb_,Tres_,Bob_,muob_)</f>
        <v>2.5892634674149961E-3</v>
      </c>
      <c r="V35" s="29">
        <f>[1]!PVT_compressibility_gas_1atm(B35,C35,,gamma_gas_,gamma_oil_,gamma_wat_,Rsb_,Pb_,Tres_,Bob_,muob_)</f>
        <v>9.2380104232467862E-3</v>
      </c>
    </row>
    <row r="36" spans="2:22" x14ac:dyDescent="0.2">
      <c r="B36" s="11">
        <v>140</v>
      </c>
      <c r="C36" s="11">
        <v>80</v>
      </c>
      <c r="D36" s="12">
        <f>[1]!PVT_rs_m3m3(B36,C36,,gamma_gas_,gamma_oil_,gamma_wat_,Rsb_,Pb_,Tres_,Bob_,muob_)</f>
        <v>96.258340269521014</v>
      </c>
      <c r="E36" s="13">
        <f>[1]!PVT_bo_m3m3(B36,C36,,gamma_gas_,gamma_oil_,gamma_wat_,Rsb_,Pb_,Tres_,Bob_,muob_)</f>
        <v>1.3353943914027711</v>
      </c>
      <c r="F36" s="45">
        <f>[1]!PVT_mu_oil_cP(B36,C36,,gamma_gas_,gamma_oil_,gamma_wat_,Rsb_,Pb_,Tres_,Bob_,muob_)</f>
        <v>0.69366764380836032</v>
      </c>
      <c r="G36" s="14">
        <f>[1]!PVT_mu_gas_cP(B36,C36,,gamma_gas_,gamma_oil_,gamma_wat_,Rsb_,Pb_,Tres_,Bob_,muob_)</f>
        <v>2.0733492057591552E-2</v>
      </c>
      <c r="H36" s="13">
        <f>[1]!PVT_mu_wat_cP(B36,C36,,gamma_gas_,gamma_oil_,gamma_wat_,Rsb_,Pb_,Tres_,Bob_,muob_)</f>
        <v>0.54171182805077478</v>
      </c>
      <c r="I36" s="45">
        <f>[1]!PVT_rho_gas_kgm3(B36,C36,,gamma_gas_,gamma_oil_,gamma_wat_,Rsb_,Pb_,Tres_,Bob_,muob_)</f>
        <v>178.40676454841207</v>
      </c>
      <c r="J36" s="45">
        <f>[1]!PVT_rho_wat_kgm3(B36,C36,,gamma_gas_,gamma_oil_,gamma_wat_,Rsb_,Pb_,Tres_,Bob_,muob_)</f>
        <v>1070.3152139734489</v>
      </c>
      <c r="K36" s="45">
        <f>[1]!PVT_rho_oil_kgm3(B36,C36,,gamma_gas_,gamma_oil_,gamma_wat_,Rsb_,Pb_,Tres_,Bob_,muob_)</f>
        <v>723.26118717780184</v>
      </c>
      <c r="L36" s="19">
        <f>[1]!PVT_bg_m3m3(B36,C36,,gamma_gas_,gamma_oil_,gamma_wat_,Rsb_,Pb_,Tres_,Bob_,muob_)</f>
        <v>6.1630510635802375E-3</v>
      </c>
      <c r="M36" s="19">
        <f>[1]!PVT_bw_m3m3(B36,C36,,gamma_gas_,gamma_oil_,gamma_wat_,Rsb_,Pb_,Tres_,Bob_,muob_)</f>
        <v>1.0277346202679387</v>
      </c>
      <c r="N36" s="14"/>
      <c r="O36" s="14">
        <f>[1]!PVT_ST_oilgas_Nm(B36,C36,,gamma_gas_,gamma_oil_,gamma_wat_,Rsb_,Pb_,Tres_,Bob_,muob_)</f>
        <v>5.5549830168932703E-2</v>
      </c>
      <c r="P36" s="19">
        <f>[1]!PVT_ST_watgas_Nm(B36,C36,,gamma_gas_,gamma_oil_,gamma_wat_,Rsb_,Pb_,Tres_,Bob_,muob_)</f>
        <v>6.2490572007430384E-2</v>
      </c>
      <c r="Q36" s="28">
        <f>[1]!PVT_cp_oil_JkgC(B36,C36,,gamma_gas_,gamma_oil_,gamma_wat_,Rsb_,Pb_,Tres_,Bob_,muob_)</f>
        <v>2612.2600000000002</v>
      </c>
      <c r="R36" s="28">
        <f>[1]!PVT_cp_gas_JkgC(B36,C36,,gamma_gas_,gamma_oil_,gamma_wat_,Rsb_,Pb_,Tres_,Bob_,muob_)</f>
        <v>1376.8396712413103</v>
      </c>
      <c r="S36" s="28">
        <f>[1]!PVT_cp_wat_JkgC(B36,C36,,gamma_gas_,gamma_oil_,gamma_wat_,Rsb_,Pb_,Tres_,Bob_,muob_)</f>
        <v>4176</v>
      </c>
      <c r="T36" s="29">
        <f>[1]!PVT_compressibility_wat_1atm(B36,C36,,gamma_gas_,gamma_oil_,gamma_wat_,Rsb_,Pb_,Tres_,Bob_,muob_)</f>
        <v>3.6470562814473928E-5</v>
      </c>
      <c r="U36" s="29">
        <f>[1]!PVT_compressibility_oil_1atm(B36,C36,,gamma_gas_,gamma_oil_,gamma_wat_,Rsb_,Pb_,Tres_,Bob_,muob_)</f>
        <v>1.8514884790186818E-3</v>
      </c>
      <c r="V36" s="29">
        <f>[1]!PVT_compressibility_gas_1atm(B36,C36,,gamma_gas_,gamma_oil_,gamma_wat_,Rsb_,Pb_,Tres_,Bob_,muob_)</f>
        <v>7.1009336693922962E-3</v>
      </c>
    </row>
    <row r="37" spans="2:22" x14ac:dyDescent="0.2">
      <c r="B37" s="11">
        <v>160</v>
      </c>
      <c r="C37" s="11">
        <v>80</v>
      </c>
      <c r="D37" s="12">
        <f>[1]!PVT_rs_m3m3(B37,C37,,gamma_gas_,gamma_oil_,gamma_wat_,Rsb_,Pb_,Tres_,Bob_,muob_)</f>
        <v>113.04742470066222</v>
      </c>
      <c r="E37" s="13">
        <f>[1]!PVT_bo_m3m3(B37,C37,,gamma_gas_,gamma_oil_,gamma_wat_,Rsb_,Pb_,Tres_,Bob_,muob_)</f>
        <v>1.3892859932746591</v>
      </c>
      <c r="F37" s="45">
        <f>[1]!PVT_mu_oil_cP(B37,C37,,gamma_gas_,gamma_oil_,gamma_wat_,Rsb_,Pb_,Tres_,Bob_,muob_)</f>
        <v>0.63034877468934047</v>
      </c>
      <c r="G37" s="14">
        <f>[1]!PVT_mu_gas_cP(B37,C37,,gamma_gas_,gamma_oil_,gamma_wat_,Rsb_,Pb_,Tres_,Bob_,muob_)</f>
        <v>2.2911561151152695E-2</v>
      </c>
      <c r="H37" s="13">
        <f>[1]!PVT_mu_wat_cP(B37,C37,,gamma_gas_,gamma_oil_,gamma_wat_,Rsb_,Pb_,Tres_,Bob_,muob_)</f>
        <v>0.5495591215623663</v>
      </c>
      <c r="I37" s="45">
        <f>[1]!PVT_rho_gas_kgm3(B37,C37,,gamma_gas_,gamma_oil_,gamma_wat_,Rsb_,Pb_,Tres_,Bob_,muob_)</f>
        <v>202.21271328922532</v>
      </c>
      <c r="J37" s="45">
        <f>[1]!PVT_rho_wat_kgm3(B37,C37,,gamma_gas_,gamma_oil_,gamma_wat_,Rsb_,Pb_,Tres_,Bob_,muob_)</f>
        <v>1070.8922517565502</v>
      </c>
      <c r="K37" s="45">
        <f>[1]!PVT_rho_oil_kgm3(B37,C37,,gamma_gas_,gamma_oil_,gamma_wat_,Rsb_,Pb_,Tres_,Bob_,muob_)</f>
        <v>708.49273630193807</v>
      </c>
      <c r="L37" s="19">
        <f>[1]!PVT_bg_m3m3(B37,C37,,gamma_gas_,gamma_oil_,gamma_wat_,Rsb_,Pb_,Tres_,Bob_,muob_)</f>
        <v>5.4374919465490761E-3</v>
      </c>
      <c r="M37" s="19">
        <f>[1]!PVT_bw_m3m3(B37,C37,,gamma_gas_,gamma_oil_,gamma_wat_,Rsb_,Pb_,Tres_,Bob_,muob_)</f>
        <v>1.0271808374705349</v>
      </c>
      <c r="N37" s="14"/>
      <c r="O37" s="14">
        <f>[1]!PVT_ST_oilgas_Nm(B37,C37,,gamma_gas_,gamma_oil_,gamma_wat_,Rsb_,Pb_,Tres_,Bob_,muob_)</f>
        <v>5.4140222234044473E-2</v>
      </c>
      <c r="P37" s="19">
        <f>[1]!PVT_ST_watgas_Nm(B37,C37,,gamma_gas_,gamma_oil_,gamma_wat_,Rsb_,Pb_,Tres_,Bob_,muob_)</f>
        <v>6.2199658463628106E-2</v>
      </c>
      <c r="Q37" s="28">
        <f>[1]!PVT_cp_oil_JkgC(B37,C37,,gamma_gas_,gamma_oil_,gamma_wat_,Rsb_,Pb_,Tres_,Bob_,muob_)</f>
        <v>2612.2600000000002</v>
      </c>
      <c r="R37" s="28">
        <f>[1]!PVT_cp_gas_JkgC(B37,C37,,gamma_gas_,gamma_oil_,gamma_wat_,Rsb_,Pb_,Tres_,Bob_,muob_)</f>
        <v>1388.2835529406143</v>
      </c>
      <c r="S37" s="28">
        <f>[1]!PVT_cp_wat_JkgC(B37,C37,,gamma_gas_,gamma_oil_,gamma_wat_,Rsb_,Pb_,Tres_,Bob_,muob_)</f>
        <v>4176</v>
      </c>
      <c r="T37" s="29">
        <f>[1]!PVT_compressibility_wat_1atm(B37,C37,,gamma_gas_,gamma_oil_,gamma_wat_,Rsb_,Pb_,Tres_,Bob_,muob_)</f>
        <v>3.6281971983320796E-5</v>
      </c>
      <c r="U37" s="29">
        <f>[1]!PVT_compressibility_oil_1atm(B37,C37,,gamma_gas_,gamma_oil_,gamma_wat_,Rsb_,Pb_,Tres_,Bob_,muob_)</f>
        <v>1.344069795282232E-3</v>
      </c>
      <c r="V37" s="29">
        <f>[1]!PVT_compressibility_gas_1atm(B37,C37,,gamma_gas_,gamma_oil_,gamma_wat_,Rsb_,Pb_,Tres_,Bob_,muob_)</f>
        <v>5.5020843905040934E-3</v>
      </c>
    </row>
    <row r="38" spans="2:22" x14ac:dyDescent="0.2">
      <c r="B38" s="11">
        <v>180</v>
      </c>
      <c r="C38" s="11">
        <v>80</v>
      </c>
      <c r="D38" s="12">
        <f>[1]!PVT_rs_m3m3(B38,C38,,gamma_gas_,gamma_oil_,gamma_wat_,Rsb_,Pb_,Tres_,Bob_,muob_)</f>
        <v>120</v>
      </c>
      <c r="E38" s="13">
        <f>[1]!PVT_bo_m3m3(B38,C38,,gamma_gas_,gamma_oil_,gamma_wat_,Rsb_,Pb_,Tres_,Bob_,muob_)</f>
        <v>1.4076661699859636</v>
      </c>
      <c r="F38" s="45">
        <f>[1]!PVT_mu_oil_cP(B38,C38,,gamma_gas_,gamma_oil_,gamma_wat_,Rsb_,Pb_,Tres_,Bob_,muob_)</f>
        <v>0.61877145944725898</v>
      </c>
      <c r="G38" s="14">
        <f>[1]!PVT_mu_gas_cP(B38,C38,,gamma_gas_,gamma_oil_,gamma_wat_,Rsb_,Pb_,Tres_,Bob_,muob_)</f>
        <v>2.5065367115478056E-2</v>
      </c>
      <c r="H38" s="13">
        <f>[1]!PVT_mu_wat_cP(B38,C38,,gamma_gas_,gamma_oil_,gamma_wat_,Rsb_,Pb_,Tres_,Bob_,muob_)</f>
        <v>0.55767181582390579</v>
      </c>
      <c r="I38" s="45">
        <f>[1]!PVT_rho_gas_kgm3(B38,C38,,gamma_gas_,gamma_oil_,gamma_wat_,Rsb_,Pb_,Tres_,Bob_,muob_)</f>
        <v>222.97803524371486</v>
      </c>
      <c r="J38" s="45">
        <f>[1]!PVT_rho_wat_kgm3(B38,C38,,gamma_gas_,gamma_oil_,gamma_wat_,Rsb_,Pb_,Tres_,Bob_,muob_)</f>
        <v>1071.517415027238</v>
      </c>
      <c r="K38" s="45">
        <f>[1]!PVT_rho_oil_kgm3(B38,C38,,gamma_gas_,gamma_oil_,gamma_wat_,Rsb_,Pb_,Tres_,Bob_,muob_)</f>
        <v>704.67247217420243</v>
      </c>
      <c r="L38" s="19">
        <f>[1]!PVT_bg_m3m3(B38,C38,,gamma_gas_,gamma_oil_,gamma_wat_,Rsb_,Pb_,Tres_,Bob_,muob_)</f>
        <v>4.931113500924943E-3</v>
      </c>
      <c r="M38" s="19">
        <f>[1]!PVT_bw_m3m3(B38,C38,,gamma_gas_,gamma_oil_,gamma_wat_,Rsb_,Pb_,Tres_,Bob_,muob_)</f>
        <v>1.0265815418147339</v>
      </c>
      <c r="N38" s="14"/>
      <c r="O38" s="14">
        <f>[1]!PVT_ST_oilgas_Nm(B38,C38,,gamma_gas_,gamma_oil_,gamma_wat_,Rsb_,Pb_,Tres_,Bob_,muob_)</f>
        <v>5.2766383887002999E-2</v>
      </c>
      <c r="P38" s="19">
        <f>[1]!PVT_ST_watgas_Nm(B38,C38,,gamma_gas_,gamma_oil_,gamma_wat_,Rsb_,Pb_,Tres_,Bob_,muob_)</f>
        <v>6.1910099215157867E-2</v>
      </c>
      <c r="Q38" s="28">
        <f>[1]!PVT_cp_oil_JkgC(B38,C38,,gamma_gas_,gamma_oil_,gamma_wat_,Rsb_,Pb_,Tres_,Bob_,muob_)</f>
        <v>2612.2600000000002</v>
      </c>
      <c r="R38" s="28">
        <f>[1]!PVT_cp_gas_JkgC(B38,C38,,gamma_gas_,gamma_oil_,gamma_wat_,Rsb_,Pb_,Tres_,Bob_,muob_)</f>
        <v>1416.3711538520051</v>
      </c>
      <c r="S38" s="28">
        <f>[1]!PVT_cp_wat_JkgC(B38,C38,,gamma_gas_,gamma_oil_,gamma_wat_,Rsb_,Pb_,Tres_,Bob_,muob_)</f>
        <v>4176</v>
      </c>
      <c r="T38" s="29">
        <f>[1]!PVT_compressibility_wat_1atm(B38,C38,,gamma_gas_,gamma_oil_,gamma_wat_,Rsb_,Pb_,Tres_,Bob_,muob_)</f>
        <v>3.6095321540750486E-5</v>
      </c>
      <c r="U38" s="29">
        <f>[1]!PVT_compressibility_oil_1atm(B38,C38,,gamma_gas_,gamma_oil_,gamma_wat_,Rsb_,Pb_,Tres_,Bob_,muob_)</f>
        <v>2.3756770025839798E-4</v>
      </c>
      <c r="V38" s="29">
        <f>[1]!PVT_compressibility_gas_1atm(B38,C38,,gamma_gas_,gamma_oil_,gamma_wat_,Rsb_,Pb_,Tres_,Bob_,muob_)</f>
        <v>4.3328788175448565E-3</v>
      </c>
    </row>
    <row r="39" spans="2:22" x14ac:dyDescent="0.2">
      <c r="B39" s="11">
        <v>200</v>
      </c>
      <c r="C39" s="11">
        <v>80</v>
      </c>
      <c r="D39" s="12">
        <f>[1]!PVT_rs_m3m3(B39,C39,,gamma_gas_,gamma_oil_,gamma_wat_,Rsb_,Pb_,Tres_,Bob_,muob_)</f>
        <v>120</v>
      </c>
      <c r="E39" s="13">
        <f>[1]!PVT_bo_m3m3(B39,C39,,gamma_gas_,gamma_oil_,gamma_wat_,Rsb_,Pb_,Tres_,Bob_,muob_)</f>
        <v>1.4020824092810213</v>
      </c>
      <c r="F39" s="45">
        <f>[1]!PVT_mu_oil_cP(B39,C39,,gamma_gas_,gamma_oil_,gamma_wat_,Rsb_,Pb_,Tres_,Bob_,muob_)</f>
        <v>0.63719796155440789</v>
      </c>
      <c r="G39" s="14">
        <f>[1]!PVT_mu_gas_cP(B39,C39,,gamma_gas_,gamma_oil_,gamma_wat_,Rsb_,Pb_,Tres_,Bob_,muob_)</f>
        <v>2.7149989853059744E-2</v>
      </c>
      <c r="H39" s="13">
        <f>[1]!PVT_mu_wat_cP(B39,C39,,gamma_gas_,gamma_oil_,gamma_wat_,Rsb_,Pb_,Tres_,Bob_,muob_)</f>
        <v>0.56604991083539313</v>
      </c>
      <c r="I39" s="45">
        <f>[1]!PVT_rho_gas_kgm3(B39,C39,,gamma_gas_,gamma_oil_,gamma_wat_,Rsb_,Pb_,Tres_,Bob_,muob_)</f>
        <v>241.00156608904609</v>
      </c>
      <c r="J39" s="45">
        <f>[1]!PVT_rho_wat_kgm3(B39,C39,,gamma_gas_,gamma_oil_,gamma_wat_,Rsb_,Pb_,Tres_,Bob_,muob_)</f>
        <v>1072.1908713232208</v>
      </c>
      <c r="K39" s="45">
        <f>[1]!PVT_rho_oil_kgm3(B39,C39,,gamma_gas_,gamma_oil_,gamma_wat_,Rsb_,Pb_,Tres_,Bob_,muob_)</f>
        <v>707.47881396548019</v>
      </c>
      <c r="L39" s="19">
        <f>[1]!PVT_bg_m3m3(B39,C39,,gamma_gas_,gamma_oil_,gamma_wat_,Rsb_,Pb_,Tres_,Bob_,muob_)</f>
        <v>4.5623354978271882E-3</v>
      </c>
      <c r="M39" s="19">
        <f>[1]!PVT_bw_m3m3(B39,C39,,gamma_gas_,gamma_oil_,gamma_wat_,Rsb_,Pb_,Tres_,Bob_,muob_)</f>
        <v>1.0259367333005356</v>
      </c>
      <c r="N39" s="14"/>
      <c r="O39" s="14">
        <f>[1]!PVT_ST_oilgas_Nm(B39,C39,,gamma_gas_,gamma_oil_,gamma_wat_,Rsb_,Pb_,Tres_,Bob_,muob_)</f>
        <v>5.1427407454558816E-2</v>
      </c>
      <c r="P39" s="19">
        <f>[1]!PVT_ST_watgas_Nm(B39,C39,,gamma_gas_,gamma_oil_,gamma_wat_,Rsb_,Pb_,Tres_,Bob_,muob_)</f>
        <v>6.1621887957343004E-2</v>
      </c>
      <c r="Q39" s="28">
        <f>[1]!PVT_cp_oil_JkgC(B39,C39,,gamma_gas_,gamma_oil_,gamma_wat_,Rsb_,Pb_,Tres_,Bob_,muob_)</f>
        <v>2612.2600000000002</v>
      </c>
      <c r="R39" s="28">
        <f>[1]!PVT_cp_gas_JkgC(B39,C39,,gamma_gas_,gamma_oil_,gamma_wat_,Rsb_,Pb_,Tres_,Bob_,muob_)</f>
        <v>1456.0516587639254</v>
      </c>
      <c r="S39" s="28">
        <f>[1]!PVT_cp_wat_JkgC(B39,C39,,gamma_gas_,gamma_oil_,gamma_wat_,Rsb_,Pb_,Tres_,Bob_,muob_)</f>
        <v>4176</v>
      </c>
      <c r="T39" s="29">
        <f>[1]!PVT_compressibility_wat_1atm(B39,C39,,gamma_gas_,gamma_oil_,gamma_wat_,Rsb_,Pb_,Tres_,Bob_,muob_)</f>
        <v>3.5910581693392951E-5</v>
      </c>
      <c r="U39" s="29">
        <f>[1]!PVT_compressibility_oil_1atm(B39,C39,,gamma_gas_,gamma_oil_,gamma_wat_,Rsb_,Pb_,Tres_,Bob_,muob_)</f>
        <v>2.1381093023255818E-4</v>
      </c>
      <c r="V39" s="29">
        <f>[1]!PVT_compressibility_gas_1atm(B39,C39,,gamma_gas_,gamma_oil_,gamma_wat_,Rsb_,Pb_,Tres_,Bob_,muob_)</f>
        <v>3.4834166523360775E-3</v>
      </c>
    </row>
    <row r="40" spans="2:22" x14ac:dyDescent="0.2">
      <c r="B40" s="11">
        <v>220</v>
      </c>
      <c r="C40" s="11">
        <v>80</v>
      </c>
      <c r="D40" s="12">
        <f>[1]!PVT_rs_m3m3(B40,C40,,gamma_gas_,gamma_oil_,gamma_wat_,Rsb_,Pb_,Tres_,Bob_,muob_)</f>
        <v>120</v>
      </c>
      <c r="E40" s="13">
        <f>[1]!PVT_bo_m3m3(B40,C40,,gamma_gas_,gamma_oil_,gamma_wat_,Rsb_,Pb_,Tres_,Bob_,muob_)</f>
        <v>1.3975303562155545</v>
      </c>
      <c r="F40" s="45">
        <f>[1]!PVT_mu_oil_cP(B40,C40,,gamma_gas_,gamma_oil_,gamma_wat_,Rsb_,Pb_,Tres_,Bob_,muob_)</f>
        <v>0.65752824274055588</v>
      </c>
      <c r="G40" s="14">
        <f>[1]!PVT_mu_gas_cP(B40,C40,,gamma_gas_,gamma_oil_,gamma_wat_,Rsb_,Pb_,Tres_,Bob_,muob_)</f>
        <v>2.9147599743131497E-2</v>
      </c>
      <c r="H40" s="13">
        <f>[1]!PVT_mu_wat_cP(B40,C40,,gamma_gas_,gamma_oil_,gamma_wat_,Rsb_,Pb_,Tres_,Bob_,muob_)</f>
        <v>0.57469340659682833</v>
      </c>
      <c r="I40" s="45">
        <f>[1]!PVT_rho_gas_kgm3(B40,C40,,gamma_gas_,gamma_oil_,gamma_wat_,Rsb_,Pb_,Tres_,Bob_,muob_)</f>
        <v>256.71064729823104</v>
      </c>
      <c r="J40" s="45">
        <f>[1]!PVT_rho_wat_kgm3(B40,C40,,gamma_gas_,gamma_oil_,gamma_wat_,Rsb_,Pb_,Tres_,Bob_,muob_)</f>
        <v>1072.912801451788</v>
      </c>
      <c r="K40" s="45">
        <f>[1]!PVT_rho_oil_kgm3(B40,C40,,gamma_gas_,gamma_oil_,gamma_wat_,Rsb_,Pb_,Tres_,Bob_,muob_)</f>
        <v>709.78322266010446</v>
      </c>
      <c r="L40" s="19">
        <f>[1]!PVT_bg_m3m3(B40,C40,,gamma_gas_,gamma_oil_,gamma_wat_,Rsb_,Pb_,Tres_,Bob_,muob_)</f>
        <v>4.2831491859495491E-3</v>
      </c>
      <c r="M40" s="19">
        <f>[1]!PVT_bw_m3m3(B40,C40,,gamma_gas_,gamma_oil_,gamma_wat_,Rsb_,Pb_,Tres_,Bob_,muob_)</f>
        <v>1.0252464119279401</v>
      </c>
      <c r="N40" s="14"/>
      <c r="O40" s="14">
        <f>[1]!PVT_ST_oilgas_Nm(B40,C40,,gamma_gas_,gamma_oil_,gamma_wat_,Rsb_,Pb_,Tres_,Bob_,muob_)</f>
        <v>5.012240829617761E-2</v>
      </c>
      <c r="P40" s="19">
        <f>[1]!PVT_ST_watgas_Nm(B40,C40,,gamma_gas_,gamma_oil_,gamma_wat_,Rsb_,Pb_,Tres_,Bob_,muob_)</f>
        <v>6.133501841485705E-2</v>
      </c>
      <c r="Q40" s="28">
        <f>[1]!PVT_cp_oil_JkgC(B40,C40,,gamma_gas_,gamma_oil_,gamma_wat_,Rsb_,Pb_,Tres_,Bob_,muob_)</f>
        <v>2612.2600000000002</v>
      </c>
      <c r="R40" s="28">
        <f>[1]!PVT_cp_gas_JkgC(B40,C40,,gamma_gas_,gamma_oil_,gamma_wat_,Rsb_,Pb_,Tres_,Bob_,muob_)</f>
        <v>1503.6454745372969</v>
      </c>
      <c r="S40" s="28">
        <f>[1]!PVT_cp_wat_JkgC(B40,C40,,gamma_gas_,gamma_oil_,gamma_wat_,Rsb_,Pb_,Tres_,Bob_,muob_)</f>
        <v>4176</v>
      </c>
      <c r="T40" s="29">
        <f>[1]!PVT_compressibility_wat_1atm(B40,C40,,gamma_gas_,gamma_oil_,gamma_wat_,Rsb_,Pb_,Tres_,Bob_,muob_)</f>
        <v>3.5727723254715326E-5</v>
      </c>
      <c r="U40" s="29">
        <f>[1]!PVT_compressibility_oil_1atm(B40,C40,,gamma_gas_,gamma_oil_,gamma_wat_,Rsb_,Pb_,Tres_,Bob_,muob_)</f>
        <v>1.9437357293868927E-4</v>
      </c>
      <c r="V40" s="29">
        <f>[1]!PVT_compressibility_gas_1atm(B40,C40,,gamma_gas_,gamma_oil_,gamma_wat_,Rsb_,Pb_,Tres_,Bob_,muob_)</f>
        <v>2.8616167448859095E-3</v>
      </c>
    </row>
    <row r="41" spans="2:22" x14ac:dyDescent="0.2">
      <c r="B41" s="11">
        <v>240</v>
      </c>
      <c r="C41" s="11">
        <v>80</v>
      </c>
      <c r="D41" s="12">
        <f>[1]!PVT_rs_m3m3(B41,C41,,gamma_gas_,gamma_oil_,gamma_wat_,Rsb_,Pb_,Tres_,Bob_,muob_)</f>
        <v>120</v>
      </c>
      <c r="E41" s="13">
        <f>[1]!PVT_bo_m3m3(B41,C41,,gamma_gas_,gamma_oil_,gamma_wat_,Rsb_,Pb_,Tres_,Bob_,muob_)</f>
        <v>1.393748270110204</v>
      </c>
      <c r="F41" s="45">
        <f>[1]!PVT_mu_oil_cP(B41,C41,,gamma_gas_,gamma_oil_,gamma_wat_,Rsb_,Pb_,Tres_,Bob_,muob_)</f>
        <v>0.6796128620048475</v>
      </c>
      <c r="G41" s="14">
        <f>[1]!PVT_mu_gas_cP(B41,C41,,gamma_gas_,gamma_oil_,gamma_wat_,Rsb_,Pb_,Tres_,Bob_,muob_)</f>
        <v>3.1055530887268586E-2</v>
      </c>
      <c r="H41" s="13">
        <f>[1]!PVT_mu_wat_cP(B41,C41,,gamma_gas_,gamma_oil_,gamma_wat_,Rsb_,Pb_,Tres_,Bob_,muob_)</f>
        <v>0.58360230310821137</v>
      </c>
      <c r="I41" s="45">
        <f>[1]!PVT_rho_gas_kgm3(B41,C41,,gamma_gas_,gamma_oil_,gamma_wat_,Rsb_,Pb_,Tres_,Bob_,muob_)</f>
        <v>270.51818172576708</v>
      </c>
      <c r="J41" s="45">
        <f>[1]!PVT_rho_wat_kgm3(B41,C41,,gamma_gas_,gamma_oil_,gamma_wat_,Rsb_,Pb_,Tres_,Bob_,muob_)</f>
        <v>1073.6833996118905</v>
      </c>
      <c r="K41" s="45">
        <f>[1]!PVT_rho_oil_kgm3(B41,C41,,gamma_gas_,gamma_oil_,gamma_wat_,Rsb_,Pb_,Tres_,Bob_,muob_)</f>
        <v>711.70929591293179</v>
      </c>
      <c r="L41" s="19">
        <f>[1]!PVT_bg_m3m3(B41,C41,,gamma_gas_,gamma_oil_,gamma_wat_,Rsb_,Pb_,Tres_,Bob_,muob_)</f>
        <v>4.0645327163799615E-3</v>
      </c>
      <c r="M41" s="19">
        <f>[1]!PVT_bw_m3m3(B41,C41,,gamma_gas_,gamma_oil_,gamma_wat_,Rsb_,Pb_,Tres_,Bob_,muob_)</f>
        <v>1.0245105776969472</v>
      </c>
      <c r="N41" s="14"/>
      <c r="O41" s="14">
        <f>[1]!PVT_ST_oilgas_Nm(B41,C41,,gamma_gas_,gamma_oil_,gamma_wat_,Rsb_,Pb_,Tres_,Bob_,muob_)</f>
        <v>4.8850524219572214E-2</v>
      </c>
      <c r="P41" s="19">
        <f>[1]!PVT_ST_watgas_Nm(B41,C41,,gamma_gas_,gamma_oil_,gamma_wat_,Rsb_,Pb_,Tres_,Bob_,muob_)</f>
        <v>6.1049484341587183E-2</v>
      </c>
      <c r="Q41" s="28">
        <f>[1]!PVT_cp_oil_JkgC(B41,C41,,gamma_gas_,gamma_oil_,gamma_wat_,Rsb_,Pb_,Tres_,Bob_,muob_)</f>
        <v>2612.2600000000002</v>
      </c>
      <c r="R41" s="28">
        <f>[1]!PVT_cp_gas_JkgC(B41,C41,,gamma_gas_,gamma_oil_,gamma_wat_,Rsb_,Pb_,Tres_,Bob_,muob_)</f>
        <v>1556.6158008161776</v>
      </c>
      <c r="S41" s="28">
        <f>[1]!PVT_cp_wat_JkgC(B41,C41,,gamma_gas_,gamma_oil_,gamma_wat_,Rsb_,Pb_,Tres_,Bob_,muob_)</f>
        <v>4176</v>
      </c>
      <c r="T41" s="29">
        <f>[1]!PVT_compressibility_wat_1atm(B41,C41,,gamma_gas_,gamma_oil_,gamma_wat_,Rsb_,Pb_,Tres_,Bob_,muob_)</f>
        <v>3.5546717629650001E-5</v>
      </c>
      <c r="U41" s="29">
        <f>[1]!PVT_compressibility_oil_1atm(B41,C41,,gamma_gas_,gamma_oil_,gamma_wat_,Rsb_,Pb_,Tres_,Bob_,muob_)</f>
        <v>1.7817577519379851E-4</v>
      </c>
      <c r="V41" s="29">
        <f>[1]!PVT_compressibility_gas_1atm(B41,C41,,gamma_gas_,gamma_oil_,gamma_wat_,Rsb_,Pb_,Tres_,Bob_,muob_)</f>
        <v>2.398498224880996E-3</v>
      </c>
    </row>
    <row r="42" spans="2:22" x14ac:dyDescent="0.2">
      <c r="B42" s="11">
        <v>260</v>
      </c>
      <c r="C42" s="11">
        <v>80</v>
      </c>
      <c r="D42" s="12">
        <f>[1]!PVT_rs_m3m3(B42,C42,,gamma_gas_,gamma_oil_,gamma_wat_,Rsb_,Pb_,Tres_,Bob_,muob_)</f>
        <v>120</v>
      </c>
      <c r="E42" s="13">
        <f>[1]!PVT_bo_m3m3(B42,C42,,gamma_gas_,gamma_oil_,gamma_wat_,Rsb_,Pb_,Tres_,Bob_,muob_)</f>
        <v>1.3905560389699005</v>
      </c>
      <c r="F42" s="45">
        <f>[1]!PVT_mu_oil_cP(B42,C42,,gamma_gas_,gamma_oil_,gamma_wat_,Rsb_,Pb_,Tres_,Bob_,muob_)</f>
        <v>0.70332279259628794</v>
      </c>
      <c r="G42" s="14">
        <f>[1]!PVT_mu_gas_cP(B42,C42,,gamma_gas_,gamma_oil_,gamma_wat_,Rsb_,Pb_,Tres_,Bob_,muob_)</f>
        <v>3.2877589940684453E-2</v>
      </c>
      <c r="H42" s="13">
        <f>[1]!PVT_mu_wat_cP(B42,C42,,gamma_gas_,gamma_oil_,gamma_wat_,Rsb_,Pb_,Tres_,Bob_,muob_)</f>
        <v>0.59277660036954249</v>
      </c>
      <c r="I42" s="45">
        <f>[1]!PVT_rho_gas_kgm3(B42,C42,,gamma_gas_,gamma_oil_,gamma_wat_,Rsb_,Pb_,Tres_,Bob_,muob_)</f>
        <v>282.76962009740339</v>
      </c>
      <c r="J42" s="45">
        <f>[1]!PVT_rho_wat_kgm3(B42,C42,,gamma_gas_,gamma_oil_,gamma_wat_,Rsb_,Pb_,Tres_,Bob_,muob_)</f>
        <v>1074.5028735256278</v>
      </c>
      <c r="K42" s="45">
        <f>[1]!PVT_rho_oil_kgm3(B42,C42,,gamma_gas_,gamma_oil_,gamma_wat_,Rsb_,Pb_,Tres_,Bob_,muob_)</f>
        <v>713.34313195663401</v>
      </c>
      <c r="L42" s="19">
        <f>[1]!PVT_bg_m3m3(B42,C42,,gamma_gas_,gamma_oil_,gamma_wat_,Rsb_,Pb_,Tres_,Bob_,muob_)</f>
        <v>3.8884304460332542E-3</v>
      </c>
      <c r="M42" s="19">
        <f>[1]!PVT_bw_m3m3(B42,C42,,gamma_gas_,gamma_oil_,gamma_wat_,Rsb_,Pb_,Tres_,Bob_,muob_)</f>
        <v>1.0237292306075569</v>
      </c>
      <c r="N42" s="14"/>
      <c r="O42" s="14">
        <f>[1]!PVT_ST_oilgas_Nm(B42,C42,,gamma_gas_,gamma_oil_,gamma_wat_,Rsb_,Pb_,Tres_,Bob_,muob_)</f>
        <v>4.761091491106581E-2</v>
      </c>
      <c r="P42" s="19">
        <f>[1]!PVT_ST_watgas_Nm(B42,C42,,gamma_gas_,gamma_oil_,gamma_wat_,Rsb_,Pb_,Tres_,Bob_,muob_)</f>
        <v>6.0765279520498323E-2</v>
      </c>
      <c r="Q42" s="28">
        <f>[1]!PVT_cp_oil_JkgC(B42,C42,,gamma_gas_,gamma_oil_,gamma_wat_,Rsb_,Pb_,Tres_,Bob_,muob_)</f>
        <v>2612.2600000000002</v>
      </c>
      <c r="R42" s="28">
        <f>[1]!PVT_cp_gas_JkgC(B42,C42,,gamma_gas_,gamma_oil_,gamma_wat_,Rsb_,Pb_,Tres_,Bob_,muob_)</f>
        <v>1613.2707216995911</v>
      </c>
      <c r="S42" s="28">
        <f>[1]!PVT_cp_wat_JkgC(B42,C42,,gamma_gas_,gamma_oil_,gamma_wat_,Rsb_,Pb_,Tres_,Bob_,muob_)</f>
        <v>4176</v>
      </c>
      <c r="T42" s="29">
        <f>[1]!PVT_compressibility_wat_1atm(B42,C42,,gamma_gas_,gamma_oil_,gamma_wat_,Rsb_,Pb_,Tres_,Bob_,muob_)</f>
        <v>3.5367536799687554E-5</v>
      </c>
      <c r="U42" s="29">
        <f>[1]!PVT_compressibility_oil_1atm(B42,C42,,gamma_gas_,gamma_oil_,gamma_wat_,Rsb_,Pb_,Tres_,Bob_,muob_)</f>
        <v>1.6446994633273704E-4</v>
      </c>
      <c r="V42" s="29">
        <f>[1]!PVT_compressibility_gas_1atm(B42,C42,,gamma_gas_,gamma_oil_,gamma_wat_,Rsb_,Pb_,Tres_,Bob_,muob_)</f>
        <v>2.0455644724820237E-3</v>
      </c>
    </row>
    <row r="43" spans="2:22" x14ac:dyDescent="0.2">
      <c r="B43" s="11">
        <v>280</v>
      </c>
      <c r="C43" s="11">
        <v>80</v>
      </c>
      <c r="D43" s="12">
        <f>[1]!PVT_rs_m3m3(B43,C43,,gamma_gas_,gamma_oil_,gamma_wat_,Rsb_,Pb_,Tres_,Bob_,muob_)</f>
        <v>120</v>
      </c>
      <c r="E43" s="13">
        <f>[1]!PVT_bo_m3m3(B43,C43,,gamma_gas_,gamma_oil_,gamma_wat_,Rsb_,Pb_,Tres_,Bob_,muob_)</f>
        <v>1.3878256608128681</v>
      </c>
      <c r="F43" s="45">
        <f>[1]!PVT_mu_oil_cP(B43,C43,,gamma_gas_,gamma_oil_,gamma_wat_,Rsb_,Pb_,Tres_,Bob_,muob_)</f>
        <v>0.72854283858678093</v>
      </c>
      <c r="G43" s="14">
        <f>[1]!PVT_mu_gas_cP(B43,C43,,gamma_gas_,gamma_oil_,gamma_wat_,Rsb_,Pb_,Tres_,Bob_,muob_)</f>
        <v>3.4619250690228753E-2</v>
      </c>
      <c r="H43" s="13">
        <f>[1]!PVT_mu_wat_cP(B43,C43,,gamma_gas_,gamma_oil_,gamma_wat_,Rsb_,Pb_,Tres_,Bob_,muob_)</f>
        <v>0.60221629838082136</v>
      </c>
      <c r="I43" s="45">
        <f>[1]!PVT_rho_gas_kgm3(B43,C43,,gamma_gas_,gamma_oil_,gamma_wat_,Rsb_,Pb_,Tres_,Bob_,muob_)</f>
        <v>293.73624421676334</v>
      </c>
      <c r="J43" s="45">
        <f>[1]!PVT_rho_wat_kgm3(B43,C43,,gamma_gas_,gamma_oil_,gamma_wat_,Rsb_,Pb_,Tres_,Bob_,muob_)</f>
        <v>1075.3714445793128</v>
      </c>
      <c r="K43" s="45">
        <f>[1]!PVT_rho_oil_kgm3(B43,C43,,gamma_gas_,gamma_oil_,gamma_wat_,Rsb_,Pb_,Tres_,Bob_,muob_)</f>
        <v>714.74654778973127</v>
      </c>
      <c r="L43" s="19">
        <f>[1]!PVT_bg_m3m3(B43,C43,,gamma_gas_,gamma_oil_,gamma_wat_,Rsb_,Pb_,Tres_,Bob_,muob_)</f>
        <v>3.7432561410045105E-3</v>
      </c>
      <c r="M43" s="19">
        <f>[1]!PVT_bw_m3m3(B43,C43,,gamma_gas_,gamma_oil_,gamma_wat_,Rsb_,Pb_,Tres_,Bob_,muob_)</f>
        <v>1.0229023706597695</v>
      </c>
      <c r="N43" s="14"/>
      <c r="O43" s="14">
        <f>[1]!PVT_ST_oilgas_Nm(B43,C43,,gamma_gas_,gamma_oil_,gamma_wat_,Rsb_,Pb_,Tres_,Bob_,muob_)</f>
        <v>4.640276138041001E-2</v>
      </c>
      <c r="P43" s="19">
        <f>[1]!PVT_ST_watgas_Nm(B43,C43,,gamma_gas_,gamma_oil_,gamma_wat_,Rsb_,Pb_,Tres_,Bob_,muob_)</f>
        <v>6.0482397763497585E-2</v>
      </c>
      <c r="Q43" s="28">
        <f>[1]!PVT_cp_oil_JkgC(B43,C43,,gamma_gas_,gamma_oil_,gamma_wat_,Rsb_,Pb_,Tres_,Bob_,muob_)</f>
        <v>2612.2600000000002</v>
      </c>
      <c r="R43" s="28">
        <f>[1]!PVT_cp_gas_JkgC(B43,C43,,gamma_gas_,gamma_oil_,gamma_wat_,Rsb_,Pb_,Tres_,Bob_,muob_)</f>
        <v>1672.5039274812323</v>
      </c>
      <c r="S43" s="28">
        <f>[1]!PVT_cp_wat_JkgC(B43,C43,,gamma_gas_,gamma_oil_,gamma_wat_,Rsb_,Pb_,Tres_,Bob_,muob_)</f>
        <v>4176</v>
      </c>
      <c r="T43" s="29">
        <f>[1]!PVT_compressibility_wat_1atm(B43,C43,,gamma_gas_,gamma_oil_,gamma_wat_,Rsb_,Pb_,Tres_,Bob_,muob_)</f>
        <v>3.5190153308418342E-5</v>
      </c>
      <c r="U43" s="29">
        <f>[1]!PVT_compressibility_oil_1atm(B43,C43,,gamma_gas_,gamma_oil_,gamma_wat_,Rsb_,Pb_,Tres_,Bob_,muob_)</f>
        <v>1.5272209302325584E-4</v>
      </c>
      <c r="V43" s="29">
        <f>[1]!PVT_compressibility_gas_1atm(B43,C43,,gamma_gas_,gamma_oil_,gamma_wat_,Rsb_,Pb_,Tres_,Bob_,muob_)</f>
        <v>1.7698379101511389E-3</v>
      </c>
    </row>
    <row r="44" spans="2:22" x14ac:dyDescent="0.2">
      <c r="B44" s="11">
        <v>300</v>
      </c>
      <c r="C44" s="11">
        <v>80</v>
      </c>
      <c r="D44" s="12">
        <f>[1]!PVT_rs_m3m3(B44,C44,,gamma_gas_,gamma_oil_,gamma_wat_,Rsb_,Pb_,Tres_,Bob_,muob_)</f>
        <v>120</v>
      </c>
      <c r="E44" s="13">
        <f>[1]!PVT_bo_m3m3(B44,C44,,gamma_gas_,gamma_oil_,gamma_wat_,Rsb_,Pb_,Tres_,Bob_,muob_)</f>
        <v>1.3854636700215823</v>
      </c>
      <c r="F44" s="45">
        <f>[1]!PVT_mu_oil_cP(B44,C44,,gamma_gas_,gamma_oil_,gamma_wat_,Rsb_,Pb_,Tres_,Bob_,muob_)</f>
        <v>0.75516695400167422</v>
      </c>
      <c r="G44" s="14">
        <f>[1]!PVT_mu_gas_cP(B44,C44,,gamma_gas_,gamma_oil_,gamma_wat_,Rsb_,Pb_,Tres_,Bob_,muob_)</f>
        <v>3.6285578432125411E-2</v>
      </c>
      <c r="H44" s="13">
        <f>[1]!PVT_mu_wat_cP(B44,C44,,gamma_gas_,gamma_oil_,gamma_wat_,Rsb_,Pb_,Tres_,Bob_,muob_)</f>
        <v>0.6119213971420483</v>
      </c>
      <c r="I44" s="45">
        <f>[1]!PVT_rho_gas_kgm3(B44,C44,,gamma_gas_,gamma_oil_,gamma_wat_,Rsb_,Pb_,Tres_,Bob_,muob_)</f>
        <v>303.62618263772396</v>
      </c>
      <c r="J44" s="45">
        <f>[1]!PVT_rho_wat_kgm3(B44,C44,,gamma_gas_,gamma_oil_,gamma_wat_,Rsb_,Pb_,Tres_,Bob_,muob_)</f>
        <v>1076.2893479742904</v>
      </c>
      <c r="K44" s="45">
        <f>[1]!PVT_rho_oil_kgm3(B44,C44,,gamma_gas_,gamma_oil_,gamma_wat_,Rsb_,Pb_,Tres_,Bob_,muob_)</f>
        <v>715.96507469917833</v>
      </c>
      <c r="L44" s="19">
        <f>[1]!PVT_bg_m3m3(B44,C44,,gamma_gas_,gamma_oil_,gamma_wat_,Rsb_,Pb_,Tres_,Bob_,muob_)</f>
        <v>3.6213280108057101E-3</v>
      </c>
      <c r="M44" s="19">
        <f>[1]!PVT_bw_m3m3(B44,C44,,gamma_gas_,gamma_oil_,gamma_wat_,Rsb_,Pb_,Tres_,Bob_,muob_)</f>
        <v>1.0220299978535847</v>
      </c>
      <c r="N44" s="14"/>
      <c r="O44" s="14">
        <f>[1]!PVT_ST_oilgas_Nm(B44,C44,,gamma_gas_,gamma_oil_,gamma_wat_,Rsb_,Pb_,Tres_,Bob_,muob_)</f>
        <v>4.5225265419690894E-2</v>
      </c>
      <c r="P44" s="19">
        <f>[1]!PVT_ST_watgas_Nm(B44,C44,,gamma_gas_,gamma_oil_,gamma_wat_,Rsb_,Pb_,Tres_,Bob_,muob_)</f>
        <v>6.0200832911299594E-2</v>
      </c>
      <c r="Q44" s="28">
        <f>[1]!PVT_cp_oil_JkgC(B44,C44,,gamma_gas_,gamma_oil_,gamma_wat_,Rsb_,Pb_,Tres_,Bob_,muob_)</f>
        <v>2612.2600000000002</v>
      </c>
      <c r="R44" s="28">
        <f>[1]!PVT_cp_gas_JkgC(B44,C44,,gamma_gas_,gamma_oil_,gamma_wat_,Rsb_,Pb_,Tres_,Bob_,muob_)</f>
        <v>1733.5991597636048</v>
      </c>
      <c r="S44" s="28">
        <f>[1]!PVT_cp_wat_JkgC(B44,C44,,gamma_gas_,gamma_oil_,gamma_wat_,Rsb_,Pb_,Tres_,Bob_,muob_)</f>
        <v>4176</v>
      </c>
      <c r="T44" s="29">
        <f>[1]!PVT_compressibility_wat_1atm(B44,C44,,gamma_gas_,gamma_oil_,gamma_wat_,Rsb_,Pb_,Tres_,Bob_,muob_)</f>
        <v>3.5014540247506962E-5</v>
      </c>
      <c r="U44" s="29">
        <f>[1]!PVT_compressibility_oil_1atm(B44,C44,,gamma_gas_,gamma_oil_,gamma_wat_,Rsb_,Pb_,Tres_,Bob_,muob_)</f>
        <v>1.4254062015503879E-4</v>
      </c>
      <c r="V44" s="29">
        <f>[1]!PVT_compressibility_gas_1atm(B44,C44,,gamma_gas_,gamma_oil_,gamma_wat_,Rsb_,Pb_,Tres_,Bob_,muob_)</f>
        <v>1.5492036754003349E-3</v>
      </c>
    </row>
    <row r="45" spans="2:22" x14ac:dyDescent="0.2">
      <c r="B45" s="11">
        <v>320</v>
      </c>
      <c r="C45" s="11">
        <v>80</v>
      </c>
      <c r="D45" s="12">
        <f>[1]!PVT_rs_m3m3(B45,C45,,gamma_gas_,gamma_oil_,gamma_wat_,Rsb_,Pb_,Tres_,Bob_,muob_)</f>
        <v>120</v>
      </c>
      <c r="E45" s="13">
        <f>[1]!PVT_bo_m3m3(B45,C45,,gamma_gas_,gamma_oil_,gamma_wat_,Rsb_,Pb_,Tres_,Bob_,muob_)</f>
        <v>1.3834002259347453</v>
      </c>
      <c r="F45" s="45">
        <f>[1]!PVT_mu_oil_cP(B45,C45,,gamma_gas_,gamma_oil_,gamma_wat_,Rsb_,Pb_,Tres_,Bob_,muob_)</f>
        <v>0.78309487538256306</v>
      </c>
      <c r="G45" s="14">
        <f>[1]!PVT_mu_gas_cP(B45,C45,,gamma_gas_,gamma_oil_,gamma_wat_,Rsb_,Pb_,Tres_,Bob_,muob_)</f>
        <v>3.7880656112842734E-2</v>
      </c>
      <c r="H45" s="13">
        <f>[1]!PVT_mu_wat_cP(B45,C45,,gamma_gas_,gamma_oil_,gamma_wat_,Rsb_,Pb_,Tres_,Bob_,muob_)</f>
        <v>0.62189189665322298</v>
      </c>
      <c r="I45" s="45">
        <f>[1]!PVT_rho_gas_kgm3(B45,C45,,gamma_gas_,gamma_oil_,gamma_wat_,Rsb_,Pb_,Tres_,Bob_,muob_)</f>
        <v>312.59920396126927</v>
      </c>
      <c r="J45" s="45">
        <f>[1]!PVT_rho_wat_kgm3(B45,C45,,gamma_gas_,gamma_oil_,gamma_wat_,Rsb_,Pb_,Tres_,Bob_,muob_)</f>
        <v>1077.2568328877053</v>
      </c>
      <c r="K45" s="45">
        <f>[1]!PVT_rho_oil_kgm3(B45,C45,,gamma_gas_,gamma_oil_,gamma_wat_,Rsb_,Pb_,Tres_,Bob_,muob_)</f>
        <v>717.03298973350741</v>
      </c>
      <c r="L45" s="19">
        <f>[1]!PVT_bg_m3m3(B45,C45,,gamma_gas_,gamma_oil_,gamma_wat_,Rsb_,Pb_,Tres_,Bob_,muob_)</f>
        <v>3.5173793984972228E-3</v>
      </c>
      <c r="M45" s="19">
        <f>[1]!PVT_bw_m3m3(B45,C45,,gamma_gas_,gamma_oil_,gamma_wat_,Rsb_,Pb_,Tres_,Bob_,muob_)</f>
        <v>1.0211121121890026</v>
      </c>
      <c r="N45" s="14"/>
      <c r="O45" s="14">
        <f>[1]!PVT_ST_oilgas_Nm(B45,C45,,gamma_gas_,gamma_oil_,gamma_wat_,Rsb_,Pb_,Tres_,Bob_,muob_)</f>
        <v>4.4077649075965765E-2</v>
      </c>
      <c r="P45" s="19">
        <f>[1]!PVT_ST_watgas_Nm(B45,C45,,gamma_gas_,gamma_oil_,gamma_wat_,Rsb_,Pb_,Tres_,Bob_,muob_)</f>
        <v>5.9920578833292562E-2</v>
      </c>
      <c r="Q45" s="28">
        <f>[1]!PVT_cp_oil_JkgC(B45,C45,,gamma_gas_,gamma_oil_,gamma_wat_,Rsb_,Pb_,Tres_,Bob_,muob_)</f>
        <v>2612.2600000000002</v>
      </c>
      <c r="R45" s="28">
        <f>[1]!PVT_cp_gas_JkgC(B45,C45,,gamma_gas_,gamma_oil_,gamma_wat_,Rsb_,Pb_,Tres_,Bob_,muob_)</f>
        <v>1796.0927634973086</v>
      </c>
      <c r="S45" s="28">
        <f>[1]!PVT_cp_wat_JkgC(B45,C45,,gamma_gas_,gamma_oil_,gamma_wat_,Rsb_,Pb_,Tres_,Bob_,muob_)</f>
        <v>4176</v>
      </c>
      <c r="T45" s="29">
        <f>[1]!PVT_compressibility_wat_1atm(B45,C45,,gamma_gas_,gamma_oil_,gamma_wat_,Rsb_,Pb_,Tres_,Bob_,muob_)</f>
        <v>3.4840671243084599E-5</v>
      </c>
      <c r="U45" s="29">
        <f>[1]!PVT_compressibility_oil_1atm(B45,C45,,gamma_gas_,gamma_oil_,gamma_wat_,Rsb_,Pb_,Tres_,Bob_,muob_)</f>
        <v>1.3363183139534886E-4</v>
      </c>
      <c r="V45" s="29">
        <f>[1]!PVT_compressibility_gas_1atm(B45,C45,,gamma_gas_,gamma_oil_,gamma_wat_,Rsb_,Pb_,Tres_,Bob_,muob_)</f>
        <v>1.3688452668734574E-3</v>
      </c>
    </row>
    <row r="46" spans="2:22" x14ac:dyDescent="0.2">
      <c r="B46" s="11">
        <v>340</v>
      </c>
      <c r="C46" s="11">
        <v>80</v>
      </c>
      <c r="D46" s="12">
        <f>[1]!PVT_rs_m3m3(B46,C46,,gamma_gas_,gamma_oil_,gamma_wat_,Rsb_,Pb_,Tres_,Bob_,muob_)</f>
        <v>120</v>
      </c>
      <c r="E46" s="13">
        <f>[1]!PVT_bo_m3m3(B46,C46,,gamma_gas_,gamma_oil_,gamma_wat_,Rsb_,Pb_,Tres_,Bob_,muob_)</f>
        <v>1.3815820922600344</v>
      </c>
      <c r="F46" s="45">
        <f>[1]!PVT_mu_oil_cP(B46,C46,,gamma_gas_,gamma_oil_,gamma_wat_,Rsb_,Pb_,Tres_,Bob_,muob_)</f>
        <v>0.81222968932392992</v>
      </c>
      <c r="G46" s="14">
        <f>[1]!PVT_mu_gas_cP(B46,C46,,gamma_gas_,gamma_oil_,gamma_wat_,Rsb_,Pb_,Tres_,Bob_,muob_)</f>
        <v>3.9407689305847995E-2</v>
      </c>
      <c r="H46" s="13">
        <f>[1]!PVT_mu_wat_cP(B46,C46,,gamma_gas_,gamma_oil_,gamma_wat_,Rsb_,Pb_,Tres_,Bob_,muob_)</f>
        <v>0.63212779691434562</v>
      </c>
      <c r="I46" s="45">
        <f>[1]!PVT_rho_gas_kgm3(B46,C46,,gamma_gas_,gamma_oil_,gamma_wat_,Rsb_,Pb_,Tres_,Bob_,muob_)</f>
        <v>320.77990474698964</v>
      </c>
      <c r="J46" s="45">
        <f>[1]!PVT_rho_wat_kgm3(B46,C46,,gamma_gas_,gamma_oil_,gamma_wat_,Rsb_,Pb_,Tres_,Bob_,muob_)</f>
        <v>1078.2741626434267</v>
      </c>
      <c r="K46" s="45">
        <f>[1]!PVT_rho_oil_kgm3(B46,C46,,gamma_gas_,gamma_oil_,gamma_wat_,Rsb_,Pb_,Tres_,Bob_,muob_)</f>
        <v>717.97659042999624</v>
      </c>
      <c r="L46" s="19">
        <f>[1]!PVT_bg_m3m3(B46,C46,,gamma_gas_,gamma_oil_,gamma_wat_,Rsb_,Pb_,Tres_,Bob_,muob_)</f>
        <v>3.4276773068663323E-3</v>
      </c>
      <c r="M46" s="19">
        <f>[1]!PVT_bw_m3m3(B46,C46,,gamma_gas_,gamma_oil_,gamma_wat_,Rsb_,Pb_,Tres_,Bob_,muob_)</f>
        <v>1.0201487136660232</v>
      </c>
      <c r="N46" s="14"/>
      <c r="O46" s="14">
        <f>[1]!PVT_ST_oilgas_Nm(B46,C46,,gamma_gas_,gamma_oil_,gamma_wat_,Rsb_,Pb_,Tres_,Bob_,muob_)</f>
        <v>4.2959154137281887E-2</v>
      </c>
      <c r="P46" s="19">
        <f>[1]!PVT_ST_watgas_Nm(B46,C46,,gamma_gas_,gamma_oil_,gamma_wat_,Rsb_,Pb_,Tres_,Bob_,muob_)</f>
        <v>5.9641629427404523E-2</v>
      </c>
      <c r="Q46" s="28">
        <f>[1]!PVT_cp_oil_JkgC(B46,C46,,gamma_gas_,gamma_oil_,gamma_wat_,Rsb_,Pb_,Tres_,Bob_,muob_)</f>
        <v>2612.2600000000002</v>
      </c>
      <c r="R46" s="28">
        <f>[1]!PVT_cp_gas_JkgC(B46,C46,,gamma_gas_,gamma_oil_,gamma_wat_,Rsb_,Pb_,Tres_,Bob_,muob_)</f>
        <v>1859.6808350175158</v>
      </c>
      <c r="S46" s="28">
        <f>[1]!PVT_cp_wat_JkgC(B46,C46,,gamma_gas_,gamma_oil_,gamma_wat_,Rsb_,Pb_,Tres_,Bob_,muob_)</f>
        <v>4176</v>
      </c>
      <c r="T46" s="29">
        <f>[1]!PVT_compressibility_wat_1atm(B46,C46,,gamma_gas_,gamma_oil_,gamma_wat_,Rsb_,Pb_,Tres_,Bob_,muob_)</f>
        <v>3.4668520442544787E-5</v>
      </c>
      <c r="U46" s="29">
        <f>[1]!PVT_compressibility_oil_1atm(B46,C46,,gamma_gas_,gamma_oil_,gamma_wat_,Rsb_,Pb_,Tres_,Bob_,muob_)</f>
        <v>1.2577113543091659E-4</v>
      </c>
      <c r="V46" s="29">
        <f>[1]!PVT_compressibility_gas_1atm(B46,C46,,gamma_gas_,gamma_oil_,gamma_wat_,Rsb_,Pb_,Tres_,Bob_,muob_)</f>
        <v>1.2187550032950539E-3</v>
      </c>
    </row>
    <row r="47" spans="2:22" x14ac:dyDescent="0.2">
      <c r="B47" s="11">
        <v>360</v>
      </c>
      <c r="C47" s="11">
        <v>80</v>
      </c>
      <c r="D47" s="12">
        <f>[1]!PVT_rs_m3m3(B47,C47,,gamma_gas_,gamma_oil_,gamma_wat_,Rsb_,Pb_,Tres_,Bob_,muob_)</f>
        <v>120</v>
      </c>
      <c r="E47" s="13">
        <f>[1]!PVT_bo_m3m3(B47,C47,,gamma_gas_,gamma_oil_,gamma_wat_,Rsb_,Pb_,Tres_,Bob_,muob_)</f>
        <v>1.3799679795207096</v>
      </c>
      <c r="F47" s="45">
        <f>[1]!PVT_mu_oil_cP(B47,C47,,gamma_gas_,gamma_oil_,gamma_wat_,Rsb_,Pb_,Tres_,Bob_,muob_)</f>
        <v>0.84247608412593455</v>
      </c>
      <c r="G47" s="14">
        <f>[1]!PVT_mu_gas_cP(B47,C47,,gamma_gas_,gamma_oil_,gamma_wat_,Rsb_,Pb_,Tres_,Bob_,muob_)</f>
        <v>4.0869339901965229E-2</v>
      </c>
      <c r="H47" s="13">
        <f>[1]!PVT_mu_wat_cP(B47,C47,,gamma_gas_,gamma_oil_,gamma_wat_,Rsb_,Pb_,Tres_,Bob_,muob_)</f>
        <v>0.64262909792541612</v>
      </c>
      <c r="I47" s="45">
        <f>[1]!PVT_rho_gas_kgm3(B47,C47,,gamma_gas_,gamma_oil_,gamma_wat_,Rsb_,Pb_,Tres_,Bob_,muob_)</f>
        <v>328.26790395337974</v>
      </c>
      <c r="J47" s="45">
        <f>[1]!PVT_rho_wat_kgm3(B47,C47,,gamma_gas_,gamma_oil_,gamma_wat_,Rsb_,Pb_,Tres_,Bob_,muob_)</f>
        <v>1079.3416148933502</v>
      </c>
      <c r="K47" s="45">
        <f>[1]!PVT_rho_oil_kgm3(B47,C47,,gamma_gas_,gamma_oil_,gamma_wat_,Rsb_,Pb_,Tres_,Bob_,muob_)</f>
        <v>718.81638901833196</v>
      </c>
      <c r="L47" s="19">
        <f>[1]!PVT_bg_m3m3(B47,C47,,gamma_gas_,gamma_oil_,gamma_wat_,Rsb_,Pb_,Tres_,Bob_,muob_)</f>
        <v>3.3494898123093814E-3</v>
      </c>
      <c r="M47" s="19">
        <f>[1]!PVT_bw_m3m3(B47,C47,,gamma_gas_,gamma_oil_,gamma_wat_,Rsb_,Pb_,Tres_,Bob_,muob_)</f>
        <v>1.0191398022846465</v>
      </c>
      <c r="N47" s="14"/>
      <c r="O47" s="14">
        <f>[1]!PVT_ST_oilgas_Nm(B47,C47,,gamma_gas_,gamma_oil_,gamma_wat_,Rsb_,Pb_,Tres_,Bob_,muob_)</f>
        <v>4.1869041631737894E-2</v>
      </c>
      <c r="P47" s="19">
        <f>[1]!PVT_ST_watgas_Nm(B47,C47,,gamma_gas_,gamma_oil_,gamma_wat_,Rsb_,Pb_,Tres_,Bob_,muob_)</f>
        <v>5.9363978619970614E-2</v>
      </c>
      <c r="Q47" s="28">
        <f>[1]!PVT_cp_oil_JkgC(B47,C47,,gamma_gas_,gamma_oil_,gamma_wat_,Rsb_,Pb_,Tres_,Bob_,muob_)</f>
        <v>2612.2600000000002</v>
      </c>
      <c r="R47" s="28">
        <f>[1]!PVT_cp_gas_JkgC(B47,C47,,gamma_gas_,gamma_oil_,gamma_wat_,Rsb_,Pb_,Tres_,Bob_,muob_)</f>
        <v>1924.1580017926196</v>
      </c>
      <c r="S47" s="28">
        <f>[1]!PVT_cp_wat_JkgC(B47,C47,,gamma_gas_,gamma_oil_,gamma_wat_,Rsb_,Pb_,Tres_,Bob_,muob_)</f>
        <v>4176</v>
      </c>
      <c r="T47" s="29">
        <f>[1]!PVT_compressibility_wat_1atm(B47,C47,,gamma_gas_,gamma_oil_,gamma_wat_,Rsb_,Pb_,Tres_,Bob_,muob_)</f>
        <v>3.4498062501728742E-5</v>
      </c>
      <c r="U47" s="29">
        <f>[1]!PVT_compressibility_oil_1atm(B47,C47,,gamma_gas_,gamma_oil_,gamma_wat_,Rsb_,Pb_,Tres_,Bob_,muob_)</f>
        <v>1.1878385012919899E-4</v>
      </c>
      <c r="V47" s="29">
        <f>[1]!PVT_compressibility_gas_1atm(B47,C47,,gamma_gas_,gamma_oil_,gamma_wat_,Rsb_,Pb_,Tres_,Bob_,muob_)</f>
        <v>1.0920730564827666E-3</v>
      </c>
    </row>
    <row r="48" spans="2:22" x14ac:dyDescent="0.2">
      <c r="B48" s="11">
        <v>380</v>
      </c>
      <c r="C48" s="11">
        <v>80</v>
      </c>
      <c r="D48" s="12">
        <f>[1]!PVT_rs_m3m3(B48,C48,,gamma_gas_,gamma_oil_,gamma_wat_,Rsb_,Pb_,Tres_,Bob_,muob_)</f>
        <v>120</v>
      </c>
      <c r="E48" s="13">
        <f>[1]!PVT_bo_m3m3(B48,C48,,gamma_gas_,gamma_oil_,gamma_wat_,Rsb_,Pb_,Tres_,Bob_,muob_)</f>
        <v>1.3785253719239052</v>
      </c>
      <c r="F48" s="45">
        <f>[1]!PVT_mu_oil_cP(B48,C48,,gamma_gas_,gamma_oil_,gamma_wat_,Rsb_,Pb_,Tres_,Bob_,muob_)</f>
        <v>0.87373911443017527</v>
      </c>
      <c r="G48" s="14">
        <f>[1]!PVT_mu_gas_cP(B48,C48,,gamma_gas_,gamma_oil_,gamma_wat_,Rsb_,Pb_,Tres_,Bob_,muob_)</f>
        <v>4.2268075916358429E-2</v>
      </c>
      <c r="H48" s="13">
        <f>[1]!PVT_mu_wat_cP(B48,C48,,gamma_gas_,gamma_oil_,gamma_wat_,Rsb_,Pb_,Tres_,Bob_,muob_)</f>
        <v>0.65339579968643458</v>
      </c>
      <c r="I48" s="45">
        <f>[1]!PVT_rho_gas_kgm3(B48,C48,,gamma_gas_,gamma_oil_,gamma_wat_,Rsb_,Pb_,Tres_,Bob_,muob_)</f>
        <v>335.14519561162319</v>
      </c>
      <c r="J48" s="45">
        <f>[1]!PVT_rho_wat_kgm3(B48,C48,,gamma_gas_,gamma_oil_,gamma_wat_,Rsb_,Pb_,Tres_,Bob_,muob_)</f>
        <v>1080.4594818093117</v>
      </c>
      <c r="K48" s="45">
        <f>[1]!PVT_rho_oil_kgm3(B48,C48,,gamma_gas_,gamma_oil_,gamma_wat_,Rsb_,Pb_,Tres_,Bob_,muob_)</f>
        <v>719.56862035525558</v>
      </c>
      <c r="L48" s="19">
        <f>[1]!PVT_bg_m3m3(B48,C48,,gamma_gas_,gamma_oil_,gamma_wat_,Rsb_,Pb_,Tres_,Bob_,muob_)</f>
        <v>3.2807571595750099E-3</v>
      </c>
      <c r="M48" s="19">
        <f>[1]!PVT_bw_m3m3(B48,C48,,gamma_gas_,gamma_oil_,gamma_wat_,Rsb_,Pb_,Tres_,Bob_,muob_)</f>
        <v>1.0180853780448724</v>
      </c>
      <c r="N48" s="14"/>
      <c r="O48" s="14">
        <f>[1]!PVT_ST_oilgas_Nm(B48,C48,,gamma_gas_,gamma_oil_,gamma_wat_,Rsb_,Pb_,Tres_,Bob_,muob_)</f>
        <v>4.0806591339256695E-2</v>
      </c>
      <c r="P48" s="19">
        <f>[1]!PVT_ST_watgas_Nm(B48,C48,,gamma_gas_,gamma_oil_,gamma_wat_,Rsb_,Pb_,Tres_,Bob_,muob_)</f>
        <v>5.9087620365600911E-2</v>
      </c>
      <c r="Q48" s="28">
        <f>[1]!PVT_cp_oil_JkgC(B48,C48,,gamma_gas_,gamma_oil_,gamma_wat_,Rsb_,Pb_,Tres_,Bob_,muob_)</f>
        <v>2612.2600000000002</v>
      </c>
      <c r="R48" s="28">
        <f>[1]!PVT_cp_gas_JkgC(B48,C48,,gamma_gas_,gamma_oil_,gamma_wat_,Rsb_,Pb_,Tres_,Bob_,muob_)</f>
        <v>1989.3777260142526</v>
      </c>
      <c r="S48" s="28">
        <f>[1]!PVT_cp_wat_JkgC(B48,C48,,gamma_gas_,gamma_oil_,gamma_wat_,Rsb_,Pb_,Tres_,Bob_,muob_)</f>
        <v>4176</v>
      </c>
      <c r="T48" s="29">
        <f>[1]!PVT_compressibility_wat_1atm(B48,C48,,gamma_gas_,gamma_oil_,gamma_wat_,Rsb_,Pb_,Tres_,Bob_,muob_)</f>
        <v>3.4329272572486828E-5</v>
      </c>
      <c r="U48" s="29">
        <f>[1]!PVT_compressibility_oil_1atm(B48,C48,,gamma_gas_,gamma_oil_,gamma_wat_,Rsb_,Pb_,Tres_,Bob_,muob_)</f>
        <v>1.1253206854345165E-4</v>
      </c>
      <c r="V48" s="29">
        <f>[1]!PVT_compressibility_gas_1atm(B48,C48,,gamma_gas_,gamma_oil_,gamma_wat_,Rsb_,Pb_,Tres_,Bob_,muob_)</f>
        <v>9.8400370785262981E-4</v>
      </c>
    </row>
    <row r="49" spans="2:22" x14ac:dyDescent="0.2">
      <c r="B49" s="11">
        <v>400</v>
      </c>
      <c r="C49" s="11">
        <v>80</v>
      </c>
      <c r="D49" s="12">
        <f>[1]!PVT_rs_m3m3(B49,C49,,gamma_gas_,gamma_oil_,gamma_wat_,Rsb_,Pb_,Tres_,Bob_,muob_)</f>
        <v>120</v>
      </c>
      <c r="E49" s="13">
        <f>[1]!PVT_bo_m3m3(B49,C49,,gamma_gas_,gamma_oil_,gamma_wat_,Rsb_,Pb_,Tres_,Bob_,muob_)</f>
        <v>1.3772283145491517</v>
      </c>
      <c r="F49" s="45">
        <f>[1]!PVT_mu_oil_cP(B49,C49,,gamma_gas_,gamma_oil_,gamma_wat_,Rsb_,Pb_,Tres_,Bob_,muob_)</f>
        <v>0.90592335883251063</v>
      </c>
      <c r="G49" s="14">
        <f>[1]!PVT_mu_gas_cP(B49,C49,,gamma_gas_,gamma_oil_,gamma_wat_,Rsb_,Pb_,Tres_,Bob_,muob_)</f>
        <v>4.3606453351793889E-2</v>
      </c>
      <c r="H49" s="13">
        <f>[1]!PVT_mu_wat_cP(B49,C49,,gamma_gas_,gamma_oil_,gamma_wat_,Rsb_,Pb_,Tres_,Bob_,muob_)</f>
        <v>0.664427902197401</v>
      </c>
      <c r="I49" s="45">
        <f>[1]!PVT_rho_gas_kgm3(B49,C49,,gamma_gas_,gamma_oil_,gamma_wat_,Rsb_,Pb_,Tres_,Bob_,muob_)</f>
        <v>341.48125031666325</v>
      </c>
      <c r="J49" s="45">
        <f>[1]!PVT_rho_wat_kgm3(B49,C49,,gamma_gas_,gamma_oil_,gamma_wat_,Rsb_,Pb_,Tres_,Bob_,muob_)</f>
        <v>1081.6280702858651</v>
      </c>
      <c r="K49" s="45">
        <f>[1]!PVT_rho_oil_kgm3(B49,C49,,gamma_gas_,gamma_oil_,gamma_wat_,Rsb_,Pb_,Tres_,Bob_,muob_)</f>
        <v>720.24630159068568</v>
      </c>
      <c r="L49" s="19">
        <f>[1]!PVT_bg_m3m3(B49,C49,,gamma_gas_,gamma_oil_,gamma_wat_,Rsb_,Pb_,Tres_,Bob_,muob_)</f>
        <v>3.2198839584322157E-3</v>
      </c>
      <c r="M49" s="19">
        <f>[1]!PVT_bw_m3m3(B49,C49,,gamma_gas_,gamma_oil_,gamma_wat_,Rsb_,Pb_,Tres_,Bob_,muob_)</f>
        <v>1.0169854409467012</v>
      </c>
      <c r="N49" s="14"/>
      <c r="O49" s="14">
        <f>[1]!PVT_ST_oilgas_Nm(B49,C49,,gamma_gas_,gamma_oil_,gamma_wat_,Rsb_,Pb_,Tres_,Bob_,muob_)</f>
        <v>3.9771101315747542E-2</v>
      </c>
      <c r="P49" s="19">
        <f>[1]!PVT_ST_watgas_Nm(B49,C49,,gamma_gas_,gamma_oil_,gamma_wat_,Rsb_,Pb_,Tres_,Bob_,muob_)</f>
        <v>5.8812548647048608E-2</v>
      </c>
      <c r="Q49" s="28">
        <f>[1]!PVT_cp_oil_JkgC(B49,C49,,gamma_gas_,gamma_oil_,gamma_wat_,Rsb_,Pb_,Tres_,Bob_,muob_)</f>
        <v>2612.2600000000002</v>
      </c>
      <c r="R49" s="28">
        <f>[1]!PVT_cp_gas_JkgC(B49,C49,,gamma_gas_,gamma_oil_,gamma_wat_,Rsb_,Pb_,Tres_,Bob_,muob_)</f>
        <v>2055.2269253041095</v>
      </c>
      <c r="S49" s="28">
        <f>[1]!PVT_cp_wat_JkgC(B49,C49,,gamma_gas_,gamma_oil_,gamma_wat_,Rsb_,Pb_,Tres_,Bob_,muob_)</f>
        <v>4176</v>
      </c>
      <c r="T49" s="29">
        <f>[1]!PVT_compressibility_wat_1atm(B49,C49,,gamma_gas_,gamma_oil_,gamma_wat_,Rsb_,Pb_,Tres_,Bob_,muob_)</f>
        <v>3.4162126290603452E-5</v>
      </c>
      <c r="U49" s="29">
        <f>[1]!PVT_compressibility_oil_1atm(B49,C49,,gamma_gas_,gamma_oil_,gamma_wat_,Rsb_,Pb_,Tres_,Bob_,muob_)</f>
        <v>1.0690546511627909E-4</v>
      </c>
      <c r="V49" s="29">
        <f>[1]!PVT_compressibility_gas_1atm(B49,C49,,gamma_gas_,gamma_oil_,gamma_wat_,Rsb_,Pb_,Tres_,Bob_,muob_)</f>
        <v>8.9111441181082972E-4</v>
      </c>
    </row>
    <row r="50" spans="2:22" x14ac:dyDescent="0.2">
      <c r="B50" s="11">
        <v>420</v>
      </c>
      <c r="C50" s="11">
        <v>80</v>
      </c>
      <c r="D50" s="12">
        <f>[1]!PVT_rs_m3m3(B50,C50,,gamma_gas_,gamma_oil_,gamma_wat_,Rsb_,Pb_,Tres_,Bob_,muob_)</f>
        <v>120</v>
      </c>
      <c r="E50" s="13">
        <f>[1]!PVT_bo_m3m3(B50,C50,,gamma_gas_,gamma_oil_,gamma_wat_,Rsb_,Pb_,Tres_,Bob_,muob_)</f>
        <v>1.3760558380748591</v>
      </c>
      <c r="F50" s="45">
        <f>[1]!PVT_mu_oil_cP(B50,C50,,gamma_gas_,gamma_oil_,gamma_wat_,Rsb_,Pb_,Tres_,Bob_,muob_)</f>
        <v>0.93893238399062806</v>
      </c>
      <c r="G50" s="14">
        <f>[1]!PVT_mu_gas_cP(B50,C50,,gamma_gas_,gamma_oil_,gamma_wat_,Rsb_,Pb_,Tres_,Bob_,muob_)</f>
        <v>4.4887308467026876E-2</v>
      </c>
      <c r="H50" s="13">
        <f>[1]!PVT_mu_wat_cP(B50,C50,,gamma_gas_,gamma_oil_,gamma_wat_,Rsb_,Pb_,Tres_,Bob_,muob_)</f>
        <v>0.67572540545831516</v>
      </c>
      <c r="I50" s="45">
        <f>[1]!PVT_rho_gas_kgm3(B50,C50,,gamma_gas_,gamma_oil_,gamma_wat_,Rsb_,Pb_,Tres_,Bob_,muob_)</f>
        <v>347.33647174521536</v>
      </c>
      <c r="J50" s="45">
        <f>[1]!PVT_rho_wat_kgm3(B50,C50,,gamma_gas_,gamma_oil_,gamma_wat_,Rsb_,Pb_,Tres_,Bob_,muob_)</f>
        <v>1082.8477021541919</v>
      </c>
      <c r="K50" s="45">
        <f>[1]!PVT_rho_oil_kgm3(B50,C50,,gamma_gas_,gamma_oil_,gamma_wat_,Rsb_,Pb_,Tres_,Bob_,muob_)</f>
        <v>720.85999169027696</v>
      </c>
      <c r="L50" s="19">
        <f>[1]!PVT_bg_m3m3(B50,C50,,gamma_gas_,gamma_oil_,gamma_wat_,Rsb_,Pb_,Tres_,Bob_,muob_)</f>
        <v>3.1656047937475094E-3</v>
      </c>
      <c r="M50" s="19">
        <f>[1]!PVT_bw_m3m3(B50,C50,,gamma_gas_,gamma_oil_,gamma_wat_,Rsb_,Pb_,Tres_,Bob_,muob_)</f>
        <v>1.0158399909901326</v>
      </c>
      <c r="N50" s="14"/>
      <c r="O50" s="14">
        <f>[1]!PVT_ST_oilgas_Nm(B50,C50,,gamma_gas_,gamma_oil_,gamma_wat_,Rsb_,Pb_,Tres_,Bob_,muob_)</f>
        <v>3.8761887429342633E-2</v>
      </c>
      <c r="P50" s="19">
        <f>[1]!PVT_ST_watgas_Nm(B50,C50,,gamma_gas_,gamma_oil_,gamma_wat_,Rsb_,Pb_,Tres_,Bob_,muob_)</f>
        <v>5.8538757475079119E-2</v>
      </c>
      <c r="Q50" s="28">
        <f>[1]!PVT_cp_oil_JkgC(B50,C50,,gamma_gas_,gamma_oil_,gamma_wat_,Rsb_,Pb_,Tres_,Bob_,muob_)</f>
        <v>2612.2600000000002</v>
      </c>
      <c r="R50" s="28">
        <f>[1]!PVT_cp_gas_JkgC(B50,C50,,gamma_gas_,gamma_oil_,gamma_wat_,Rsb_,Pb_,Tres_,Bob_,muob_)</f>
        <v>2121.6100038142217</v>
      </c>
      <c r="S50" s="28">
        <f>[1]!PVT_cp_wat_JkgC(B50,C50,,gamma_gas_,gamma_oil_,gamma_wat_,Rsb_,Pb_,Tres_,Bob_,muob_)</f>
        <v>4176</v>
      </c>
      <c r="T50" s="29">
        <f>[1]!PVT_compressibility_wat_1atm(B50,C50,,gamma_gas_,gamma_oil_,gamma_wat_,Rsb_,Pb_,Tres_,Bob_,muob_)</f>
        <v>3.3996599764072971E-5</v>
      </c>
      <c r="U50" s="29">
        <f>[1]!PVT_compressibility_oil_1atm(B50,C50,,gamma_gas_,gamma_oil_,gamma_wat_,Rsb_,Pb_,Tres_,Bob_,muob_)</f>
        <v>1.0181472868217055E-4</v>
      </c>
      <c r="V50" s="29">
        <f>[1]!PVT_compressibility_gas_1atm(B50,C50,,gamma_gas_,gamma_oil_,gamma_wat_,Rsb_,Pb_,Tres_,Bob_,muob_)</f>
        <v>8.1088268028920742E-4</v>
      </c>
    </row>
    <row r="51" spans="2:22" x14ac:dyDescent="0.2">
      <c r="B51" s="11">
        <v>440</v>
      </c>
      <c r="C51" s="11">
        <v>80</v>
      </c>
      <c r="D51" s="12">
        <f>[1]!PVT_rs_m3m3(B51,C51,,gamma_gas_,gamma_oil_,gamma_wat_,Rsb_,Pb_,Tres_,Bob_,muob_)</f>
        <v>120</v>
      </c>
      <c r="E51" s="13">
        <f>[1]!PVT_bo_m3m3(B51,C51,,gamma_gas_,gamma_oil_,gamma_wat_,Rsb_,Pb_,Tres_,Bob_,muob_)</f>
        <v>1.3749908165695357</v>
      </c>
      <c r="F51" s="45">
        <f>[1]!PVT_mu_oil_cP(B51,C51,,gamma_gas_,gamma_oil_,gamma_wat_,Rsb_,Pb_,Tres_,Bob_,muob_)</f>
        <v>0.97266845115378942</v>
      </c>
      <c r="G51" s="14">
        <f>[1]!PVT_mu_gas_cP(B51,C51,,gamma_gas_,gamma_oil_,gamma_wat_,Rsb_,Pb_,Tres_,Bob_,muob_)</f>
        <v>4.6113865949030879E-2</v>
      </c>
      <c r="H51" s="13">
        <f>[1]!PVT_mu_wat_cP(B51,C51,,gamma_gas_,gamma_oil_,gamma_wat_,Rsb_,Pb_,Tres_,Bob_,muob_)</f>
        <v>0.68728830946917741</v>
      </c>
      <c r="I51" s="45">
        <f>[1]!PVT_rho_gas_kgm3(B51,C51,,gamma_gas_,gamma_oil_,gamma_wat_,Rsb_,Pb_,Tres_,Bob_,muob_)</f>
        <v>352.76450166554827</v>
      </c>
      <c r="J51" s="45">
        <f>[1]!PVT_rho_wat_kgm3(B51,C51,,gamma_gas_,gamma_oil_,gamma_wat_,Rsb_,Pb_,Tres_,Bob_,muob_)</f>
        <v>1084.1187144074204</v>
      </c>
      <c r="K51" s="45">
        <f>[1]!PVT_rho_oil_kgm3(B51,C51,,gamma_gas_,gamma_oil_,gamma_wat_,Rsb_,Pb_,Tres_,Bob_,muob_)</f>
        <v>721.41834552379044</v>
      </c>
      <c r="L51" s="19">
        <f>[1]!PVT_bg_m3m3(B51,C51,,gamma_gas_,gamma_oil_,gamma_wat_,Rsb_,Pb_,Tres_,Bob_,muob_)</f>
        <v>3.1168952511056542E-3</v>
      </c>
      <c r="M51" s="19">
        <f>[1]!PVT_bw_m3m3(B51,C51,,gamma_gas_,gamma_oil_,gamma_wat_,Rsb_,Pb_,Tres_,Bob_,muob_)</f>
        <v>1.0146490281751666</v>
      </c>
      <c r="N51" s="14"/>
      <c r="O51" s="14">
        <f>[1]!PVT_ST_oilgas_Nm(B51,C51,,gamma_gas_,gamma_oil_,gamma_wat_,Rsb_,Pb_,Tres_,Bob_,muob_)</f>
        <v>3.7778282908402017E-2</v>
      </c>
      <c r="P51" s="19">
        <f>[1]!PVT_ST_watgas_Nm(B51,C51,,gamma_gas_,gamma_oil_,gamma_wat_,Rsb_,Pb_,Tres_,Bob_,muob_)</f>
        <v>5.8266240888339732E-2</v>
      </c>
      <c r="Q51" s="28">
        <f>[1]!PVT_cp_oil_JkgC(B51,C51,,gamma_gas_,gamma_oil_,gamma_wat_,Rsb_,Pb_,Tres_,Bob_,muob_)</f>
        <v>2612.2600000000002</v>
      </c>
      <c r="R51" s="28">
        <f>[1]!PVT_cp_gas_JkgC(B51,C51,,gamma_gas_,gamma_oil_,gamma_wat_,Rsb_,Pb_,Tres_,Bob_,muob_)</f>
        <v>2188.439036541658</v>
      </c>
      <c r="S51" s="28">
        <f>[1]!PVT_cp_wat_JkgC(B51,C51,,gamma_gas_,gamma_oil_,gamma_wat_,Rsb_,Pb_,Tres_,Bob_,muob_)</f>
        <v>4176</v>
      </c>
      <c r="T51" s="29">
        <f>[1]!PVT_compressibility_wat_1atm(B51,C51,,gamma_gas_,gamma_oil_,gamma_wat_,Rsb_,Pb_,Tres_,Bob_,muob_)</f>
        <v>3.3832669561714792E-5</v>
      </c>
      <c r="U51" s="29">
        <f>[1]!PVT_compressibility_oil_1atm(B51,C51,,gamma_gas_,gamma_oil_,gamma_wat_,Rsb_,Pb_,Tres_,Bob_,muob_)</f>
        <v>9.7186786469344633E-5</v>
      </c>
      <c r="V51" s="29">
        <f>[1]!PVT_compressibility_gas_1atm(B51,C51,,gamma_gas_,gamma_oil_,gamma_wat_,Rsb_,Pb_,Tres_,Bob_,muob_)</f>
        <v>7.4140176232851383E-4</v>
      </c>
    </row>
    <row r="52" spans="2:22" x14ac:dyDescent="0.2">
      <c r="B52" s="11">
        <v>460</v>
      </c>
      <c r="C52" s="11">
        <v>80</v>
      </c>
      <c r="D52" s="12">
        <f>[1]!PVT_rs_m3m3(B52,C52,,gamma_gas_,gamma_oil_,gamma_wat_,Rsb_,Pb_,Tres_,Bob_,muob_)</f>
        <v>120</v>
      </c>
      <c r="E52" s="13">
        <f>[1]!PVT_bo_m3m3(B52,C52,,gamma_gas_,gamma_oil_,gamma_wat_,Rsb_,Pb_,Tres_,Bob_,muob_)</f>
        <v>1.3740191255374714</v>
      </c>
      <c r="F52" s="45">
        <f>[1]!PVT_mu_oil_cP(B52,C52,,gamma_gas_,gamma_oil_,gamma_wat_,Rsb_,Pb_,Tres_,Bob_,muob_)</f>
        <v>1.0070324162867543</v>
      </c>
      <c r="G52" s="14">
        <f>[1]!PVT_mu_gas_cP(B52,C52,,gamma_gas_,gamma_oil_,gamma_wat_,Rsb_,Pb_,Tres_,Bob_,muob_)</f>
        <v>4.7289778277559424E-2</v>
      </c>
      <c r="H52" s="13">
        <f>[1]!PVT_mu_wat_cP(B52,C52,,gamma_gas_,gamma_oil_,gamma_wat_,Rsb_,Pb_,Tres_,Bob_,muob_)</f>
        <v>0.6991166142299875</v>
      </c>
      <c r="I52" s="45">
        <f>[1]!PVT_rho_gas_kgm3(B52,C52,,gamma_gas_,gamma_oil_,gamma_wat_,Rsb_,Pb_,Tres_,Bob_,muob_)</f>
        <v>357.81373889366904</v>
      </c>
      <c r="J52" s="45">
        <f>[1]!PVT_rho_wat_kgm3(B52,C52,,gamma_gas_,gamma_oil_,gamma_wat_,Rsb_,Pb_,Tres_,Bob_,muob_)</f>
        <v>1085.4414594376583</v>
      </c>
      <c r="K52" s="45">
        <f>[1]!PVT_rho_oil_kgm3(B52,C52,,gamma_gas_,gamma_oil_,gamma_wat_,Rsb_,Pb_,Tres_,Bob_,muob_)</f>
        <v>721.92852454800004</v>
      </c>
      <c r="L52" s="19">
        <f>[1]!PVT_bg_m3m3(B52,C52,,gamma_gas_,gamma_oil_,gamma_wat_,Rsb_,Pb_,Tres_,Bob_,muob_)</f>
        <v>3.0729116310616168E-3</v>
      </c>
      <c r="M52" s="19">
        <f>[1]!PVT_bw_m3m3(B52,C52,,gamma_gas_,gamma_oil_,gamma_wat_,Rsb_,Pb_,Tres_,Bob_,muob_)</f>
        <v>1.0134125525018034</v>
      </c>
      <c r="N52" s="14"/>
      <c r="O52" s="14">
        <f>[1]!PVT_ST_oilgas_Nm(B52,C52,,gamma_gas_,gamma_oil_,gamma_wat_,Rsb_,Pb_,Tres_,Bob_,muob_)</f>
        <v>3.6819637900988141E-2</v>
      </c>
      <c r="P52" s="19">
        <f>[1]!PVT_ST_watgas_Nm(B52,C52,,gamma_gas_,gamma_oil_,gamma_wat_,Rsb_,Pb_,Tres_,Bob_,muob_)</f>
        <v>5.799499295322965E-2</v>
      </c>
      <c r="Q52" s="28">
        <f>[1]!PVT_cp_oil_JkgC(B52,C52,,gamma_gas_,gamma_oil_,gamma_wat_,Rsb_,Pb_,Tres_,Bob_,muob_)</f>
        <v>2612.2600000000002</v>
      </c>
      <c r="R52" s="28">
        <f>[1]!PVT_cp_gas_JkgC(B52,C52,,gamma_gas_,gamma_oil_,gamma_wat_,Rsb_,Pb_,Tres_,Bob_,muob_)</f>
        <v>2255.6279746367131</v>
      </c>
      <c r="S52" s="28">
        <f>[1]!PVT_cp_wat_JkgC(B52,C52,,gamma_gas_,gamma_oil_,gamma_wat_,Rsb_,Pb_,Tres_,Bob_,muob_)</f>
        <v>4176</v>
      </c>
      <c r="T52" s="29">
        <f>[1]!PVT_compressibility_wat_1atm(B52,C52,,gamma_gas_,gamma_oil_,gamma_wat_,Rsb_,Pb_,Tres_,Bob_,muob_)</f>
        <v>3.3670312702116318E-5</v>
      </c>
      <c r="U52" s="29">
        <f>[1]!PVT_compressibility_oil_1atm(B52,C52,,gamma_gas_,gamma_oil_,gamma_wat_,Rsb_,Pb_,Tres_,Bob_,muob_)</f>
        <v>9.2961274014155733E-5</v>
      </c>
      <c r="V52" s="29">
        <f>[1]!PVT_compressibility_gas_1atm(B52,C52,,gamma_gas_,gamma_oil_,gamma_wat_,Rsb_,Pb_,Tres_,Bob_,muob_)</f>
        <v>6.8118786493963292E-4</v>
      </c>
    </row>
    <row r="56" spans="2:22" x14ac:dyDescent="0.2">
      <c r="O56">
        <f>O54</f>
        <v>0</v>
      </c>
    </row>
    <row r="106" spans="2:12" x14ac:dyDescent="0.2">
      <c r="B106" s="56" t="s">
        <v>52</v>
      </c>
      <c r="C106" s="57"/>
      <c r="D106" s="38" t="str" cm="1">
        <f t="array" ref="D106">[1]!encode_json(B107:C109)</f>
        <v>{"show_log":1,"PVT_correlation":1}</v>
      </c>
      <c r="E106" s="17"/>
      <c r="F106" s="17"/>
    </row>
    <row r="107" spans="2:12" x14ac:dyDescent="0.2">
      <c r="B107" s="37" t="s">
        <v>53</v>
      </c>
      <c r="C107" s="37">
        <v>1</v>
      </c>
    </row>
    <row r="108" spans="2:12" x14ac:dyDescent="0.2">
      <c r="B108" s="37" t="s">
        <v>56</v>
      </c>
      <c r="C108" s="37">
        <v>1</v>
      </c>
    </row>
    <row r="111" spans="2:12" ht="15" customHeight="1" x14ac:dyDescent="0.2">
      <c r="B111" s="50" t="s">
        <v>30</v>
      </c>
      <c r="C111" s="51"/>
      <c r="D111" s="39" t="str">
        <f>[1]!encode_PVT(gamma_gas_,gamma_oil_,gamma_wat_,Rsb_,Pb_,Tres_,Bob_,muob_,C108)</f>
        <v>{"gamma_gas":0.9,"gamma_oil":0.86,"gamma_wat":1.1,"rsb_m3m3":120,"PVT_corr_set":1}</v>
      </c>
      <c r="E111" s="22"/>
      <c r="F111" s="22"/>
      <c r="G111" s="22"/>
      <c r="H111" s="22"/>
      <c r="I111" s="22"/>
      <c r="J111" s="22"/>
      <c r="K111" s="22"/>
      <c r="L111" s="23"/>
    </row>
    <row r="113" spans="2:28" x14ac:dyDescent="0.2">
      <c r="B113" s="8" t="s">
        <v>0</v>
      </c>
      <c r="C113" s="8" t="s">
        <v>4</v>
      </c>
    </row>
    <row r="114" spans="2:28" x14ac:dyDescent="0.2">
      <c r="B114" s="11">
        <v>240</v>
      </c>
      <c r="C114" s="40">
        <v>50</v>
      </c>
      <c r="D114" s="46" t="str" cm="1">
        <f t="array" ref="D114">[1]!json_PVT_calc(B114,C114,PVT_str_)</f>
        <v>{"rs_m3m3":120,"pb_atma":143.565646824015,"bo_m3m3":1.31659514672276,"bg_m3m3":3.52043764711271E-03,"bw_m3m3":1.00906772183023,"mu_oil_cP":1.16012098808965,"mu_gas_cP":0.03731778265764,"mu_wat_cP":0.834966973838392,"rho_oil_rc_kgm3":753.415810827741,"rho_gas_rc_kgm3":312.327645087474,"rho_wat_rc_kgm3":1090.11513915522,"compressibility_oil_1atm":1.39925775193799E-04,"compressibility_gas_1atm":1.7817046839307E-03,"compressibility_wat_1atm":3.31880766327554E-05,"sigma_liq_Nm":4.88505242195722E-02,"sigma_oil_gas_Nm":4.88505242195722E-02,"sigma_wat_gas_Nm":6.10494843415872E-02,"cp_oil_JkgC":2480.56,"cp_gas_JkgC":1408.53294957108,"cv_gas_JkgC":1165.492940836,"cp_wat_JkgC":4176,"z":0.763338655593905,"sal_ppm":136861.032313161}</v>
      </c>
      <c r="E114" s="26"/>
      <c r="F114" s="41" t="str" cm="1">
        <f t="array" ref="F114:AB115">[1]!decode_json(D114,1,)</f>
        <v>rs_m3m3</v>
      </c>
      <c r="G114" s="41" t="str">
        <v>pb_atma</v>
      </c>
      <c r="H114" s="41" t="str">
        <v>bo_m3m3</v>
      </c>
      <c r="I114" s="41" t="str">
        <v>bg_m3m3</v>
      </c>
      <c r="J114" s="41" t="str">
        <v>bw_m3m3</v>
      </c>
      <c r="K114" s="41" t="str">
        <v>mu_oil_cP</v>
      </c>
      <c r="L114" s="41" t="str">
        <v>mu_gas_cP</v>
      </c>
      <c r="M114" s="41" t="str">
        <v>mu_wat_cP</v>
      </c>
      <c r="N114" s="41" t="str">
        <v>rho_oil_rc_kgm3</v>
      </c>
      <c r="O114" s="41" t="str">
        <v>rho_gas_rc_kgm3</v>
      </c>
      <c r="P114" s="41" t="str">
        <v>rho_wat_rc_kgm3</v>
      </c>
      <c r="Q114" s="41" t="str">
        <v>compressibility_oil_1atm</v>
      </c>
      <c r="R114" s="41" t="str">
        <v>compressibility_gas_1atm</v>
      </c>
      <c r="S114" s="41" t="str">
        <v>compressibility_wat_1atm</v>
      </c>
      <c r="T114" s="41" t="str">
        <v>sigma_liq_Nm</v>
      </c>
      <c r="U114" s="41" t="str">
        <v>sigma_oil_gas_Nm</v>
      </c>
      <c r="V114" s="41" t="str">
        <v>sigma_wat_gas_Nm</v>
      </c>
      <c r="W114" s="41" t="str">
        <v>cp_oil_JkgC</v>
      </c>
      <c r="X114" s="41" t="str">
        <v>cp_gas_JkgC</v>
      </c>
      <c r="Y114" s="41" t="str">
        <v>cv_gas_JkgC</v>
      </c>
      <c r="Z114" s="41" t="str">
        <v>cp_wat_JkgC</v>
      </c>
      <c r="AA114" s="41" t="str">
        <v>z</v>
      </c>
      <c r="AB114" s="42" t="str">
        <v>sal_ppm</v>
      </c>
    </row>
    <row r="115" spans="2:28" x14ac:dyDescent="0.2">
      <c r="D115" s="47"/>
      <c r="E115" s="48"/>
      <c r="F115" s="43">
        <v>120</v>
      </c>
      <c r="G115" s="43">
        <v>143.565646824015</v>
      </c>
      <c r="H115" s="43">
        <v>1.3165951467227599</v>
      </c>
      <c r="I115" s="43">
        <v>3.5204376471127102E-3</v>
      </c>
      <c r="J115" s="43">
        <v>1.00906772183023</v>
      </c>
      <c r="K115" s="43">
        <v>1.1601209880896499</v>
      </c>
      <c r="L115" s="43">
        <v>3.7317782657639999E-2</v>
      </c>
      <c r="M115" s="43">
        <v>0.83496697383839202</v>
      </c>
      <c r="N115" s="43">
        <v>753.41581082774098</v>
      </c>
      <c r="O115" s="43">
        <v>312.32764508747402</v>
      </c>
      <c r="P115" s="43">
        <v>1090.11513915522</v>
      </c>
      <c r="Q115" s="43">
        <v>1.3992577519379899E-4</v>
      </c>
      <c r="R115" s="43">
        <v>1.7817046839307001E-3</v>
      </c>
      <c r="S115" s="43">
        <v>3.31880766327554E-5</v>
      </c>
      <c r="T115" s="43">
        <v>4.88505242195722E-2</v>
      </c>
      <c r="U115" s="43">
        <v>4.88505242195722E-2</v>
      </c>
      <c r="V115" s="43">
        <v>6.1049484341587197E-2</v>
      </c>
      <c r="W115" s="43">
        <v>2480.56</v>
      </c>
      <c r="X115" s="43">
        <v>1408.5329495710801</v>
      </c>
      <c r="Y115" s="43">
        <v>1165.4929408359999</v>
      </c>
      <c r="Z115" s="43">
        <v>4176</v>
      </c>
      <c r="AA115" s="43">
        <v>0.76333865559390501</v>
      </c>
      <c r="AB115" s="44">
        <v>136861.03231316101</v>
      </c>
    </row>
    <row r="116" spans="2:28" x14ac:dyDescent="0.2">
      <c r="D116" s="49"/>
      <c r="E116" s="49"/>
    </row>
    <row r="122" spans="2:28" x14ac:dyDescent="0.2">
      <c r="B122" t="s">
        <v>54</v>
      </c>
    </row>
    <row r="124" spans="2:28" s="30" customFormat="1" ht="38.25" x14ac:dyDescent="0.2">
      <c r="B124" s="31" t="s">
        <v>0</v>
      </c>
      <c r="C124" s="31" t="s">
        <v>4</v>
      </c>
      <c r="D124" s="31" t="str">
        <f>F114</f>
        <v>rs_m3m3</v>
      </c>
      <c r="E124" s="31" t="str">
        <f>G114</f>
        <v>pb_atma</v>
      </c>
      <c r="F124" s="31" t="str">
        <f>H114</f>
        <v>bo_m3m3</v>
      </c>
      <c r="G124" s="31" t="str">
        <f>I114</f>
        <v>bg_m3m3</v>
      </c>
      <c r="H124" s="31" t="str">
        <f>J114</f>
        <v>bw_m3m3</v>
      </c>
      <c r="I124" s="31" t="str">
        <f>K114</f>
        <v>mu_oil_cP</v>
      </c>
      <c r="J124" s="31" t="str">
        <f>L114</f>
        <v>mu_gas_cP</v>
      </c>
      <c r="K124" s="31" t="str">
        <f>M114</f>
        <v>mu_wat_cP</v>
      </c>
      <c r="L124" s="31" t="str">
        <f>N114</f>
        <v>rho_oil_rc_kgm3</v>
      </c>
      <c r="M124" s="31" t="str">
        <f>O114</f>
        <v>rho_gas_rc_kgm3</v>
      </c>
      <c r="N124" s="31" t="str">
        <f>P114</f>
        <v>rho_wat_rc_kgm3</v>
      </c>
      <c r="O124" s="31" t="str">
        <f>Q114</f>
        <v>compressibility_oil_1atm</v>
      </c>
      <c r="P124" s="31" t="str">
        <f>R114</f>
        <v>compressibility_gas_1atm</v>
      </c>
      <c r="Q124" s="31" t="str">
        <f>S114</f>
        <v>compressibility_wat_1atm</v>
      </c>
      <c r="R124" s="31" t="str">
        <f>T114</f>
        <v>sigma_liq_Nm</v>
      </c>
      <c r="S124" s="31" t="str">
        <f>U114</f>
        <v>sigma_oil_gas_Nm</v>
      </c>
      <c r="T124" s="31" t="str">
        <f>V114</f>
        <v>sigma_wat_gas_Nm</v>
      </c>
      <c r="U124" s="31" t="str">
        <f>W114</f>
        <v>cp_oil_JkgC</v>
      </c>
      <c r="V124" s="31" t="str">
        <f>X114</f>
        <v>cp_gas_JkgC</v>
      </c>
      <c r="W124" s="31" t="str">
        <f>Y114</f>
        <v>cv_gas_JkgC</v>
      </c>
      <c r="X124" s="31" t="str">
        <f>Z114</f>
        <v>cp_wat_JkgC</v>
      </c>
      <c r="Y124" s="31" t="str">
        <f>AA114</f>
        <v>z</v>
      </c>
      <c r="Z124" s="31" t="str">
        <f>AB114</f>
        <v>sal_ppm</v>
      </c>
    </row>
    <row r="125" spans="2:28" x14ac:dyDescent="0.2">
      <c r="B125" s="11">
        <v>1</v>
      </c>
      <c r="C125" s="11">
        <v>80</v>
      </c>
      <c r="D125" s="32" cm="1">
        <f t="array" ref="D125:Z125">[1]!decode_json([1]!json_PVT_calc(B125,C125,PVT_str_),1,,1)</f>
        <v>0.82921437497374595</v>
      </c>
      <c r="E125" s="32">
        <v>163.11447462595501</v>
      </c>
      <c r="F125" s="33">
        <v>1.06151277151872</v>
      </c>
      <c r="G125" s="33">
        <v>1.20678289749209</v>
      </c>
      <c r="H125" s="33">
        <v>1.0303260611056</v>
      </c>
      <c r="I125" s="33">
        <v>2.1560049658298901</v>
      </c>
      <c r="J125" s="33">
        <v>1.1660919395050101E-2</v>
      </c>
      <c r="K125" s="33">
        <v>0.49450516561346203</v>
      </c>
      <c r="L125" s="32">
        <v>811.02344614281003</v>
      </c>
      <c r="M125" s="32">
        <v>0.91112494408482303</v>
      </c>
      <c r="N125" s="32">
        <v>1067.62319378745</v>
      </c>
      <c r="O125" s="32">
        <v>0.49825868337260698</v>
      </c>
      <c r="P125" s="35">
        <v>1.0023857707950601</v>
      </c>
      <c r="Q125" s="35">
        <v>3.78374620279512E-5</v>
      </c>
      <c r="R125" s="35">
        <v>6.6414592185628799E-2</v>
      </c>
      <c r="S125" s="34">
        <v>6.6414592185628799E-2</v>
      </c>
      <c r="T125" s="34">
        <v>6.4550360938274307E-2</v>
      </c>
      <c r="U125" s="32">
        <v>2612.2600000000002</v>
      </c>
      <c r="V125" s="32">
        <v>1925.7003792225801</v>
      </c>
      <c r="W125" s="32">
        <v>1608.06648621774</v>
      </c>
      <c r="X125" s="32">
        <v>4176</v>
      </c>
      <c r="Y125" s="36">
        <v>0.99762269644121004</v>
      </c>
      <c r="Z125" s="32">
        <v>136861.03231316101</v>
      </c>
    </row>
    <row r="126" spans="2:28" x14ac:dyDescent="0.2">
      <c r="B126" s="11">
        <v>5</v>
      </c>
      <c r="C126" s="11">
        <v>80</v>
      </c>
      <c r="D126" s="32" cm="1">
        <f t="array" ref="D126:Z126">[1]!decode_json([1]!json_PVT_calc(B126,C126,PVT_str_),1,,1)</f>
        <v>17.715345948951001</v>
      </c>
      <c r="E126" s="32">
        <v>163.11447462595501</v>
      </c>
      <c r="F126" s="33">
        <v>1.10518302314382</v>
      </c>
      <c r="G126" s="33">
        <v>0.23903855309019001</v>
      </c>
      <c r="H126" s="33">
        <v>1.0302822084479599</v>
      </c>
      <c r="I126" s="33">
        <v>1.7058274405176901</v>
      </c>
      <c r="J126" s="33">
        <v>1.1716093611280801E-2</v>
      </c>
      <c r="K126" s="33">
        <v>0.49568448521335701</v>
      </c>
      <c r="L126" s="32">
        <v>795.77638808590302</v>
      </c>
      <c r="M126" s="32">
        <v>4.59980193899995</v>
      </c>
      <c r="N126" s="32">
        <v>1067.6686358168499</v>
      </c>
      <c r="O126" s="32">
        <v>4.8300137799873598E-2</v>
      </c>
      <c r="P126" s="35">
        <v>0.20244469970579701</v>
      </c>
      <c r="Q126" s="35">
        <v>3.7796696500802801E-5</v>
      </c>
      <c r="R126" s="35">
        <v>6.6074056436752404E-2</v>
      </c>
      <c r="S126" s="34">
        <v>6.6074056436752404E-2</v>
      </c>
      <c r="T126" s="34">
        <v>6.4490148206199902E-2</v>
      </c>
      <c r="U126" s="32">
        <v>2612.2600000000002</v>
      </c>
      <c r="V126" s="32">
        <v>1907.2056510380501</v>
      </c>
      <c r="W126" s="32">
        <v>1592.6223637124201</v>
      </c>
      <c r="X126" s="32">
        <v>4176</v>
      </c>
      <c r="Y126" s="36">
        <v>0.98804137174476503</v>
      </c>
      <c r="Z126" s="32">
        <v>136861.03231316101</v>
      </c>
    </row>
    <row r="127" spans="2:28" x14ac:dyDescent="0.2">
      <c r="B127" s="11">
        <v>10</v>
      </c>
      <c r="C127" s="11">
        <v>80</v>
      </c>
      <c r="D127" s="32" cm="1">
        <f t="array" ref="D127:Z127">[1]!decode_json([1]!json_PVT_calc(B127,C127,PVT_str_),1,,1)</f>
        <v>25.2447578351907</v>
      </c>
      <c r="E127" s="32">
        <v>163.11447462595501</v>
      </c>
      <c r="F127" s="33">
        <v>1.12479252660063</v>
      </c>
      <c r="G127" s="33">
        <v>0.11803796882989601</v>
      </c>
      <c r="H127" s="33">
        <v>1.03022483252763</v>
      </c>
      <c r="I127" s="33">
        <v>1.55416395496072</v>
      </c>
      <c r="J127" s="33">
        <v>1.1808987320130899E-2</v>
      </c>
      <c r="K127" s="33">
        <v>0.49717356350540998</v>
      </c>
      <c r="L127" s="32">
        <v>789.26321751579098</v>
      </c>
      <c r="M127" s="32">
        <v>9.3150535450549103</v>
      </c>
      <c r="N127" s="32">
        <v>1067.7280970806901</v>
      </c>
      <c r="O127" s="32">
        <v>1.7678885216249399E-2</v>
      </c>
      <c r="P127" s="35">
        <v>0.102550553019295</v>
      </c>
      <c r="Q127" s="35">
        <v>3.7745862951246003E-5</v>
      </c>
      <c r="R127" s="35">
        <v>6.5650841112889297E-2</v>
      </c>
      <c r="S127" s="34">
        <v>6.5650841112889297E-2</v>
      </c>
      <c r="T127" s="34">
        <v>6.4414961269221194E-2</v>
      </c>
      <c r="U127" s="32">
        <v>2612.2600000000002</v>
      </c>
      <c r="V127" s="32">
        <v>1883.56797076571</v>
      </c>
      <c r="W127" s="32">
        <v>1572.88359133224</v>
      </c>
      <c r="X127" s="32">
        <v>4176</v>
      </c>
      <c r="Y127" s="36">
        <v>0.97579570435780005</v>
      </c>
      <c r="Z127" s="32">
        <v>136861.03231316101</v>
      </c>
    </row>
    <row r="128" spans="2:28" x14ac:dyDescent="0.2">
      <c r="B128" s="11">
        <v>20</v>
      </c>
      <c r="C128" s="11">
        <v>80</v>
      </c>
      <c r="D128" s="32" cm="1">
        <f t="array" ref="D128:Z128">[1]!decode_json([1]!json_PVT_calc(B128,C128,PVT_str_),1,,1)</f>
        <v>35.332811720409403</v>
      </c>
      <c r="E128" s="32">
        <v>163.11447462595501</v>
      </c>
      <c r="F128" s="33">
        <v>1.15111959744655</v>
      </c>
      <c r="G128" s="33">
        <v>5.7455586750081597E-2</v>
      </c>
      <c r="H128" s="33">
        <v>1.03010154702602</v>
      </c>
      <c r="I128" s="33">
        <v>1.3832511780377701</v>
      </c>
      <c r="J128" s="33">
        <v>1.20480710401587E-2</v>
      </c>
      <c r="K128" s="33">
        <v>0.50020148273013199</v>
      </c>
      <c r="L128" s="32">
        <v>780.84804434291505</v>
      </c>
      <c r="M128" s="32">
        <v>19.137042404295698</v>
      </c>
      <c r="N128" s="32">
        <v>1067.85588583551</v>
      </c>
      <c r="O128" s="32">
        <v>6.4708507413438303E-3</v>
      </c>
      <c r="P128" s="35">
        <v>5.2831960881571098E-2</v>
      </c>
      <c r="Q128" s="35">
        <v>3.7644604954190997E-5</v>
      </c>
      <c r="R128" s="35">
        <v>6.4812525395937307E-2</v>
      </c>
      <c r="S128" s="34">
        <v>6.4812525395937307E-2</v>
      </c>
      <c r="T128" s="34">
        <v>6.4264850266977203E-2</v>
      </c>
      <c r="U128" s="32">
        <v>2612.2600000000002</v>
      </c>
      <c r="V128" s="32">
        <v>1833.67274135261</v>
      </c>
      <c r="W128" s="32">
        <v>1531.2183109454099</v>
      </c>
      <c r="X128" s="32">
        <v>4176</v>
      </c>
      <c r="Y128" s="36">
        <v>0.94994712799373304</v>
      </c>
      <c r="Z128" s="32">
        <v>136861.03231316101</v>
      </c>
    </row>
    <row r="129" spans="2:26" x14ac:dyDescent="0.2">
      <c r="B129" s="11">
        <v>40</v>
      </c>
      <c r="C129" s="11">
        <v>80</v>
      </c>
      <c r="D129" s="32" cm="1">
        <f t="array" ref="D129:Z129">[1]!decode_json([1]!json_PVT_calc(B129,C129,PVT_str_),1,,1)</f>
        <v>49.912020624561201</v>
      </c>
      <c r="E129" s="32">
        <v>163.11447462595501</v>
      </c>
      <c r="F129" s="33">
        <v>1.1892650073573501</v>
      </c>
      <c r="G129" s="33">
        <v>2.6984423776092701E-2</v>
      </c>
      <c r="H129" s="33">
        <v>1.029820841379</v>
      </c>
      <c r="I129" s="33">
        <v>1.1849931712022801</v>
      </c>
      <c r="J129" s="33">
        <v>1.27184512770108E-2</v>
      </c>
      <c r="K129" s="33">
        <v>0.50645637174203595</v>
      </c>
      <c r="L129" s="32">
        <v>769.28166420221498</v>
      </c>
      <c r="M129" s="32">
        <v>40.746840070535299</v>
      </c>
      <c r="N129" s="32">
        <v>1068.1469589671799</v>
      </c>
      <c r="O129" s="32">
        <v>2.36847000275016E-3</v>
      </c>
      <c r="P129" s="35">
        <v>2.8396434090459399E-2</v>
      </c>
      <c r="Q129" s="35">
        <v>3.7443710085765802E-5</v>
      </c>
      <c r="R129" s="35">
        <v>6.3167871401489106E-2</v>
      </c>
      <c r="S129" s="34">
        <v>6.3167871401489106E-2</v>
      </c>
      <c r="T129" s="34">
        <v>6.3965676891978004E-2</v>
      </c>
      <c r="U129" s="32">
        <v>2612.2600000000002</v>
      </c>
      <c r="V129" s="32">
        <v>1722.3948137387399</v>
      </c>
      <c r="W129" s="32">
        <v>1438.29507741317</v>
      </c>
      <c r="X129" s="32">
        <v>4176</v>
      </c>
      <c r="Y129" s="36">
        <v>0.89229881084205298</v>
      </c>
      <c r="Z129" s="32">
        <v>136861.03231316101</v>
      </c>
    </row>
    <row r="130" spans="2:26" x14ac:dyDescent="0.2">
      <c r="B130" s="11">
        <v>60</v>
      </c>
      <c r="C130" s="11">
        <v>80</v>
      </c>
      <c r="D130" s="32" cm="1">
        <f t="array" ref="D130:Z130">[1]!decode_json([1]!json_PVT_calc(B130,C130,PVT_str_),1,,1)</f>
        <v>62.094961243221803</v>
      </c>
      <c r="E130" s="32">
        <v>163.11447462595501</v>
      </c>
      <c r="F130" s="33">
        <v>1.22129644442177</v>
      </c>
      <c r="G130" s="33">
        <v>1.67700345889196E-2</v>
      </c>
      <c r="H130" s="33">
        <v>1.02949462287358</v>
      </c>
      <c r="I130" s="33">
        <v>1.05211434092468</v>
      </c>
      <c r="J130" s="33">
        <v>1.3682645275706401E-2</v>
      </c>
      <c r="K130" s="33">
        <v>0.51297666150388799</v>
      </c>
      <c r="L130" s="32">
        <v>760.07367169177405</v>
      </c>
      <c r="M130" s="32">
        <v>65.565159938697207</v>
      </c>
      <c r="N130" s="32">
        <v>1068.4854253338599</v>
      </c>
      <c r="O130" s="32">
        <v>1.31563543764799E-3</v>
      </c>
      <c r="P130" s="35">
        <v>2.0184164865056101E-2</v>
      </c>
      <c r="Q130" s="35">
        <v>3.7244948033572399E-5</v>
      </c>
      <c r="R130" s="35">
        <v>6.1564951419794199E-2</v>
      </c>
      <c r="S130" s="34">
        <v>6.1564951419794199E-2</v>
      </c>
      <c r="T130" s="34">
        <v>6.3667896264459595E-2</v>
      </c>
      <c r="U130" s="32">
        <v>2612.2600000000002</v>
      </c>
      <c r="V130" s="32">
        <v>1605.6274265025399</v>
      </c>
      <c r="W130" s="32">
        <v>1340.78784102079</v>
      </c>
      <c r="X130" s="32">
        <v>4176</v>
      </c>
      <c r="Y130" s="36">
        <v>0.83180664032173401</v>
      </c>
      <c r="Z130" s="32">
        <v>136861.03231316101</v>
      </c>
    </row>
    <row r="131" spans="2:26" x14ac:dyDescent="0.2">
      <c r="B131" s="11">
        <v>80</v>
      </c>
      <c r="C131" s="11">
        <v>80</v>
      </c>
      <c r="D131" s="32" cm="1">
        <f t="array" ref="D131:Z131">[1]!decode_json([1]!json_PVT_calc(B131,C131,PVT_str_),1,,1)</f>
        <v>73.454290979863799</v>
      </c>
      <c r="E131" s="32">
        <v>163.11447462595501</v>
      </c>
      <c r="F131" s="33">
        <v>1.2513590852357599</v>
      </c>
      <c r="G131" s="33">
        <v>1.17732486968916E-2</v>
      </c>
      <c r="H131" s="33">
        <v>1.0291228915097701</v>
      </c>
      <c r="I131" s="33">
        <v>0.94862964562263596</v>
      </c>
      <c r="J131" s="33">
        <v>1.49958249568269E-2</v>
      </c>
      <c r="K131" s="33">
        <v>0.51976235201568799</v>
      </c>
      <c r="L131" s="32">
        <v>751.79475472769502</v>
      </c>
      <c r="M131" s="32">
        <v>93.392234234404697</v>
      </c>
      <c r="N131" s="32">
        <v>1068.87137491058</v>
      </c>
      <c r="O131" s="32">
        <v>8.6691076307570097E-4</v>
      </c>
      <c r="P131" s="35">
        <v>1.5484849037100601E-2</v>
      </c>
      <c r="Q131" s="35">
        <v>3.7048285012135802E-5</v>
      </c>
      <c r="R131" s="35">
        <v>6.0002706426993402E-2</v>
      </c>
      <c r="S131" s="34">
        <v>6.0002706426993402E-2</v>
      </c>
      <c r="T131" s="34">
        <v>6.3371501900738203E-2</v>
      </c>
      <c r="U131" s="32">
        <v>2612.2600000000002</v>
      </c>
      <c r="V131" s="32">
        <v>1502.9546426222601</v>
      </c>
      <c r="W131" s="32">
        <v>1255.05037916745</v>
      </c>
      <c r="X131" s="32">
        <v>4176</v>
      </c>
      <c r="Y131" s="36">
        <v>0.77861627872086803</v>
      </c>
      <c r="Z131" s="32">
        <v>136861.03231316101</v>
      </c>
    </row>
    <row r="132" spans="2:26" x14ac:dyDescent="0.2">
      <c r="B132" s="11">
        <v>100</v>
      </c>
      <c r="C132" s="11">
        <v>80</v>
      </c>
      <c r="D132" s="32" cm="1">
        <f t="array" ref="D132:Z132">[1]!decode_json([1]!json_PVT_calc(B132,C132,PVT_str_),1,,1)</f>
        <v>84.539102352469499</v>
      </c>
      <c r="E132" s="32">
        <v>163.11447462595501</v>
      </c>
      <c r="F132" s="33">
        <v>1.2809156212625199</v>
      </c>
      <c r="G132" s="33">
        <v>8.9561993641654007E-3</v>
      </c>
      <c r="H132" s="33">
        <v>1.02870564728755</v>
      </c>
      <c r="I132" s="33">
        <v>0.86281251384627</v>
      </c>
      <c r="J132" s="33">
        <v>1.6662090323001599E-2</v>
      </c>
      <c r="K132" s="33">
        <v>0.52681344327743596</v>
      </c>
      <c r="L132" s="32">
        <v>743.962571297512</v>
      </c>
      <c r="M132" s="32">
        <v>122.767477061679</v>
      </c>
      <c r="N132" s="32">
        <v>1069.30491039923</v>
      </c>
      <c r="O132" s="32">
        <v>6.2727051814487995E-4</v>
      </c>
      <c r="P132" s="35">
        <v>1.1997369744629199E-2</v>
      </c>
      <c r="Q132" s="35">
        <v>3.6853687945817697E-5</v>
      </c>
      <c r="R132" s="35">
        <v>5.84801042725486E-2</v>
      </c>
      <c r="S132" s="34">
        <v>5.84801042725486E-2</v>
      </c>
      <c r="T132" s="34">
        <v>6.3076487347313706E-2</v>
      </c>
      <c r="U132" s="32">
        <v>2612.2600000000002</v>
      </c>
      <c r="V132" s="32">
        <v>1429.1681252533999</v>
      </c>
      <c r="W132" s="32">
        <v>1193.4345499368001</v>
      </c>
      <c r="X132" s="32">
        <v>4176</v>
      </c>
      <c r="Y132" s="36">
        <v>0.74039065171639995</v>
      </c>
      <c r="Z132" s="32">
        <v>136861.03231316101</v>
      </c>
    </row>
    <row r="133" spans="2:26" x14ac:dyDescent="0.2">
      <c r="B133" s="11">
        <v>120</v>
      </c>
      <c r="C133" s="11">
        <v>80</v>
      </c>
      <c r="D133" s="32" cm="1">
        <f t="array" ref="D133:Z133">[1]!decode_json([1]!json_PVT_calc(B133,C133,PVT_str_),1,,1)</f>
        <v>95.607519269076704</v>
      </c>
      <c r="E133" s="32">
        <v>163.11447462595501</v>
      </c>
      <c r="F133" s="33">
        <v>1.31065890110948</v>
      </c>
      <c r="G133" s="33">
        <v>7.2502223943708803E-3</v>
      </c>
      <c r="H133" s="33">
        <v>1.02824289020694</v>
      </c>
      <c r="I133" s="33">
        <v>0.78935474051698695</v>
      </c>
      <c r="J133" s="33">
        <v>1.8612671003194099E-2</v>
      </c>
      <c r="K133" s="33">
        <v>0.534129935289131</v>
      </c>
      <c r="L133" s="32">
        <v>736.36499538129101</v>
      </c>
      <c r="M133" s="32">
        <v>151.65465832519601</v>
      </c>
      <c r="N133" s="32">
        <v>1069.7861472969801</v>
      </c>
      <c r="O133" s="32">
        <v>4.8155075633489502E-4</v>
      </c>
      <c r="P133" s="35">
        <v>9.2380104232467897E-3</v>
      </c>
      <c r="Q133" s="35">
        <v>3.6661124450270998E-5</v>
      </c>
      <c r="R133" s="35">
        <v>5.6996138997317598E-2</v>
      </c>
      <c r="S133" s="34">
        <v>5.6996138997317598E-2</v>
      </c>
      <c r="T133" s="34">
        <v>6.2782846180729004E-2</v>
      </c>
      <c r="U133" s="32">
        <v>2612.2600000000002</v>
      </c>
      <c r="V133" s="32">
        <v>1388.32819490264</v>
      </c>
      <c r="W133" s="32">
        <v>1159.33094586365</v>
      </c>
      <c r="X133" s="32">
        <v>4176</v>
      </c>
      <c r="Y133" s="36">
        <v>0.71923323705387299</v>
      </c>
      <c r="Z133" s="32">
        <v>136861.03231316101</v>
      </c>
    </row>
    <row r="134" spans="2:26" x14ac:dyDescent="0.2">
      <c r="B134" s="11">
        <v>140</v>
      </c>
      <c r="C134" s="11">
        <v>80</v>
      </c>
      <c r="D134" s="32" cm="1">
        <f t="array" ref="D134:Z134">[1]!decode_json([1]!json_PVT_calc(B134,C134,PVT_str_),1,,1)</f>
        <v>106.800435141431</v>
      </c>
      <c r="E134" s="32">
        <v>163.11447462595501</v>
      </c>
      <c r="F134" s="33">
        <v>1.3409673512786899</v>
      </c>
      <c r="G134" s="33">
        <v>6.1630510635802402E-3</v>
      </c>
      <c r="H134" s="33">
        <v>1.02773462026794</v>
      </c>
      <c r="I134" s="33">
        <v>0.72538606380474202</v>
      </c>
      <c r="J134" s="33">
        <v>2.0733492057591601E-2</v>
      </c>
      <c r="K134" s="33">
        <v>0.541711828050775</v>
      </c>
      <c r="L134" s="32">
        <v>728.89938857871596</v>
      </c>
      <c r="M134" s="32">
        <v>178.40676454841201</v>
      </c>
      <c r="N134" s="32">
        <v>1070.31521397345</v>
      </c>
      <c r="O134" s="32">
        <v>3.8509619217357E-4</v>
      </c>
      <c r="P134" s="35">
        <v>7.1009336693922996E-3</v>
      </c>
      <c r="Q134" s="35">
        <v>3.6470562814473901E-5</v>
      </c>
      <c r="R134" s="35">
        <v>5.5549830168932703E-2</v>
      </c>
      <c r="S134" s="34">
        <v>5.5549830168932703E-2</v>
      </c>
      <c r="T134" s="34">
        <v>6.2490572007430398E-2</v>
      </c>
      <c r="U134" s="32">
        <v>2612.2600000000002</v>
      </c>
      <c r="V134" s="32">
        <v>1376.83967124131</v>
      </c>
      <c r="W134" s="32">
        <v>1149.7373922271499</v>
      </c>
      <c r="X134" s="32">
        <v>4176</v>
      </c>
      <c r="Y134" s="36">
        <v>0.71328152614557006</v>
      </c>
      <c r="Z134" s="32">
        <v>136861.03231316101</v>
      </c>
    </row>
    <row r="135" spans="2:26" x14ac:dyDescent="0.2">
      <c r="B135" s="11">
        <v>160</v>
      </c>
      <c r="C135" s="11">
        <v>80</v>
      </c>
      <c r="D135" s="32" cm="1">
        <f t="array" ref="D135:Z135">[1]!decode_json([1]!json_PVT_calc(B135,C135,PVT_str_),1,,1)</f>
        <v>118.20199382909099</v>
      </c>
      <c r="E135" s="32">
        <v>163.11447462595501</v>
      </c>
      <c r="F135" s="33">
        <v>1.3720638899968001</v>
      </c>
      <c r="G135" s="33">
        <v>5.4374919465490796E-3</v>
      </c>
      <c r="H135" s="33">
        <v>1.02718083747053</v>
      </c>
      <c r="I135" s="33">
        <v>0.66915506351068599</v>
      </c>
      <c r="J135" s="33">
        <v>2.2911561151152698E-2</v>
      </c>
      <c r="K135" s="33">
        <v>0.54955912156236597</v>
      </c>
      <c r="L135" s="32">
        <v>721.51642900332502</v>
      </c>
      <c r="M135" s="32">
        <v>202.21271328922501</v>
      </c>
      <c r="N135" s="32">
        <v>1070.89225175655</v>
      </c>
      <c r="O135" s="32">
        <v>3.1730791197011099E-4</v>
      </c>
      <c r="P135" s="35">
        <v>5.50208439050409E-3</v>
      </c>
      <c r="Q135" s="35">
        <v>3.6281971983320802E-5</v>
      </c>
      <c r="R135" s="35">
        <v>5.4140222234044501E-2</v>
      </c>
      <c r="S135" s="34">
        <v>5.4140222234044501E-2</v>
      </c>
      <c r="T135" s="34">
        <v>6.2199658463628099E-2</v>
      </c>
      <c r="U135" s="32">
        <v>2612.2600000000002</v>
      </c>
      <c r="V135" s="32">
        <v>1388.28355294061</v>
      </c>
      <c r="W135" s="32">
        <v>1159.2936673525201</v>
      </c>
      <c r="X135" s="32">
        <v>4176</v>
      </c>
      <c r="Y135" s="36">
        <v>0.71921010996982104</v>
      </c>
      <c r="Z135" s="32">
        <v>136861.03231316101</v>
      </c>
    </row>
    <row r="136" spans="2:26" x14ac:dyDescent="0.2">
      <c r="B136" s="11">
        <v>180</v>
      </c>
      <c r="C136" s="11">
        <v>80</v>
      </c>
      <c r="D136" s="32" cm="1">
        <f t="array" ref="D136:Z136">[1]!decode_json([1]!json_PVT_calc(B136,C136,PVT_str_),1,,1)</f>
        <v>120</v>
      </c>
      <c r="E136" s="32">
        <v>163.11447462595501</v>
      </c>
      <c r="F136" s="33">
        <v>1.3714742365247401</v>
      </c>
      <c r="G136" s="33">
        <v>4.9311135009249404E-3</v>
      </c>
      <c r="H136" s="33">
        <v>1.0265815418147299</v>
      </c>
      <c r="I136" s="33">
        <v>0.67156328784202901</v>
      </c>
      <c r="J136" s="33">
        <v>2.5065367115478101E-2</v>
      </c>
      <c r="K136" s="33">
        <v>0.55767181582390601</v>
      </c>
      <c r="L136" s="32">
        <v>723.26812533755196</v>
      </c>
      <c r="M136" s="32">
        <v>222.978035243715</v>
      </c>
      <c r="N136" s="32">
        <v>1071.5174150272401</v>
      </c>
      <c r="O136" s="32">
        <v>2.37567700258398E-4</v>
      </c>
      <c r="P136" s="35">
        <v>4.33287881754486E-3</v>
      </c>
      <c r="Q136" s="35">
        <v>3.60953215407505E-5</v>
      </c>
      <c r="R136" s="35">
        <v>5.2766383887002999E-2</v>
      </c>
      <c r="S136" s="34">
        <v>5.2766383887002999E-2</v>
      </c>
      <c r="T136" s="34">
        <v>6.1910099215157902E-2</v>
      </c>
      <c r="U136" s="32">
        <v>2612.2600000000002</v>
      </c>
      <c r="V136" s="32">
        <v>1416.3711538520099</v>
      </c>
      <c r="W136" s="32">
        <v>1182.74836995901</v>
      </c>
      <c r="X136" s="32">
        <v>4176</v>
      </c>
      <c r="Y136" s="36">
        <v>0.73376109020543701</v>
      </c>
      <c r="Z136" s="32">
        <v>136861.03231316101</v>
      </c>
    </row>
    <row r="137" spans="2:26" x14ac:dyDescent="0.2">
      <c r="B137" s="11">
        <v>200</v>
      </c>
      <c r="C137" s="11">
        <v>80</v>
      </c>
      <c r="D137" s="32" cm="1">
        <f t="array" ref="D137:Z137">[1]!decode_json([1]!json_PVT_calc(B137,C137,PVT_str_),1,,1)</f>
        <v>120</v>
      </c>
      <c r="E137" s="32">
        <v>163.11447462595501</v>
      </c>
      <c r="F137" s="33">
        <v>1.36616995752797</v>
      </c>
      <c r="G137" s="33">
        <v>4.5623354978271899E-3</v>
      </c>
      <c r="H137" s="33">
        <v>1.02593673330054</v>
      </c>
      <c r="I137" s="33">
        <v>0.68405861996322204</v>
      </c>
      <c r="J137" s="33">
        <v>2.7149989853059699E-2</v>
      </c>
      <c r="K137" s="33">
        <v>0.56604991083539302</v>
      </c>
      <c r="L137" s="32">
        <v>726.07627955374005</v>
      </c>
      <c r="M137" s="32">
        <v>241.00156608904601</v>
      </c>
      <c r="N137" s="32">
        <v>1072.1908713232201</v>
      </c>
      <c r="O137" s="32">
        <v>2.1381093023255799E-4</v>
      </c>
      <c r="P137" s="35">
        <v>3.4834166523360801E-3</v>
      </c>
      <c r="Q137" s="35">
        <v>3.5910581693392998E-5</v>
      </c>
      <c r="R137" s="35">
        <v>5.1427407454558802E-2</v>
      </c>
      <c r="S137" s="34">
        <v>5.1427407454558802E-2</v>
      </c>
      <c r="T137" s="34">
        <v>6.1621887957342997E-2</v>
      </c>
      <c r="U137" s="32">
        <v>2612.2600000000002</v>
      </c>
      <c r="V137" s="32">
        <v>1456.0516587639299</v>
      </c>
      <c r="W137" s="32">
        <v>1215.88378956713</v>
      </c>
      <c r="X137" s="32">
        <v>4176</v>
      </c>
      <c r="Y137" s="36">
        <v>0.75431785632206405</v>
      </c>
      <c r="Z137" s="32">
        <v>136861.03231316101</v>
      </c>
    </row>
    <row r="138" spans="2:26" x14ac:dyDescent="0.2">
      <c r="B138" s="11">
        <v>220</v>
      </c>
      <c r="C138" s="11">
        <v>80</v>
      </c>
      <c r="D138" s="32" cm="1">
        <f t="array" ref="D138:Z138">[1]!decode_json([1]!json_PVT_calc(B138,C138,PVT_str_),1,,1)</f>
        <v>120</v>
      </c>
      <c r="E138" s="32">
        <v>163.11447462595501</v>
      </c>
      <c r="F138" s="33">
        <v>1.3618453553390499</v>
      </c>
      <c r="G138" s="33">
        <v>4.28314918594955E-3</v>
      </c>
      <c r="H138" s="33">
        <v>1.0252464119279401</v>
      </c>
      <c r="I138" s="33">
        <v>0.69655395208441495</v>
      </c>
      <c r="J138" s="33">
        <v>2.9147599743131501E-2</v>
      </c>
      <c r="K138" s="33">
        <v>0.57469340659682799</v>
      </c>
      <c r="L138" s="32">
        <v>728.38196797538706</v>
      </c>
      <c r="M138" s="32">
        <v>256.71064729823098</v>
      </c>
      <c r="N138" s="32">
        <v>1072.9128014517901</v>
      </c>
      <c r="O138" s="32">
        <v>1.94373572938689E-4</v>
      </c>
      <c r="P138" s="35">
        <v>2.8616167448859099E-3</v>
      </c>
      <c r="Q138" s="35">
        <v>3.5727723254715299E-5</v>
      </c>
      <c r="R138" s="35">
        <v>5.0122408296177597E-2</v>
      </c>
      <c r="S138" s="34">
        <v>5.0122408296177597E-2</v>
      </c>
      <c r="T138" s="34">
        <v>6.1335018414857001E-2</v>
      </c>
      <c r="U138" s="32">
        <v>2612.2600000000002</v>
      </c>
      <c r="V138" s="32">
        <v>1503.6454745373001</v>
      </c>
      <c r="W138" s="32">
        <v>1255.62726208349</v>
      </c>
      <c r="X138" s="32">
        <v>4176</v>
      </c>
      <c r="Y138" s="36">
        <v>0.77897416907873795</v>
      </c>
      <c r="Z138" s="32">
        <v>136861.03231316101</v>
      </c>
    </row>
    <row r="139" spans="2:26" x14ac:dyDescent="0.2">
      <c r="B139" s="11">
        <v>240</v>
      </c>
      <c r="C139" s="11">
        <v>80</v>
      </c>
      <c r="D139" s="32" cm="1">
        <f t="array" ref="D139:Z139">[1]!decode_json([1]!json_PVT_calc(B139,C139,PVT_str_),1,,1)</f>
        <v>120</v>
      </c>
      <c r="E139" s="32">
        <v>163.11447462595501</v>
      </c>
      <c r="F139" s="33">
        <v>1.35825197927955</v>
      </c>
      <c r="G139" s="33">
        <v>4.0645327163799597E-3</v>
      </c>
      <c r="H139" s="33">
        <v>1.0245105776969501</v>
      </c>
      <c r="I139" s="33">
        <v>0.70904928420560798</v>
      </c>
      <c r="J139" s="33">
        <v>3.10555308872686E-2</v>
      </c>
      <c r="K139" s="33">
        <v>0.58360230310821104</v>
      </c>
      <c r="L139" s="32">
        <v>730.30896706379497</v>
      </c>
      <c r="M139" s="32">
        <v>270.51818172576702</v>
      </c>
      <c r="N139" s="32">
        <v>1073.6833996118901</v>
      </c>
      <c r="O139" s="32">
        <v>1.78175775193799E-4</v>
      </c>
      <c r="P139" s="35">
        <v>2.3984982248809999E-3</v>
      </c>
      <c r="Q139" s="35">
        <v>3.5546717629650001E-5</v>
      </c>
      <c r="R139" s="35">
        <v>4.88505242195722E-2</v>
      </c>
      <c r="S139" s="34">
        <v>4.88505242195722E-2</v>
      </c>
      <c r="T139" s="34">
        <v>6.1049484341587197E-2</v>
      </c>
      <c r="U139" s="32">
        <v>2612.2600000000002</v>
      </c>
      <c r="V139" s="32">
        <v>1556.6158008161799</v>
      </c>
      <c r="W139" s="32">
        <v>1299.8604186908899</v>
      </c>
      <c r="X139" s="32">
        <v>4176</v>
      </c>
      <c r="Y139" s="36">
        <v>0.80641582111551102</v>
      </c>
      <c r="Z139" s="32">
        <v>136861.03231316101</v>
      </c>
    </row>
    <row r="140" spans="2:26" x14ac:dyDescent="0.2">
      <c r="B140" s="11">
        <v>260</v>
      </c>
      <c r="C140" s="11">
        <v>80</v>
      </c>
      <c r="D140" s="32" cm="1">
        <f t="array" ref="D140:Z140">[1]!decode_json([1]!json_PVT_calc(B140,C140,PVT_str_),1,,1)</f>
        <v>120</v>
      </c>
      <c r="E140" s="32">
        <v>163.11447462595501</v>
      </c>
      <c r="F140" s="33">
        <v>1.35521883698607</v>
      </c>
      <c r="G140" s="33">
        <v>3.8884304460332498E-3</v>
      </c>
      <c r="H140" s="33">
        <v>1.02372923060756</v>
      </c>
      <c r="I140" s="33">
        <v>0.721544616326801</v>
      </c>
      <c r="J140" s="33">
        <v>3.2877589940684501E-2</v>
      </c>
      <c r="K140" s="33">
        <v>0.59277660036954205</v>
      </c>
      <c r="L140" s="32">
        <v>731.94348612067995</v>
      </c>
      <c r="M140" s="32">
        <v>282.76962009740299</v>
      </c>
      <c r="N140" s="32">
        <v>1074.5028735256301</v>
      </c>
      <c r="O140" s="32">
        <v>1.6446994633273701E-4</v>
      </c>
      <c r="P140" s="35">
        <v>2.0455644724820198E-3</v>
      </c>
      <c r="Q140" s="35">
        <v>3.5367536799687602E-5</v>
      </c>
      <c r="R140" s="35">
        <v>4.7610914911065803E-2</v>
      </c>
      <c r="S140" s="34">
        <v>4.7610914911065803E-2</v>
      </c>
      <c r="T140" s="34">
        <v>6.0765279520498303E-2</v>
      </c>
      <c r="U140" s="32">
        <v>2612.2600000000002</v>
      </c>
      <c r="V140" s="32">
        <v>1613.27072169959</v>
      </c>
      <c r="W140" s="32">
        <v>1347.1704158923901</v>
      </c>
      <c r="X140" s="32">
        <v>4176</v>
      </c>
      <c r="Y140" s="36">
        <v>0.83576630343778802</v>
      </c>
      <c r="Z140" s="32">
        <v>136861.03231316101</v>
      </c>
    </row>
    <row r="141" spans="2:26" x14ac:dyDescent="0.2">
      <c r="B141" s="11">
        <v>280</v>
      </c>
      <c r="C141" s="11">
        <v>80</v>
      </c>
      <c r="D141" s="32" cm="1">
        <f t="array" ref="D141:Z141">[1]!decode_json([1]!json_PVT_calc(B141,C141,PVT_str_),1,,1)</f>
        <v>120</v>
      </c>
      <c r="E141" s="32">
        <v>163.11447462595501</v>
      </c>
      <c r="F141" s="33">
        <v>1.3526243923630199</v>
      </c>
      <c r="G141" s="33">
        <v>3.7432561410045101E-3</v>
      </c>
      <c r="H141" s="33">
        <v>1.02290237065977</v>
      </c>
      <c r="I141" s="33">
        <v>0.73403994844799403</v>
      </c>
      <c r="J141" s="33">
        <v>3.4619250690228802E-2</v>
      </c>
      <c r="K141" s="33">
        <v>0.60221629838082102</v>
      </c>
      <c r="L141" s="32">
        <v>733.34741381314802</v>
      </c>
      <c r="M141" s="32">
        <v>293.736244216763</v>
      </c>
      <c r="N141" s="32">
        <v>1075.37144457931</v>
      </c>
      <c r="O141" s="32">
        <v>1.52722093023256E-4</v>
      </c>
      <c r="P141" s="35">
        <v>1.76983791015114E-3</v>
      </c>
      <c r="Q141" s="35">
        <v>3.5190153308418302E-5</v>
      </c>
      <c r="R141" s="35">
        <v>4.6402761380410003E-2</v>
      </c>
      <c r="S141" s="34">
        <v>4.6402761380410003E-2</v>
      </c>
      <c r="T141" s="34">
        <v>6.0482397763497599E-2</v>
      </c>
      <c r="U141" s="32">
        <v>2612.2600000000002</v>
      </c>
      <c r="V141" s="32">
        <v>1672.50392748123</v>
      </c>
      <c r="W141" s="32">
        <v>1396.6334238018301</v>
      </c>
      <c r="X141" s="32">
        <v>4176</v>
      </c>
      <c r="Y141" s="36">
        <v>0.86645248448044498</v>
      </c>
      <c r="Z141" s="32">
        <v>136861.03231316101</v>
      </c>
    </row>
    <row r="142" spans="2:26" x14ac:dyDescent="0.2">
      <c r="B142" s="11">
        <v>300</v>
      </c>
      <c r="C142" s="11">
        <v>80</v>
      </c>
      <c r="D142" s="32" cm="1">
        <f t="array" ref="D142:Z142">[1]!decode_json([1]!json_PVT_calc(B142,C142,PVT_str_),1,,1)</f>
        <v>120</v>
      </c>
      <c r="E142" s="32">
        <v>163.11447462595501</v>
      </c>
      <c r="F142" s="33">
        <v>1.35037989164612</v>
      </c>
      <c r="G142" s="33">
        <v>3.6213280108057101E-3</v>
      </c>
      <c r="H142" s="33">
        <v>1.0220299978535801</v>
      </c>
      <c r="I142" s="33">
        <v>0.74653528056918705</v>
      </c>
      <c r="J142" s="33">
        <v>3.6285578432125397E-2</v>
      </c>
      <c r="K142" s="33">
        <v>0.61192139714204796</v>
      </c>
      <c r="L142" s="32">
        <v>734.566329176316</v>
      </c>
      <c r="M142" s="32">
        <v>303.62618263772401</v>
      </c>
      <c r="N142" s="32">
        <v>1076.28934797429</v>
      </c>
      <c r="O142" s="32">
        <v>1.42540620155039E-4</v>
      </c>
      <c r="P142" s="35">
        <v>1.5492036754003299E-3</v>
      </c>
      <c r="Q142" s="35">
        <v>3.5014540247507002E-5</v>
      </c>
      <c r="R142" s="35">
        <v>4.5225265419690901E-2</v>
      </c>
      <c r="S142" s="34">
        <v>4.5225265419690901E-2</v>
      </c>
      <c r="T142" s="34">
        <v>6.0200832911299601E-2</v>
      </c>
      <c r="U142" s="32">
        <v>2612.2600000000002</v>
      </c>
      <c r="V142" s="32">
        <v>1733.5991597636</v>
      </c>
      <c r="W142" s="32">
        <v>1447.6513269818799</v>
      </c>
      <c r="X142" s="32">
        <v>4176</v>
      </c>
      <c r="Y142" s="36">
        <v>0.898103301516608</v>
      </c>
      <c r="Z142" s="32">
        <v>136861.03231316101</v>
      </c>
    </row>
    <row r="143" spans="2:26" x14ac:dyDescent="0.2">
      <c r="B143" s="11">
        <v>320</v>
      </c>
      <c r="C143" s="11">
        <v>80</v>
      </c>
      <c r="D143" s="32" cm="1">
        <f t="array" ref="D143:Z143">[1]!decode_json([1]!json_PVT_calc(B143,C143,PVT_str_),1,,1)</f>
        <v>120</v>
      </c>
      <c r="E143" s="32">
        <v>163.11447462595501</v>
      </c>
      <c r="F143" s="33">
        <v>1.348419008944</v>
      </c>
      <c r="G143" s="33">
        <v>3.5173793984972202E-3</v>
      </c>
      <c r="H143" s="33">
        <v>1.0211121121890001</v>
      </c>
      <c r="I143" s="33">
        <v>0.75903061269037997</v>
      </c>
      <c r="J143" s="33">
        <v>3.7880656112842699E-2</v>
      </c>
      <c r="K143" s="33">
        <v>0.62189189665322298</v>
      </c>
      <c r="L143" s="32">
        <v>735.63454194911697</v>
      </c>
      <c r="M143" s="32">
        <v>312.59920396126898</v>
      </c>
      <c r="N143" s="32">
        <v>1077.2568328877101</v>
      </c>
      <c r="O143" s="32">
        <v>1.3363183139534899E-4</v>
      </c>
      <c r="P143" s="35">
        <v>1.36884526687346E-3</v>
      </c>
      <c r="Q143" s="35">
        <v>3.4840671243084599E-5</v>
      </c>
      <c r="R143" s="35">
        <v>4.40776490759658E-2</v>
      </c>
      <c r="S143" s="34">
        <v>4.40776490759658E-2</v>
      </c>
      <c r="T143" s="34">
        <v>5.9920578833292597E-2</v>
      </c>
      <c r="U143" s="32">
        <v>2612.2600000000002</v>
      </c>
      <c r="V143" s="32">
        <v>1796.09276349731</v>
      </c>
      <c r="W143" s="32">
        <v>1499.83694778324</v>
      </c>
      <c r="X143" s="32">
        <v>4176</v>
      </c>
      <c r="Y143" s="36">
        <v>0.930478554769824</v>
      </c>
      <c r="Z143" s="32">
        <v>136861.03231316101</v>
      </c>
    </row>
    <row r="144" spans="2:26" x14ac:dyDescent="0.2">
      <c r="B144" s="11">
        <v>340</v>
      </c>
      <c r="C144" s="11">
        <v>80</v>
      </c>
      <c r="D144" s="32" cm="1">
        <f t="array" ref="D144:Z144">[1]!decode_json([1]!json_PVT_calc(B144,C144,PVT_str_),1,,1)</f>
        <v>120</v>
      </c>
      <c r="E144" s="32">
        <v>163.11447462595501</v>
      </c>
      <c r="F144" s="33">
        <v>1.34669118307543</v>
      </c>
      <c r="G144" s="33">
        <v>3.4276773068663302E-3</v>
      </c>
      <c r="H144" s="33">
        <v>1.0201487136660199</v>
      </c>
      <c r="I144" s="33">
        <v>0.77152594481157299</v>
      </c>
      <c r="J144" s="33">
        <v>3.9407689305848002E-2</v>
      </c>
      <c r="K144" s="33">
        <v>0.63212779691434595</v>
      </c>
      <c r="L144" s="32">
        <v>736.57837258183304</v>
      </c>
      <c r="M144" s="32">
        <v>320.77990474698998</v>
      </c>
      <c r="N144" s="32">
        <v>1078.2741626434299</v>
      </c>
      <c r="O144" s="32">
        <v>1.25771135430917E-4</v>
      </c>
      <c r="P144" s="35">
        <v>1.21875500329505E-3</v>
      </c>
      <c r="Q144" s="35">
        <v>3.4668520442544801E-5</v>
      </c>
      <c r="R144" s="35">
        <v>4.2959154137281901E-2</v>
      </c>
      <c r="S144" s="34">
        <v>4.2959154137281901E-2</v>
      </c>
      <c r="T144" s="34">
        <v>5.9641629427404502E-2</v>
      </c>
      <c r="U144" s="32">
        <v>2612.2600000000002</v>
      </c>
      <c r="V144" s="32">
        <v>1859.6808350175199</v>
      </c>
      <c r="W144" s="32">
        <v>1552.9365098117501</v>
      </c>
      <c r="X144" s="32">
        <v>4176</v>
      </c>
      <c r="Y144" s="36">
        <v>0.96342080479788705</v>
      </c>
      <c r="Z144" s="32">
        <v>136861.03231316101</v>
      </c>
    </row>
    <row r="145" spans="2:26" x14ac:dyDescent="0.2">
      <c r="B145" s="11">
        <v>360</v>
      </c>
      <c r="C145" s="11">
        <v>80</v>
      </c>
      <c r="D145" s="32" cm="1">
        <f t="array" ref="D145:Z145">[1]!decode_json([1]!json_PVT_calc(B145,C145,PVT_str_),1,,1)</f>
        <v>120</v>
      </c>
      <c r="E145" s="32">
        <v>163.11447462595501</v>
      </c>
      <c r="F145" s="33">
        <v>1.3451571966029601</v>
      </c>
      <c r="G145" s="33">
        <v>3.3494898123093801E-3</v>
      </c>
      <c r="H145" s="33">
        <v>1.0191398022846501</v>
      </c>
      <c r="I145" s="33">
        <v>0.78402127693276602</v>
      </c>
      <c r="J145" s="33">
        <v>4.0869339901965202E-2</v>
      </c>
      <c r="K145" s="33">
        <v>0.642629097925416</v>
      </c>
      <c r="L145" s="32">
        <v>737.41834969551599</v>
      </c>
      <c r="M145" s="32">
        <v>328.26790395338003</v>
      </c>
      <c r="N145" s="32">
        <v>1079.34161489335</v>
      </c>
      <c r="O145" s="32">
        <v>1.18783850129199E-4</v>
      </c>
      <c r="P145" s="35">
        <v>1.0920730564827699E-3</v>
      </c>
      <c r="Q145" s="35">
        <v>3.4498062501728701E-5</v>
      </c>
      <c r="R145" s="35">
        <v>4.1869041631737901E-2</v>
      </c>
      <c r="S145" s="34">
        <v>4.1869041631737901E-2</v>
      </c>
      <c r="T145" s="34">
        <v>5.93639786199706E-2</v>
      </c>
      <c r="U145" s="32">
        <v>2612.2600000000002</v>
      </c>
      <c r="V145" s="32">
        <v>1924.1580017926201</v>
      </c>
      <c r="W145" s="32">
        <v>1606.7785156274099</v>
      </c>
      <c r="X145" s="32">
        <v>4176</v>
      </c>
      <c r="Y145" s="36">
        <v>0.99682365690878305</v>
      </c>
      <c r="Z145" s="32">
        <v>136861.03231316101</v>
      </c>
    </row>
    <row r="146" spans="2:26" x14ac:dyDescent="0.2">
      <c r="B146" s="11">
        <v>380</v>
      </c>
      <c r="C146" s="11">
        <v>80</v>
      </c>
      <c r="D146" s="32" cm="1">
        <f t="array" ref="D146:Z146">[1]!decode_json([1]!json_PVT_calc(B146,C146,PVT_str_),1,,1)</f>
        <v>120</v>
      </c>
      <c r="E146" s="32">
        <v>163.11447462595501</v>
      </c>
      <c r="F146" s="33">
        <v>1.3437861635666299</v>
      </c>
      <c r="G146" s="33">
        <v>3.2807571595750099E-3</v>
      </c>
      <c r="H146" s="33">
        <v>1.01808537804487</v>
      </c>
      <c r="I146" s="33">
        <v>0.79651660905395905</v>
      </c>
      <c r="J146" s="33">
        <v>4.2268075916358401E-2</v>
      </c>
      <c r="K146" s="33">
        <v>0.65339579968643502</v>
      </c>
      <c r="L146" s="32">
        <v>738.17072008482501</v>
      </c>
      <c r="M146" s="32">
        <v>335.14519561162302</v>
      </c>
      <c r="N146" s="32">
        <v>1080.4594818093101</v>
      </c>
      <c r="O146" s="32">
        <v>1.12532068543452E-4</v>
      </c>
      <c r="P146" s="35">
        <v>9.8400370785263003E-4</v>
      </c>
      <c r="Q146" s="35">
        <v>3.4329272572486801E-5</v>
      </c>
      <c r="R146" s="35">
        <v>4.0806591339256702E-2</v>
      </c>
      <c r="S146" s="34">
        <v>4.0806591339256702E-2</v>
      </c>
      <c r="T146" s="34">
        <v>5.9087620365600897E-2</v>
      </c>
      <c r="U146" s="32">
        <v>2612.2600000000002</v>
      </c>
      <c r="V146" s="32">
        <v>1989.3777260142499</v>
      </c>
      <c r="W146" s="32">
        <v>1661.2405980431099</v>
      </c>
      <c r="X146" s="32">
        <v>4176</v>
      </c>
      <c r="Y146" s="36">
        <v>1.0306111961548401</v>
      </c>
      <c r="Z146" s="32">
        <v>136861.03231316101</v>
      </c>
    </row>
    <row r="147" spans="2:26" x14ac:dyDescent="0.2">
      <c r="B147" s="11">
        <v>400</v>
      </c>
      <c r="C147" s="11">
        <v>80</v>
      </c>
      <c r="D147" s="32" cm="1">
        <f t="array" ref="D147:Z147">[1]!decode_json([1]!json_PVT_calc(B147,C147,PVT_str_),1,,1)</f>
        <v>120</v>
      </c>
      <c r="E147" s="32">
        <v>163.11447462595501</v>
      </c>
      <c r="F147" s="33">
        <v>1.3425534286572001</v>
      </c>
      <c r="G147" s="33">
        <v>3.2198839584322201E-3</v>
      </c>
      <c r="H147" s="33">
        <v>1.0169854409467001</v>
      </c>
      <c r="I147" s="33">
        <v>0.80901194117515196</v>
      </c>
      <c r="J147" s="33">
        <v>4.3606453351793903E-2</v>
      </c>
      <c r="K147" s="33">
        <v>0.664427902197401</v>
      </c>
      <c r="L147" s="32">
        <v>738.84850973277503</v>
      </c>
      <c r="M147" s="32">
        <v>341.48125031666302</v>
      </c>
      <c r="N147" s="32">
        <v>1081.6280702858701</v>
      </c>
      <c r="O147" s="32">
        <v>1.0690546511627899E-4</v>
      </c>
      <c r="P147" s="35">
        <v>8.9111441181083004E-4</v>
      </c>
      <c r="Q147" s="35">
        <v>3.41621262906035E-5</v>
      </c>
      <c r="R147" s="35">
        <v>3.9771101315747501E-2</v>
      </c>
      <c r="S147" s="34">
        <v>3.9771101315747501E-2</v>
      </c>
      <c r="T147" s="34">
        <v>5.8812548647048601E-2</v>
      </c>
      <c r="U147" s="32">
        <v>2612.2600000000002</v>
      </c>
      <c r="V147" s="32">
        <v>2055.22692530411</v>
      </c>
      <c r="W147" s="32">
        <v>1716.22832700905</v>
      </c>
      <c r="X147" s="32">
        <v>4176</v>
      </c>
      <c r="Y147" s="36">
        <v>1.06472483941048</v>
      </c>
      <c r="Z147" s="32">
        <v>136861.03231316101</v>
      </c>
    </row>
    <row r="148" spans="2:26" x14ac:dyDescent="0.2">
      <c r="B148" s="11">
        <v>420</v>
      </c>
      <c r="C148" s="11">
        <v>80</v>
      </c>
      <c r="D148" s="32" cm="1">
        <f t="array" ref="D148:Z148">[1]!decode_json([1]!json_PVT_calc(B148,C148,PVT_str_),1,,1)</f>
        <v>120</v>
      </c>
      <c r="E148" s="32">
        <v>163.11447462595501</v>
      </c>
      <c r="F148" s="33">
        <v>1.34143907153891</v>
      </c>
      <c r="G148" s="33">
        <v>3.1656047937475098E-3</v>
      </c>
      <c r="H148" s="33">
        <v>1.0158399909901299</v>
      </c>
      <c r="I148" s="33">
        <v>0.82150727329634499</v>
      </c>
      <c r="J148" s="33">
        <v>4.4887308467026897E-2</v>
      </c>
      <c r="K148" s="33">
        <v>0.67572540545831505</v>
      </c>
      <c r="L148" s="32">
        <v>739.462284233329</v>
      </c>
      <c r="M148" s="32">
        <v>347.33647174521502</v>
      </c>
      <c r="N148" s="32">
        <v>1082.8477021541901</v>
      </c>
      <c r="O148" s="32">
        <v>1.01814728682171E-4</v>
      </c>
      <c r="P148" s="35">
        <v>8.1088268028920699E-4</v>
      </c>
      <c r="Q148" s="35">
        <v>3.3996599764072998E-5</v>
      </c>
      <c r="R148" s="35">
        <v>3.8761887429342598E-2</v>
      </c>
      <c r="S148" s="34">
        <v>3.8761887429342598E-2</v>
      </c>
      <c r="T148" s="34">
        <v>5.8538757475079098E-2</v>
      </c>
      <c r="U148" s="32">
        <v>2612.2600000000002</v>
      </c>
      <c r="V148" s="32">
        <v>2121.6100038142199</v>
      </c>
      <c r="W148" s="32">
        <v>1771.66187469686</v>
      </c>
      <c r="X148" s="32">
        <v>4176</v>
      </c>
      <c r="Y148" s="36">
        <v>1.09911506257077</v>
      </c>
      <c r="Z148" s="32">
        <v>136861.03231316101</v>
      </c>
    </row>
    <row r="149" spans="2:26" x14ac:dyDescent="0.2">
      <c r="B149" s="11">
        <v>440</v>
      </c>
      <c r="C149" s="11">
        <v>80</v>
      </c>
      <c r="D149" s="32" cm="1">
        <f t="array" ref="D149:Z149">[1]!decode_json([1]!json_PVT_calc(B149,C149,PVT_str_),1,,1)</f>
        <v>120</v>
      </c>
      <c r="E149" s="32">
        <v>163.11447462595501</v>
      </c>
      <c r="F149" s="33">
        <v>1.3404268222740101</v>
      </c>
      <c r="G149" s="33">
        <v>3.1168952511056499E-3</v>
      </c>
      <c r="H149" s="33">
        <v>1.0146490281751701</v>
      </c>
      <c r="I149" s="33">
        <v>0.83400260541753801</v>
      </c>
      <c r="J149" s="33">
        <v>4.6113865949030899E-2</v>
      </c>
      <c r="K149" s="33">
        <v>0.68728830946917696</v>
      </c>
      <c r="L149" s="32">
        <v>740.02070349292796</v>
      </c>
      <c r="M149" s="32">
        <v>352.76450166554798</v>
      </c>
      <c r="N149" s="32">
        <v>1084.1187144074199</v>
      </c>
      <c r="O149" s="32">
        <v>9.7186786469344606E-5</v>
      </c>
      <c r="P149" s="35">
        <v>7.4140176232851405E-4</v>
      </c>
      <c r="Q149" s="35">
        <v>3.3832669561714799E-5</v>
      </c>
      <c r="R149" s="35">
        <v>3.7778282908402003E-2</v>
      </c>
      <c r="S149" s="34">
        <v>3.7778282908402003E-2</v>
      </c>
      <c r="T149" s="34">
        <v>5.8266240888339697E-2</v>
      </c>
      <c r="U149" s="32">
        <v>2612.2600000000002</v>
      </c>
      <c r="V149" s="32">
        <v>2188.4390365416598</v>
      </c>
      <c r="W149" s="32">
        <v>1827.46781885871</v>
      </c>
      <c r="X149" s="32">
        <v>4176</v>
      </c>
      <c r="Y149" s="36">
        <v>1.13373631546631</v>
      </c>
      <c r="Z149" s="32">
        <v>136861.03231316101</v>
      </c>
    </row>
    <row r="150" spans="2:26" x14ac:dyDescent="0.2">
      <c r="B150" s="11">
        <v>460</v>
      </c>
      <c r="C150" s="11">
        <v>80</v>
      </c>
      <c r="D150" s="32" cm="1">
        <f t="array" ref="D150:Z150">[1]!decode_json([1]!json_PVT_calc(B150,C150,PVT_str_),1,,1)</f>
        <v>120</v>
      </c>
      <c r="E150" s="32">
        <v>163.11447462595501</v>
      </c>
      <c r="F150" s="33">
        <v>1.3395032617979099</v>
      </c>
      <c r="G150" s="33">
        <v>3.0729116310616198E-3</v>
      </c>
      <c r="H150" s="33">
        <v>1.0134125525018001</v>
      </c>
      <c r="I150" s="33">
        <v>0.84649793753873004</v>
      </c>
      <c r="J150" s="33">
        <v>4.7289778277559397E-2</v>
      </c>
      <c r="K150" s="33">
        <v>0.69911661422998705</v>
      </c>
      <c r="L150" s="32">
        <v>740.53093283893395</v>
      </c>
      <c r="M150" s="32">
        <v>357.81373889366898</v>
      </c>
      <c r="N150" s="32">
        <v>1085.4414594376599</v>
      </c>
      <c r="O150" s="32">
        <v>9.2961274014155705E-5</v>
      </c>
      <c r="P150" s="35">
        <v>6.8118786493963303E-4</v>
      </c>
      <c r="Q150" s="35">
        <v>3.3670312702116297E-5</v>
      </c>
      <c r="R150" s="35">
        <v>3.6819637900988099E-2</v>
      </c>
      <c r="S150" s="34">
        <v>3.6819637900988099E-2</v>
      </c>
      <c r="T150" s="34">
        <v>5.7994992953229699E-2</v>
      </c>
      <c r="U150" s="32">
        <v>2612.2600000000002</v>
      </c>
      <c r="V150" s="32">
        <v>2255.62797463671</v>
      </c>
      <c r="W150" s="32">
        <v>1883.57430393861</v>
      </c>
      <c r="X150" s="32">
        <v>4176</v>
      </c>
      <c r="Y150" s="36">
        <v>1.16854401988213</v>
      </c>
      <c r="Z150" s="32">
        <v>136861.03231316101</v>
      </c>
    </row>
  </sheetData>
  <dataConsolidate link="1"/>
  <mergeCells count="11">
    <mergeCell ref="B106:C106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2020-04-13T13:26:12Z</dcterms:created>
  <dcterms:modified xsi:type="dcterms:W3CDTF">2023-02-16T18:19:55Z</dcterms:modified>
</cp:coreProperties>
</file>