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D09ADD00-FF27-41C1-A498-BF1BB5C577F4}" xr6:coauthVersionLast="45" xr6:coauthVersionMax="45" xr10:uidLastSave="{00000000-0000-0000-0000-000000000000}"/>
  <bookViews>
    <workbookView xWindow="5310" yWindow="615" windowWidth="28800" windowHeight="15435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my_res_1">exercise_MF1!$C$41:$K$63</definedName>
    <definedName name="my_res_2">exercise_MF1!$K$29:$O$30</definedName>
    <definedName name="n_" localSheetId="0">exercise_MF1!$A$66</definedName>
    <definedName name="new">exercise_MF1!$Q$21:$R$22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3" i="120" l="1"/>
  <c r="H33" i="120"/>
  <c r="G1" i="120"/>
  <c r="C37" i="120"/>
  <c r="E17" i="120" l="1"/>
  <c r="AG16" i="120"/>
  <c r="E16" i="120"/>
  <c r="AG15" i="120"/>
  <c r="E15" i="120"/>
  <c r="AG14" i="120"/>
  <c r="E14" i="120"/>
  <c r="AG13" i="120"/>
  <c r="E13" i="120"/>
  <c r="AG12" i="120"/>
  <c r="E12" i="120"/>
  <c r="E11" i="120"/>
</calcChain>
</file>

<file path=xl/sharedStrings.xml><?xml version="1.0" encoding="utf-8"?>
<sst xmlns="http://schemas.openxmlformats.org/spreadsheetml/2006/main" count="201" uniqueCount="181">
  <si>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</si>
  <si>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</si>
  <si>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</si>
  <si>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</si>
  <si>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</si>
  <si>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</si>
  <si>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</si>
  <si>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</si>
  <si>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</si>
  <si>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</si>
  <si>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</si>
  <si>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</si>
  <si>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</si>
  <si>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</si>
  <si>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</si>
  <si>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</si>
  <si>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</si>
  <si>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</si>
  <si>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</si>
  <si>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</si>
  <si>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</si>
  <si>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</si>
  <si>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</si>
  <si>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</si>
  <si>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</si>
  <si>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</si>
  <si>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</si>
  <si>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</si>
  <si>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</si>
  <si>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</si>
  <si>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</si>
  <si>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</si>
  <si>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</si>
  <si>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</si>
  <si>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</si>
  <si>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</si>
  <si>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</si>
  <si>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</si>
  <si>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</si>
  <si>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</si>
  <si>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</si>
  <si>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</si>
  <si>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</si>
  <si>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</si>
  <si>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</si>
  <si>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</si>
  <si>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</si>
  <si>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</si>
  <si>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</si>
  <si>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</si>
  <si>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</si>
  <si>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</si>
  <si>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</si>
  <si>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</si>
  <si>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</si>
  <si>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</si>
  <si>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</si>
  <si>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</si>
  <si>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</si>
  <si>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</si>
  <si>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</si>
  <si>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</si>
  <si>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</si>
  <si>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</si>
  <si>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</si>
  <si>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</si>
  <si>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</si>
  <si>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</si>
  <si>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Параметры расчета</t>
  </si>
  <si>
    <t>Расчет вдоль координат</t>
  </si>
  <si>
    <t>Поток вдоль координат</t>
  </si>
  <si>
    <t>Параметр расчета</t>
  </si>
  <si>
    <t>Bob_</t>
  </si>
  <si>
    <t>=exercise_MF1!$C$18</t>
  </si>
  <si>
    <t>calc_along_coord_</t>
  </si>
  <si>
    <t>=exercise_MF1!$H$31</t>
  </si>
  <si>
    <t>calc_flow_direction_</t>
  </si>
  <si>
    <t>=exercise_MF1!$H$33</t>
  </si>
  <si>
    <t>calc_flow_direction2_</t>
  </si>
  <si>
    <t>=exercise_MF1!$I$33</t>
  </si>
  <si>
    <t>calibr_fric_</t>
  </si>
  <si>
    <t>=exercise_MF1!$H$28</t>
  </si>
  <si>
    <t>calibr_grav_</t>
  </si>
  <si>
    <t>=exercise_MF1!$H$27</t>
  </si>
  <si>
    <t>calibr_type_</t>
  </si>
  <si>
    <t>=exercise_MF1!$H$23</t>
  </si>
  <si>
    <t>flow_along_coord_</t>
  </si>
  <si>
    <t>=exercise_MF1!$H$32</t>
  </si>
  <si>
    <t>fw_</t>
  </si>
  <si>
    <t>=exercise_MF1!$C$27</t>
  </si>
  <si>
    <t>gamma_gas_</t>
  </si>
  <si>
    <t>=exercise_MF1!$C$13</t>
  </si>
  <si>
    <t>gamma_oil_</t>
  </si>
  <si>
    <t>=exercise_MF1!$C$11</t>
  </si>
  <si>
    <t>gamma_wat_</t>
  </si>
  <si>
    <t>=exercise_MF1!$C$12</t>
  </si>
  <si>
    <t>gas_only_</t>
  </si>
  <si>
    <t>=exercise_MF1!$H$24</t>
  </si>
  <si>
    <t>Hydr_corr_</t>
  </si>
  <si>
    <t>=exercise_MF1!$H$22</t>
  </si>
  <si>
    <t>id_</t>
  </si>
  <si>
    <t>=exercise_MF1!$C$30</t>
  </si>
  <si>
    <t>input_0</t>
  </si>
  <si>
    <t>=exercise_MF1!$C$11:$C$35</t>
  </si>
  <si>
    <t>input_1</t>
  </si>
  <si>
    <t>=exercise_MF1!$H$26:$H$29</t>
  </si>
  <si>
    <t>=exercise_MF1!$I$3</t>
  </si>
  <si>
    <t>=exercise_MF1!$I$1</t>
  </si>
  <si>
    <t>=exercise_MF1!$I$4</t>
  </si>
  <si>
    <t>=exercise_MF1!$I$6</t>
  </si>
  <si>
    <t>=exercise_MF1!$I$5</t>
  </si>
  <si>
    <t>=exercise_MF1!$I$2</t>
  </si>
  <si>
    <t>Ksep_</t>
  </si>
  <si>
    <t>=exercise_MF1!$C$21</t>
  </si>
  <si>
    <t>L_</t>
  </si>
  <si>
    <t>=exercise_MF1!$C$29</t>
  </si>
  <si>
    <t>muob_</t>
  </si>
  <si>
    <t>=exercise_MF1!$C$19</t>
  </si>
  <si>
    <t>my_res_0</t>
  </si>
  <si>
    <t>=exercise_MF1!$C$41</t>
  </si>
  <si>
    <t>n_</t>
  </si>
  <si>
    <t>=exercise_MF1!$A$66</t>
  </si>
  <si>
    <t>output_0</t>
  </si>
  <si>
    <t>=exercise_MF1!$C$40:$K$63</t>
  </si>
  <si>
    <t>output_1</t>
  </si>
  <si>
    <t>=exercise_MF1!$M$40:$U$63</t>
  </si>
  <si>
    <t>p0_</t>
  </si>
  <si>
    <t>=exercise_MF1!$C$32</t>
  </si>
  <si>
    <t>p1_</t>
  </si>
  <si>
    <t>=exercise_MF1!$C$33</t>
  </si>
  <si>
    <t>Pb_</t>
  </si>
  <si>
    <t>=exercise_MF1!$C$16</t>
  </si>
  <si>
    <t>Psep_</t>
  </si>
  <si>
    <t>=exercise_MF1!$C$22</t>
  </si>
  <si>
    <t>PVRstr1_</t>
  </si>
  <si>
    <t>=exercise_MF1!$C$37</t>
  </si>
  <si>
    <t>PVT_corr_</t>
  </si>
  <si>
    <t>=exercise_MF1!$H$21</t>
  </si>
  <si>
    <t>Q_</t>
  </si>
  <si>
    <t>=exercise_MF1!$C$25</t>
  </si>
  <si>
    <t>Q_gas_free_</t>
  </si>
  <si>
    <t>=exercise_MF1!$C$26</t>
  </si>
  <si>
    <t>Rp_</t>
  </si>
  <si>
    <t>=exercise_MF1!$C$15</t>
  </si>
  <si>
    <t>Rsb_</t>
  </si>
  <si>
    <t>=exercise_MF1!$C$14</t>
  </si>
  <si>
    <t>t0_</t>
  </si>
  <si>
    <t>=exercise_MF1!$C$34</t>
  </si>
  <si>
    <t>t1_</t>
  </si>
  <si>
    <t>=exercise_MF1!$C$35</t>
  </si>
  <si>
    <t>theta_</t>
  </si>
  <si>
    <t>=exercise_MF1!$C$31</t>
  </si>
  <si>
    <t>Tres_</t>
  </si>
  <si>
    <t>=exercise_MF1!$C$17</t>
  </si>
  <si>
    <t>Tsep</t>
  </si>
  <si>
    <t>=exercise_MF1!$C$23</t>
  </si>
  <si>
    <t>p_result_atma</t>
  </si>
  <si>
    <t>t_result_C</t>
  </si>
  <si>
    <t>p_1, atma</t>
  </si>
  <si>
    <t>t_1, C</t>
  </si>
  <si>
    <t>p_2, atma</t>
  </si>
  <si>
    <t>t_2, C</t>
  </si>
  <si>
    <t>c_calibr_grav</t>
  </si>
  <si>
    <t>c_calibr_fric</t>
  </si>
  <si>
    <t>q_gas_sm3day</t>
  </si>
  <si>
    <t>num</t>
  </si>
  <si>
    <t>h,m</t>
  </si>
  <si>
    <t>hvert,m</t>
  </si>
  <si>
    <t>p,atma</t>
  </si>
  <si>
    <t>t,C</t>
  </si>
  <si>
    <t>Hl</t>
  </si>
  <si>
    <t>fpat</t>
  </si>
  <si>
    <t>t_amb, C</t>
  </si>
  <si>
    <t>diam, m</t>
  </si>
  <si>
    <t>calibr_grav</t>
  </si>
  <si>
    <t>cal_type</t>
  </si>
  <si>
    <t>y_solution</t>
  </si>
  <si>
    <t>iterations</t>
  </si>
  <si>
    <t>description</t>
  </si>
  <si>
    <t>solve_equation_bisection: done by  15 iterations, tolerance 0,001</t>
  </si>
  <si>
    <t>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</si>
</sst>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"/>
    <numFmt numFmtId="167" formatCode="0.00000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  <font>
      <sz val="10"/>
      <color rgb="FF00000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5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6" borderId="0" xfId="0" applyNumberFormat="1" applyFill="1" applyBorder="1" applyAlignment="1">
      <alignment horizontal="center"/>
    </xf>
    <xf numFmtId="166" fontId="0" fillId="6" borderId="8" xfId="0" applyNumberFormat="1" applyFill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2" fontId="19" fillId="6" borderId="14" xfId="0" applyNumberFormat="1" applyFont="1" applyFill="1" applyBorder="1" applyAlignment="1">
      <alignment horizontal="center"/>
    </xf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47.270135537909752</c:v>
                </c:pt>
                <c:pt idx="3">
                  <c:v>51.136392164807788</c:v>
                </c:pt>
                <c:pt idx="4">
                  <c:v>55.155389438731106</c:v>
                </c:pt>
                <c:pt idx="5">
                  <c:v>59.340765751056182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106.51912720722972</c:v>
                </c:pt>
                <c:pt idx="15">
                  <c:v>112.61036201460817</c:v>
                </c:pt>
                <c:pt idx="16">
                  <c:v>118.70360252355756</c:v>
                </c:pt>
                <c:pt idx="17">
                  <c:v>124.79643180607381</c:v>
                </c:pt>
                <c:pt idx="18">
                  <c:v>130.88783618552898</c:v>
                </c:pt>
                <c:pt idx="19">
                  <c:v>136.97751815002223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47.270135537909752</c:v>
                </c:pt>
                <c:pt idx="3">
                  <c:v>51.136392164807788</c:v>
                </c:pt>
                <c:pt idx="4">
                  <c:v>55.155389438731106</c:v>
                </c:pt>
                <c:pt idx="5">
                  <c:v>59.340765751056182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106.51912720722972</c:v>
                </c:pt>
                <c:pt idx="15">
                  <c:v>112.61036201460817</c:v>
                </c:pt>
                <c:pt idx="16">
                  <c:v>118.70360252355756</c:v>
                </c:pt>
                <c:pt idx="17">
                  <c:v>124.79643180607381</c:v>
                </c:pt>
                <c:pt idx="18">
                  <c:v>130.88783618552898</c:v>
                </c:pt>
                <c:pt idx="19">
                  <c:v>136.97751815002223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0.51747357414551021</c:v>
                </c:pt>
                <c:pt idx="1">
                  <c:v>0.54406127730415188</c:v>
                </c:pt>
                <c:pt idx="2">
                  <c:v>0.5708335761108837</c:v>
                </c:pt>
                <c:pt idx="3">
                  <c:v>0.59768977555884473</c:v>
                </c:pt>
                <c:pt idx="4">
                  <c:v>0.62527708314661445</c:v>
                </c:pt>
                <c:pt idx="5">
                  <c:v>0.65571213780326598</c:v>
                </c:pt>
                <c:pt idx="6">
                  <c:v>0.69433322123435115</c:v>
                </c:pt>
                <c:pt idx="7">
                  <c:v>0.73365882759480172</c:v>
                </c:pt>
                <c:pt idx="8">
                  <c:v>0.772924839379734</c:v>
                </c:pt>
                <c:pt idx="9">
                  <c:v>0.81197000364374705</c:v>
                </c:pt>
                <c:pt idx="10">
                  <c:v>0.85074476325121917</c:v>
                </c:pt>
                <c:pt idx="11">
                  <c:v>0.88867158861921558</c:v>
                </c:pt>
                <c:pt idx="12">
                  <c:v>0.92527934404796452</c:v>
                </c:pt>
                <c:pt idx="13">
                  <c:v>0.96050552713278481</c:v>
                </c:pt>
                <c:pt idx="14">
                  <c:v>0.99268966253987323</c:v>
                </c:pt>
                <c:pt idx="15">
                  <c:v>0.99878161042331215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47.270135537909752</c:v>
                </c:pt>
                <c:pt idx="3">
                  <c:v>51.136392164807788</c:v>
                </c:pt>
                <c:pt idx="4">
                  <c:v>55.155389438731106</c:v>
                </c:pt>
                <c:pt idx="5">
                  <c:v>59.340765751056182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106.51912720722972</c:v>
                </c:pt>
                <c:pt idx="15">
                  <c:v>112.61036201460817</c:v>
                </c:pt>
                <c:pt idx="16">
                  <c:v>118.70360252355756</c:v>
                </c:pt>
                <c:pt idx="17">
                  <c:v>124.79643180607381</c:v>
                </c:pt>
                <c:pt idx="18">
                  <c:v>130.88783618552898</c:v>
                </c:pt>
                <c:pt idx="19">
                  <c:v>136.97751815002223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ustomXml" Target="../ink/ink1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487005</xdr:colOff>
      <xdr:row>0</xdr:row>
      <xdr:rowOff>19050</xdr:rowOff>
    </xdr:from>
    <xdr:to>
      <xdr:col>13</xdr:col>
      <xdr:colOff>504825</xdr:colOff>
      <xdr:row>14</xdr:row>
      <xdr:rowOff>228601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401780" y="19050"/>
          <a:ext cx="4513620" cy="28860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GrpSpPr/>
      </xdr:nvGrpSpPr>
      <xdr:grpSpPr>
        <a:xfrm>
          <a:off x="17360713" y="1137683"/>
          <a:ext cx="3397623" cy="4623463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870848" y="3631223"/>
            <a:ext cx="1122881" cy="2520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50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 rot="16665650">
            <a:off x="14682138" y="3573176"/>
            <a:ext cx="821604" cy="2413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1500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00000000-0008-0000-0000-0000E5000000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40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150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19</xdr:row>
          <xdr:rowOff>66675</xdr:rowOff>
        </xdr:from>
        <xdr:to>
          <xdr:col>13</xdr:col>
          <xdr:colOff>419100</xdr:colOff>
          <xdr:row>22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run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PVT_encode_string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O66"/>
  <sheetViews>
    <sheetView tabSelected="1" zoomScale="85" zoomScaleNormal="85" workbookViewId="0">
      <selection activeCell="O65" sqref="O65"/>
    </sheetView>
  </sheetViews>
  <sheetFormatPr defaultRowHeight="12.75" x14ac:dyDescent="0.2"/>
  <cols>
    <col min="2" max="2" width="11.85546875" customWidth="1"/>
    <col min="3" max="3" width="14" customWidth="1"/>
    <col min="4" max="11" width="10.57031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41" x14ac:dyDescent="0.2">
      <c r="A1" s="1" t="s">
        <v>10</v>
      </c>
      <c r="F1" t="s">
        <v>11</v>
      </c>
      <c r="G1" t="str">
        <f>[1]!unf_Version()</f>
        <v>7.25</v>
      </c>
      <c r="H1" t="s">
        <v>42</v>
      </c>
      <c r="I1" s="24">
        <v>44027</v>
      </c>
      <c r="J1" s="25"/>
      <c r="K1" s="25"/>
      <c r="L1" s="25"/>
    </row>
    <row r="2" spans="1:41" x14ac:dyDescent="0.2">
      <c r="A2" t="s">
        <v>56</v>
      </c>
      <c r="H2" t="s">
        <v>43</v>
      </c>
      <c r="I2" s="26">
        <v>7.25</v>
      </c>
      <c r="J2" s="25"/>
      <c r="K2" s="25"/>
      <c r="L2" s="25"/>
    </row>
    <row r="3" spans="1:41" ht="15" x14ac:dyDescent="0.25">
      <c r="A3" s="27" t="s">
        <v>44</v>
      </c>
      <c r="B3" s="66" t="s">
        <v>45</v>
      </c>
      <c r="C3" s="67"/>
      <c r="D3" s="67"/>
      <c r="E3" s="68"/>
      <c r="H3" t="s">
        <v>46</v>
      </c>
      <c r="I3" s="25" t="s">
        <v>45</v>
      </c>
      <c r="J3" s="25"/>
      <c r="K3" s="25"/>
      <c r="L3" s="25"/>
    </row>
    <row r="4" spans="1:41" ht="15" x14ac:dyDescent="0.25">
      <c r="A4" s="27" t="s">
        <v>47</v>
      </c>
      <c r="B4" s="66" t="s">
        <v>48</v>
      </c>
      <c r="C4" s="67"/>
      <c r="D4" s="67"/>
      <c r="E4" s="68"/>
      <c r="H4" t="s">
        <v>49</v>
      </c>
      <c r="I4" s="25" t="s">
        <v>48</v>
      </c>
      <c r="J4" s="25"/>
      <c r="K4" s="25"/>
      <c r="L4" s="25"/>
    </row>
    <row r="5" spans="1:41" ht="15" x14ac:dyDescent="0.25">
      <c r="A5" s="27" t="s">
        <v>50</v>
      </c>
      <c r="B5" s="66" t="s">
        <v>51</v>
      </c>
      <c r="C5" s="67"/>
      <c r="D5" s="67"/>
      <c r="E5" s="68"/>
      <c r="H5" t="s">
        <v>52</v>
      </c>
      <c r="I5" s="25" t="s">
        <v>51</v>
      </c>
      <c r="J5" s="25"/>
      <c r="K5" s="25"/>
      <c r="L5" s="25"/>
    </row>
    <row r="6" spans="1:41" x14ac:dyDescent="0.2">
      <c r="A6" s="28" t="s">
        <v>53</v>
      </c>
      <c r="B6" s="69" t="s">
        <v>54</v>
      </c>
      <c r="C6" s="70"/>
      <c r="D6" s="70"/>
      <c r="E6" s="71"/>
      <c r="H6" s="29" t="s">
        <v>55</v>
      </c>
      <c r="I6" s="30" t="s">
        <v>54</v>
      </c>
      <c r="J6" s="30"/>
      <c r="K6" s="30"/>
      <c r="L6" s="30"/>
    </row>
    <row r="7" spans="1:41" x14ac:dyDescent="0.2">
      <c r="A7" s="31"/>
      <c r="B7" s="72"/>
      <c r="C7" s="73"/>
      <c r="D7" s="73"/>
      <c r="E7" s="74"/>
      <c r="H7" s="29"/>
      <c r="I7" s="30"/>
      <c r="J7" s="30"/>
      <c r="K7" s="30"/>
      <c r="L7" s="30"/>
    </row>
    <row r="8" spans="1:41" x14ac:dyDescent="0.2">
      <c r="A8" s="32"/>
      <c r="B8" s="75"/>
      <c r="C8" s="76"/>
      <c r="D8" s="76"/>
      <c r="E8" s="77"/>
      <c r="H8" s="29"/>
      <c r="I8" s="30"/>
      <c r="J8" s="30"/>
      <c r="K8" s="30"/>
      <c r="L8" s="30"/>
    </row>
    <row r="9" spans="1:41" ht="14.25" customHeight="1" x14ac:dyDescent="0.2">
      <c r="AE9" s="17"/>
    </row>
    <row r="10" spans="1:41" x14ac:dyDescent="0.2">
      <c r="A10" s="1" t="s">
        <v>1</v>
      </c>
    </row>
    <row r="11" spans="1:41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  <c r="AN11" t="s">
        <v>72</v>
      </c>
      <c r="AO11" t="s">
        <v>73</v>
      </c>
    </row>
    <row r="12" spans="1:41" ht="18.75" x14ac:dyDescent="0.35">
      <c r="B12" s="7" t="s">
        <v>14</v>
      </c>
      <c r="C12" s="2">
        <v>1.08</v>
      </c>
      <c r="D12" s="4"/>
      <c r="E12" s="5">
        <f>gamma_wat_*1000</f>
        <v>1080</v>
      </c>
      <c r="F12" s="7" t="s">
        <v>24</v>
      </c>
      <c r="AG12" t="str">
        <f>"𝜃 = "&amp;theta_&amp; "°"</f>
        <v>𝜃 = 90°</v>
      </c>
      <c r="AN12" t="s">
        <v>74</v>
      </c>
      <c r="AO12" t="s">
        <v>75</v>
      </c>
    </row>
    <row r="13" spans="1:41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1500 м</v>
      </c>
      <c r="AN13" t="s">
        <v>76</v>
      </c>
      <c r="AO13" t="s">
        <v>77</v>
      </c>
    </row>
    <row r="14" spans="1:41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50 m3/day</v>
      </c>
      <c r="AN14" t="s">
        <v>78</v>
      </c>
      <c r="AO14" t="s">
        <v>79</v>
      </c>
    </row>
    <row r="15" spans="1:41" ht="18.75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40 atm,
 t1= 40°C</v>
      </c>
      <c r="AN15" t="s">
        <v>80</v>
      </c>
      <c r="AO15" t="s">
        <v>81</v>
      </c>
    </row>
    <row r="16" spans="1:41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150 atm,
 t1 = 80°C</v>
      </c>
      <c r="AN16" t="s">
        <v>82</v>
      </c>
      <c r="AO16" t="s">
        <v>83</v>
      </c>
    </row>
    <row r="17" spans="1:41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60"/>
      <c r="AN17" t="s">
        <v>84</v>
      </c>
      <c r="AO17" t="s">
        <v>85</v>
      </c>
    </row>
    <row r="18" spans="1:41" ht="18.75" x14ac:dyDescent="0.35">
      <c r="B18" s="10" t="s">
        <v>20</v>
      </c>
      <c r="C18" s="2">
        <v>1.2</v>
      </c>
      <c r="D18" s="7" t="s">
        <v>12</v>
      </c>
      <c r="H18" s="61"/>
      <c r="AN18" t="s">
        <v>86</v>
      </c>
      <c r="AO18" t="s">
        <v>87</v>
      </c>
    </row>
    <row r="19" spans="1:41" ht="18" x14ac:dyDescent="0.35">
      <c r="B19" s="11" t="s">
        <v>21</v>
      </c>
      <c r="C19" s="2">
        <v>1</v>
      </c>
      <c r="D19" s="4" t="s">
        <v>4</v>
      </c>
      <c r="W19" s="16"/>
      <c r="AN19" t="s">
        <v>88</v>
      </c>
      <c r="AO19" t="s">
        <v>89</v>
      </c>
    </row>
    <row r="20" spans="1:41" x14ac:dyDescent="0.2">
      <c r="A20" s="1" t="s">
        <v>62</v>
      </c>
      <c r="W20" s="16"/>
      <c r="AN20" t="s">
        <v>90</v>
      </c>
      <c r="AO20" t="s">
        <v>91</v>
      </c>
    </row>
    <row r="21" spans="1:41" ht="18" x14ac:dyDescent="0.35">
      <c r="B21" s="11" t="s">
        <v>64</v>
      </c>
      <c r="C21" s="2">
        <v>0</v>
      </c>
      <c r="D21" s="7"/>
      <c r="F21" s="63" t="s">
        <v>61</v>
      </c>
      <c r="G21" s="64"/>
      <c r="H21" s="2">
        <v>0</v>
      </c>
      <c r="W21" s="16"/>
      <c r="AN21" t="s">
        <v>92</v>
      </c>
      <c r="AO21" t="s">
        <v>93</v>
      </c>
    </row>
    <row r="22" spans="1:41" ht="18" x14ac:dyDescent="0.35">
      <c r="B22" s="11" t="s">
        <v>65</v>
      </c>
      <c r="C22" s="2">
        <v>50</v>
      </c>
      <c r="D22" s="4" t="s">
        <v>5</v>
      </c>
      <c r="F22" s="63" t="s">
        <v>57</v>
      </c>
      <c r="G22" s="64"/>
      <c r="H22" s="2">
        <v>1</v>
      </c>
      <c r="W22" s="16"/>
      <c r="AN22" t="s">
        <v>94</v>
      </c>
      <c r="AO22" t="s">
        <v>95</v>
      </c>
    </row>
    <row r="23" spans="1:41" ht="18" x14ac:dyDescent="0.35">
      <c r="B23" s="11" t="s">
        <v>66</v>
      </c>
      <c r="C23" s="2">
        <v>30</v>
      </c>
      <c r="D23" s="4" t="s">
        <v>2</v>
      </c>
      <c r="F23" s="63" t="s">
        <v>60</v>
      </c>
      <c r="G23" s="64"/>
      <c r="H23" s="2">
        <v>0</v>
      </c>
      <c r="W23" s="16"/>
      <c r="AN23" t="s">
        <v>96</v>
      </c>
      <c r="AO23" t="s">
        <v>97</v>
      </c>
    </row>
    <row r="24" spans="1:41" ht="15" x14ac:dyDescent="0.25">
      <c r="A24" s="1" t="s">
        <v>8</v>
      </c>
      <c r="F24" s="63" t="s">
        <v>63</v>
      </c>
      <c r="G24" s="64"/>
      <c r="H24" s="2">
        <v>0</v>
      </c>
      <c r="AN24" t="s">
        <v>98</v>
      </c>
      <c r="AO24" t="s">
        <v>99</v>
      </c>
    </row>
    <row r="25" spans="1:41" ht="15.75" x14ac:dyDescent="0.3">
      <c r="B25" s="11" t="s">
        <v>22</v>
      </c>
      <c r="C25" s="2">
        <v>50</v>
      </c>
      <c r="D25" s="7" t="s">
        <v>23</v>
      </c>
      <c r="AN25" t="s">
        <v>100</v>
      </c>
      <c r="AO25" t="s">
        <v>101</v>
      </c>
    </row>
    <row r="26" spans="1:41" ht="18" x14ac:dyDescent="0.35">
      <c r="B26" s="11" t="s">
        <v>38</v>
      </c>
      <c r="C26" s="2">
        <v>100</v>
      </c>
      <c r="D26" s="7" t="s">
        <v>39</v>
      </c>
      <c r="F26" s="65" t="s">
        <v>41</v>
      </c>
      <c r="G26" s="65"/>
      <c r="AN26" t="s">
        <v>102</v>
      </c>
      <c r="AO26" t="s">
        <v>103</v>
      </c>
    </row>
    <row r="27" spans="1:41" ht="15.75" x14ac:dyDescent="0.3">
      <c r="B27" s="11" t="s">
        <v>26</v>
      </c>
      <c r="C27" s="2">
        <v>0</v>
      </c>
      <c r="D27" s="4" t="s">
        <v>3</v>
      </c>
      <c r="F27" s="63" t="s">
        <v>59</v>
      </c>
      <c r="G27" s="64"/>
      <c r="H27" s="2">
        <v>1</v>
      </c>
      <c r="I27" s="2">
        <v>1</v>
      </c>
      <c r="AN27" t="s">
        <v>104</v>
      </c>
      <c r="AO27" t="s">
        <v>105</v>
      </c>
    </row>
    <row r="28" spans="1:41" ht="15" customHeight="1" x14ac:dyDescent="0.25">
      <c r="A28" t="s">
        <v>27</v>
      </c>
      <c r="B28" s="3"/>
      <c r="F28" s="63" t="s">
        <v>58</v>
      </c>
      <c r="G28" s="64"/>
      <c r="H28" s="2">
        <v>1</v>
      </c>
      <c r="I28" s="2">
        <v>1</v>
      </c>
      <c r="AN28" t="s">
        <v>46</v>
      </c>
      <c r="AO28" t="s">
        <v>106</v>
      </c>
    </row>
    <row r="29" spans="1:41" ht="18" customHeight="1" x14ac:dyDescent="0.25">
      <c r="B29" s="11" t="s">
        <v>28</v>
      </c>
      <c r="C29" s="2">
        <v>1500</v>
      </c>
      <c r="D29" s="7" t="s">
        <v>30</v>
      </c>
      <c r="K29" s="18">
        <v>1.107513427734375</v>
      </c>
      <c r="L29" s="19" t="s">
        <v>174</v>
      </c>
      <c r="M29" s="19">
        <v>3.943327703268551E-4</v>
      </c>
      <c r="N29" s="19">
        <v>15</v>
      </c>
      <c r="O29" s="20" t="s">
        <v>179</v>
      </c>
      <c r="AN29" t="s">
        <v>42</v>
      </c>
      <c r="AO29" t="s">
        <v>107</v>
      </c>
    </row>
    <row r="30" spans="1:41" ht="15" customHeight="1" x14ac:dyDescent="0.25">
      <c r="B30" s="11" t="s">
        <v>0</v>
      </c>
      <c r="C30" s="2">
        <v>60</v>
      </c>
      <c r="D30" s="7" t="s">
        <v>31</v>
      </c>
      <c r="F30" t="s">
        <v>68</v>
      </c>
      <c r="K30" s="21" t="s">
        <v>180</v>
      </c>
      <c r="L30" s="22" t="s">
        <v>175</v>
      </c>
      <c r="M30" s="22" t="s">
        <v>176</v>
      </c>
      <c r="N30" s="22" t="s">
        <v>177</v>
      </c>
      <c r="O30" s="23" t="s">
        <v>178</v>
      </c>
      <c r="AN30" t="s">
        <v>49</v>
      </c>
      <c r="AO30" t="s">
        <v>108</v>
      </c>
    </row>
    <row r="31" spans="1:41" ht="15" customHeight="1" x14ac:dyDescent="0.25">
      <c r="B31" s="11" t="s">
        <v>29</v>
      </c>
      <c r="C31" s="2">
        <v>90</v>
      </c>
      <c r="D31" s="7" t="s">
        <v>32</v>
      </c>
      <c r="F31" s="53"/>
      <c r="G31" s="52" t="s">
        <v>69</v>
      </c>
      <c r="H31" s="2">
        <v>0</v>
      </c>
      <c r="I31" s="2">
        <v>0</v>
      </c>
      <c r="AN31" t="s">
        <v>55</v>
      </c>
      <c r="AO31" t="s">
        <v>109</v>
      </c>
    </row>
    <row r="32" spans="1:41" ht="15" customHeight="1" x14ac:dyDescent="0.25">
      <c r="B32" s="11" t="s">
        <v>33</v>
      </c>
      <c r="C32" s="15">
        <v>40</v>
      </c>
      <c r="D32" s="7" t="s">
        <v>5</v>
      </c>
      <c r="F32" s="54"/>
      <c r="G32" s="52" t="s">
        <v>70</v>
      </c>
      <c r="H32" s="2">
        <v>0</v>
      </c>
      <c r="I32" s="2">
        <v>0</v>
      </c>
      <c r="AN32" t="s">
        <v>52</v>
      </c>
      <c r="AO32" t="s">
        <v>110</v>
      </c>
    </row>
    <row r="33" spans="1:41" ht="15" x14ac:dyDescent="0.25">
      <c r="B33" s="11" t="s">
        <v>34</v>
      </c>
      <c r="C33" s="15">
        <v>150</v>
      </c>
      <c r="D33" s="7" t="s">
        <v>5</v>
      </c>
      <c r="F33" s="49"/>
      <c r="G33" s="50" t="s">
        <v>71</v>
      </c>
      <c r="H33" s="51">
        <f>calc_along_coord_*10+flow_along_coord_</f>
        <v>0</v>
      </c>
      <c r="I33" s="51">
        <f>I31*10+I32</f>
        <v>0</v>
      </c>
      <c r="AN33" t="s">
        <v>43</v>
      </c>
      <c r="AO33" t="s">
        <v>111</v>
      </c>
    </row>
    <row r="34" spans="1:41" ht="15" x14ac:dyDescent="0.25">
      <c r="B34" s="11" t="s">
        <v>35</v>
      </c>
      <c r="C34" s="2">
        <v>40</v>
      </c>
      <c r="D34" s="7" t="s">
        <v>37</v>
      </c>
      <c r="AN34" t="s">
        <v>112</v>
      </c>
      <c r="AO34" t="s">
        <v>113</v>
      </c>
    </row>
    <row r="35" spans="1:41" ht="15" x14ac:dyDescent="0.25">
      <c r="B35" s="11" t="s">
        <v>36</v>
      </c>
      <c r="C35" s="2">
        <v>80</v>
      </c>
      <c r="D35" s="7" t="s">
        <v>37</v>
      </c>
      <c r="AN35" t="s">
        <v>114</v>
      </c>
      <c r="AO35" t="s">
        <v>115</v>
      </c>
    </row>
    <row r="36" spans="1:41" x14ac:dyDescent="0.2">
      <c r="AN36" t="s">
        <v>116</v>
      </c>
      <c r="AO36" t="s">
        <v>117</v>
      </c>
    </row>
    <row r="37" spans="1:41" x14ac:dyDescent="0.2">
      <c r="B37" s="12" t="s">
        <v>9</v>
      </c>
      <c r="C37" s="13" t="str">
        <f>[1]!PVT_encode_string(gamma_gas_,gamma_oil_,gamma_wat_,Rsb_,Rp_,Pb_,Tres_,Bob_,muob_,PVT_corr_,Ksep_,Psep_,Tsep,gas_only_)</f>
        <v>{"gamma_gas":0.8,"gamma_oil":0.86,"gamma_wat":1.08,"rsb_m3m3":80,"rp_m3m3":80,"pb_atma":120,"t_res_C":100,"bob_m3m3":1.2,"muob_cP":1,"PVTcorr":0,"ksep_fr":0,"p_ksep_atma":50,"t_ksep_C":30}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 t="s">
        <v>118</v>
      </c>
      <c r="AO37" t="s">
        <v>119</v>
      </c>
    </row>
    <row r="38" spans="1:41" ht="15" x14ac:dyDescent="0.25">
      <c r="B38" s="47"/>
      <c r="AN38" t="s">
        <v>120</v>
      </c>
      <c r="AO38" t="s">
        <v>121</v>
      </c>
    </row>
    <row r="39" spans="1:41" x14ac:dyDescent="0.2">
      <c r="AN39" t="s">
        <v>122</v>
      </c>
      <c r="AO39" t="s">
        <v>123</v>
      </c>
    </row>
    <row r="40" spans="1:41" ht="16.5" customHeight="1" x14ac:dyDescent="0.2">
      <c r="C40" s="33" t="s">
        <v>67</v>
      </c>
      <c r="AN40" t="s">
        <v>124</v>
      </c>
      <c r="AO40" t="s">
        <v>125</v>
      </c>
    </row>
    <row r="41" spans="1:41" x14ac:dyDescent="0.2">
      <c r="A41" s="14"/>
      <c r="C41" s="62">
        <v>136.97751815002223</v>
      </c>
      <c r="D41" s="42">
        <v>80</v>
      </c>
      <c r="E41" s="42">
        <v>40</v>
      </c>
      <c r="F41" s="42">
        <v>40</v>
      </c>
      <c r="G41" s="48">
        <v>136.97751815002223</v>
      </c>
      <c r="H41" s="42">
        <v>80</v>
      </c>
      <c r="I41" s="42">
        <v>1</v>
      </c>
      <c r="J41" s="42">
        <v>1</v>
      </c>
      <c r="K41" s="43">
        <v>4000</v>
      </c>
      <c r="AN41" t="s">
        <v>126</v>
      </c>
      <c r="AO41" t="s">
        <v>127</v>
      </c>
    </row>
    <row r="42" spans="1:41" x14ac:dyDescent="0.2">
      <c r="A42" s="14"/>
      <c r="C42" s="44" t="s">
        <v>156</v>
      </c>
      <c r="D42" s="45" t="s">
        <v>157</v>
      </c>
      <c r="E42" s="45" t="s">
        <v>158</v>
      </c>
      <c r="F42" s="45" t="s">
        <v>159</v>
      </c>
      <c r="G42" s="45" t="s">
        <v>160</v>
      </c>
      <c r="H42" s="45" t="s">
        <v>161</v>
      </c>
      <c r="I42" s="45" t="s">
        <v>162</v>
      </c>
      <c r="J42" s="45" t="s">
        <v>163</v>
      </c>
      <c r="K42" s="46" t="s">
        <v>164</v>
      </c>
      <c r="AN42" t="s">
        <v>128</v>
      </c>
      <c r="AO42" t="s">
        <v>129</v>
      </c>
    </row>
    <row r="43" spans="1:41" x14ac:dyDescent="0.2">
      <c r="A43" s="14"/>
      <c r="C43" s="34" t="s">
        <v>165</v>
      </c>
      <c r="D43" s="35" t="s">
        <v>166</v>
      </c>
      <c r="E43" s="35" t="s">
        <v>167</v>
      </c>
      <c r="F43" s="35" t="s">
        <v>168</v>
      </c>
      <c r="G43" s="35" t="s">
        <v>169</v>
      </c>
      <c r="H43" s="35" t="s">
        <v>170</v>
      </c>
      <c r="I43" s="35" t="s">
        <v>171</v>
      </c>
      <c r="J43" s="35" t="s">
        <v>172</v>
      </c>
      <c r="K43" s="36" t="s">
        <v>173</v>
      </c>
      <c r="AN43" t="s">
        <v>130</v>
      </c>
      <c r="AO43" t="s">
        <v>131</v>
      </c>
    </row>
    <row r="44" spans="1:41" x14ac:dyDescent="0.2">
      <c r="A44" s="14"/>
      <c r="C44" s="34">
        <v>1</v>
      </c>
      <c r="D44" s="37">
        <v>0</v>
      </c>
      <c r="E44" s="35">
        <v>0</v>
      </c>
      <c r="F44" s="58">
        <v>40</v>
      </c>
      <c r="G44" s="37">
        <v>40</v>
      </c>
      <c r="H44" s="55">
        <v>0.51747357414551021</v>
      </c>
      <c r="I44" s="35">
        <v>1</v>
      </c>
      <c r="J44" s="37">
        <v>40</v>
      </c>
      <c r="K44" s="36">
        <v>0.06</v>
      </c>
      <c r="L44" s="57"/>
      <c r="AN44" t="s">
        <v>132</v>
      </c>
      <c r="AO44" t="s">
        <v>133</v>
      </c>
    </row>
    <row r="45" spans="1:41" x14ac:dyDescent="0.2">
      <c r="A45" s="14"/>
      <c r="C45" s="34">
        <v>2</v>
      </c>
      <c r="D45" s="37">
        <v>78.94736842105263</v>
      </c>
      <c r="E45" s="37">
        <v>78.94736842105263</v>
      </c>
      <c r="F45" s="58">
        <v>43.557525754696421</v>
      </c>
      <c r="G45" s="37">
        <v>42.105263157894733</v>
      </c>
      <c r="H45" s="55">
        <v>0.54406127730415188</v>
      </c>
      <c r="I45" s="35">
        <v>1</v>
      </c>
      <c r="J45" s="37">
        <v>42.105263157894733</v>
      </c>
      <c r="K45" s="36">
        <v>0.06</v>
      </c>
      <c r="L45" s="57"/>
      <c r="AN45" t="s">
        <v>134</v>
      </c>
      <c r="AO45" t="s">
        <v>135</v>
      </c>
    </row>
    <row r="46" spans="1:41" x14ac:dyDescent="0.2">
      <c r="A46" s="14"/>
      <c r="C46" s="34">
        <v>3</v>
      </c>
      <c r="D46" s="37">
        <v>157.89473684210526</v>
      </c>
      <c r="E46" s="37">
        <v>157.89473684210526</v>
      </c>
      <c r="F46" s="58">
        <v>47.270135537909752</v>
      </c>
      <c r="G46" s="37">
        <v>44.210526315789473</v>
      </c>
      <c r="H46" s="55">
        <v>0.5708335761108837</v>
      </c>
      <c r="I46" s="35">
        <v>1</v>
      </c>
      <c r="J46" s="37">
        <v>44.210526315789473</v>
      </c>
      <c r="K46" s="36">
        <v>0.06</v>
      </c>
      <c r="L46" s="57"/>
      <c r="AN46" t="s">
        <v>136</v>
      </c>
      <c r="AO46" t="s">
        <v>137</v>
      </c>
    </row>
    <row r="47" spans="1:41" x14ac:dyDescent="0.2">
      <c r="A47" s="14"/>
      <c r="C47" s="34">
        <v>4</v>
      </c>
      <c r="D47" s="37">
        <v>236.84210526315789</v>
      </c>
      <c r="E47" s="37">
        <v>236.84210526315789</v>
      </c>
      <c r="F47" s="58">
        <v>51.136392164807788</v>
      </c>
      <c r="G47" s="37">
        <v>46.315789473684212</v>
      </c>
      <c r="H47" s="55">
        <v>0.59768977555884473</v>
      </c>
      <c r="I47" s="35">
        <v>1</v>
      </c>
      <c r="J47" s="37">
        <v>46.315789473684212</v>
      </c>
      <c r="K47" s="36">
        <v>0.06</v>
      </c>
      <c r="L47" s="57"/>
      <c r="AN47" t="s">
        <v>138</v>
      </c>
      <c r="AO47" t="s">
        <v>139</v>
      </c>
    </row>
    <row r="48" spans="1:41" x14ac:dyDescent="0.2">
      <c r="A48" s="14"/>
      <c r="C48" s="34">
        <v>5</v>
      </c>
      <c r="D48" s="37">
        <v>315.78947368421052</v>
      </c>
      <c r="E48" s="37">
        <v>315.78947368421052</v>
      </c>
      <c r="F48" s="58">
        <v>55.155389438731106</v>
      </c>
      <c r="G48" s="37">
        <v>48.421052631578945</v>
      </c>
      <c r="H48" s="55">
        <v>0.62527708314661445</v>
      </c>
      <c r="I48" s="35">
        <v>1</v>
      </c>
      <c r="J48" s="37">
        <v>48.421052631578945</v>
      </c>
      <c r="K48" s="36">
        <v>0.06</v>
      </c>
      <c r="L48" s="57"/>
      <c r="AN48" t="s">
        <v>140</v>
      </c>
      <c r="AO48" t="s">
        <v>141</v>
      </c>
    </row>
    <row r="49" spans="1:41" x14ac:dyDescent="0.2">
      <c r="A49" s="14"/>
      <c r="C49" s="34">
        <v>6</v>
      </c>
      <c r="D49" s="37">
        <v>394.73684210526312</v>
      </c>
      <c r="E49" s="37">
        <v>394.73684210526312</v>
      </c>
      <c r="F49" s="58">
        <v>59.340765751056182</v>
      </c>
      <c r="G49" s="37">
        <v>50.526315789473685</v>
      </c>
      <c r="H49" s="55">
        <v>0.65571213780326598</v>
      </c>
      <c r="I49" s="35">
        <v>1</v>
      </c>
      <c r="J49" s="37">
        <v>50.526315789473685</v>
      </c>
      <c r="K49" s="36">
        <v>0.06</v>
      </c>
      <c r="L49" s="57"/>
      <c r="AN49" t="s">
        <v>142</v>
      </c>
      <c r="AO49" t="s">
        <v>143</v>
      </c>
    </row>
    <row r="50" spans="1:41" x14ac:dyDescent="0.2">
      <c r="A50" s="14"/>
      <c r="C50" s="34">
        <v>7</v>
      </c>
      <c r="D50" s="37">
        <v>473.68421052631578</v>
      </c>
      <c r="E50" s="37">
        <v>473.68421052631578</v>
      </c>
      <c r="F50" s="58">
        <v>63.774341349851319</v>
      </c>
      <c r="G50" s="37">
        <v>52.631578947368425</v>
      </c>
      <c r="H50" s="55">
        <v>0.69433322123435115</v>
      </c>
      <c r="I50" s="35">
        <v>1</v>
      </c>
      <c r="J50" s="37">
        <v>52.631578947368425</v>
      </c>
      <c r="K50" s="36">
        <v>0.06</v>
      </c>
      <c r="L50" s="57"/>
      <c r="AN50" t="s">
        <v>144</v>
      </c>
      <c r="AO50" t="s">
        <v>145</v>
      </c>
    </row>
    <row r="51" spans="1:41" x14ac:dyDescent="0.2">
      <c r="A51" s="14"/>
      <c r="C51" s="34">
        <v>8</v>
      </c>
      <c r="D51" s="37">
        <v>552.63157894736844</v>
      </c>
      <c r="E51" s="37">
        <v>552.63157894736844</v>
      </c>
      <c r="F51" s="58">
        <v>68.414412417617356</v>
      </c>
      <c r="G51" s="37">
        <v>54.736842105263158</v>
      </c>
      <c r="H51" s="55">
        <v>0.73365882759480172</v>
      </c>
      <c r="I51" s="35">
        <v>1</v>
      </c>
      <c r="J51" s="37">
        <v>54.736842105263158</v>
      </c>
      <c r="K51" s="36">
        <v>0.06</v>
      </c>
      <c r="L51" s="57"/>
      <c r="AN51" t="s">
        <v>146</v>
      </c>
      <c r="AO51" t="s">
        <v>147</v>
      </c>
    </row>
    <row r="52" spans="1:41" x14ac:dyDescent="0.2">
      <c r="A52" s="14"/>
      <c r="C52" s="34">
        <v>9</v>
      </c>
      <c r="D52" s="37">
        <v>631.57894736842104</v>
      </c>
      <c r="E52" s="37">
        <v>631.57894736842104</v>
      </c>
      <c r="F52" s="58">
        <v>73.258600555703907</v>
      </c>
      <c r="G52" s="37">
        <v>56.842105263157897</v>
      </c>
      <c r="H52" s="55">
        <v>0.772924839379734</v>
      </c>
      <c r="I52" s="35">
        <v>1</v>
      </c>
      <c r="J52" s="37">
        <v>56.842105263157897</v>
      </c>
      <c r="K52" s="36">
        <v>0.06</v>
      </c>
      <c r="L52" s="57"/>
      <c r="AN52" t="s">
        <v>148</v>
      </c>
      <c r="AO52" t="s">
        <v>149</v>
      </c>
    </row>
    <row r="53" spans="1:41" x14ac:dyDescent="0.2">
      <c r="A53" s="14"/>
      <c r="C53" s="34">
        <v>10</v>
      </c>
      <c r="D53" s="37">
        <v>710.52631578947364</v>
      </c>
      <c r="E53" s="37">
        <v>710.52631578947364</v>
      </c>
      <c r="F53" s="58">
        <v>78.302384868748376</v>
      </c>
      <c r="G53" s="37">
        <v>58.947368421052637</v>
      </c>
      <c r="H53" s="55">
        <v>0.81197000364374705</v>
      </c>
      <c r="I53" s="35">
        <v>1</v>
      </c>
      <c r="J53" s="37">
        <v>58.947368421052637</v>
      </c>
      <c r="K53" s="36">
        <v>0.06</v>
      </c>
      <c r="L53" s="57"/>
      <c r="AN53" t="s">
        <v>150</v>
      </c>
      <c r="AO53" t="s">
        <v>151</v>
      </c>
    </row>
    <row r="54" spans="1:41" x14ac:dyDescent="0.2">
      <c r="A54" s="14"/>
      <c r="C54" s="34">
        <v>11</v>
      </c>
      <c r="D54" s="37">
        <v>789.47368421052624</v>
      </c>
      <c r="E54" s="37">
        <v>789.47368421052624</v>
      </c>
      <c r="F54" s="58">
        <v>83.573641757374645</v>
      </c>
      <c r="G54" s="37">
        <v>61.05263157894737</v>
      </c>
      <c r="H54" s="55">
        <v>0.85074476325121917</v>
      </c>
      <c r="I54" s="35">
        <v>1</v>
      </c>
      <c r="J54" s="37">
        <v>61.05263157894737</v>
      </c>
      <c r="K54" s="36">
        <v>0.06</v>
      </c>
      <c r="L54" s="57"/>
      <c r="AN54" t="s">
        <v>152</v>
      </c>
      <c r="AO54" t="s">
        <v>153</v>
      </c>
    </row>
    <row r="55" spans="1:41" x14ac:dyDescent="0.2">
      <c r="A55" s="14"/>
      <c r="C55" s="34">
        <v>12</v>
      </c>
      <c r="D55" s="37">
        <v>868.42105263157896</v>
      </c>
      <c r="E55" s="37">
        <v>868.42105263157896</v>
      </c>
      <c r="F55" s="58">
        <v>89.063293009766809</v>
      </c>
      <c r="G55" s="37">
        <v>63.15789473684211</v>
      </c>
      <c r="H55" s="55">
        <v>0.88867158861921558</v>
      </c>
      <c r="I55" s="35">
        <v>3</v>
      </c>
      <c r="J55" s="37">
        <v>63.15789473684211</v>
      </c>
      <c r="K55" s="36">
        <v>0.06</v>
      </c>
      <c r="L55" s="57"/>
      <c r="AN55" t="s">
        <v>154</v>
      </c>
      <c r="AO55" t="s">
        <v>155</v>
      </c>
    </row>
    <row r="56" spans="1:41" x14ac:dyDescent="0.2">
      <c r="A56" s="14"/>
      <c r="C56" s="34">
        <v>13</v>
      </c>
      <c r="D56" s="37">
        <v>947.36842105263156</v>
      </c>
      <c r="E56" s="37">
        <v>947.36842105263156</v>
      </c>
      <c r="F56" s="58">
        <v>94.724915606695646</v>
      </c>
      <c r="G56" s="37">
        <v>65.26315789473685</v>
      </c>
      <c r="H56" s="55">
        <v>0.92527934404796452</v>
      </c>
      <c r="I56" s="35">
        <v>3</v>
      </c>
      <c r="J56" s="37">
        <v>65.26315789473685</v>
      </c>
      <c r="K56" s="36">
        <v>0.06</v>
      </c>
      <c r="L56" s="57"/>
    </row>
    <row r="57" spans="1:41" x14ac:dyDescent="0.2">
      <c r="A57" s="14"/>
      <c r="C57" s="34">
        <v>14</v>
      </c>
      <c r="D57" s="37">
        <v>1026.3157894736842</v>
      </c>
      <c r="E57" s="37">
        <v>1026.3157894736842</v>
      </c>
      <c r="F57" s="58">
        <v>100.54825455170324</v>
      </c>
      <c r="G57" s="37">
        <v>67.368421052631589</v>
      </c>
      <c r="H57" s="55">
        <v>0.96050552713278481</v>
      </c>
      <c r="I57" s="35">
        <v>3</v>
      </c>
      <c r="J57" s="37">
        <v>67.368421052631589</v>
      </c>
      <c r="K57" s="36">
        <v>0.06</v>
      </c>
      <c r="L57" s="57"/>
    </row>
    <row r="58" spans="1:41" x14ac:dyDescent="0.2">
      <c r="A58" s="14"/>
      <c r="C58" s="34">
        <v>15</v>
      </c>
      <c r="D58" s="37">
        <v>1105.2631578947369</v>
      </c>
      <c r="E58" s="37">
        <v>1105.2631578947369</v>
      </c>
      <c r="F58" s="58">
        <v>106.51912720722972</v>
      </c>
      <c r="G58" s="37">
        <v>69.473684210526329</v>
      </c>
      <c r="H58" s="55">
        <v>0.99268966253987323</v>
      </c>
      <c r="I58" s="35">
        <v>3</v>
      </c>
      <c r="J58" s="37">
        <v>69.473684210526329</v>
      </c>
      <c r="K58" s="36">
        <v>0.06</v>
      </c>
      <c r="L58" s="57"/>
    </row>
    <row r="59" spans="1:41" x14ac:dyDescent="0.2">
      <c r="A59" s="14"/>
      <c r="C59" s="34">
        <v>16</v>
      </c>
      <c r="D59" s="37">
        <v>1184.2105263157894</v>
      </c>
      <c r="E59" s="37">
        <v>1184.2105263157894</v>
      </c>
      <c r="F59" s="58">
        <v>112.61036201460817</v>
      </c>
      <c r="G59" s="37">
        <v>71.578947368421055</v>
      </c>
      <c r="H59" s="55">
        <v>0.99878161042331215</v>
      </c>
      <c r="I59" s="35">
        <v>3</v>
      </c>
      <c r="J59" s="37">
        <v>71.578947368421055</v>
      </c>
      <c r="K59" s="36">
        <v>0.06</v>
      </c>
      <c r="L59" s="57"/>
    </row>
    <row r="60" spans="1:41" x14ac:dyDescent="0.2">
      <c r="A60" s="14"/>
      <c r="C60" s="34">
        <v>17</v>
      </c>
      <c r="D60" s="37">
        <v>1263.1578947368421</v>
      </c>
      <c r="E60" s="37">
        <v>1263.1578947368421</v>
      </c>
      <c r="F60" s="58">
        <v>118.70360252355756</v>
      </c>
      <c r="G60" s="37">
        <v>73.684210526315795</v>
      </c>
      <c r="H60" s="55">
        <v>1</v>
      </c>
      <c r="I60" s="35">
        <v>3</v>
      </c>
      <c r="J60" s="37">
        <v>73.684210526315795</v>
      </c>
      <c r="K60" s="36">
        <v>0.06</v>
      </c>
      <c r="L60" s="57"/>
    </row>
    <row r="61" spans="1:41" x14ac:dyDescent="0.2">
      <c r="A61" s="14"/>
      <c r="C61" s="34">
        <v>18</v>
      </c>
      <c r="D61" s="37">
        <v>1342.1052631578948</v>
      </c>
      <c r="E61" s="37">
        <v>1342.1052631578948</v>
      </c>
      <c r="F61" s="58">
        <v>124.79643180607381</v>
      </c>
      <c r="G61" s="37">
        <v>75.789473684210535</v>
      </c>
      <c r="H61" s="55">
        <v>1</v>
      </c>
      <c r="I61" s="35">
        <v>3</v>
      </c>
      <c r="J61" s="37">
        <v>75.789473684210535</v>
      </c>
      <c r="K61" s="36">
        <v>0.06</v>
      </c>
      <c r="L61" s="57"/>
    </row>
    <row r="62" spans="1:41" x14ac:dyDescent="0.2">
      <c r="A62" s="14"/>
      <c r="C62" s="34">
        <v>19</v>
      </c>
      <c r="D62" s="37">
        <v>1421.0526315789473</v>
      </c>
      <c r="E62" s="37">
        <v>1421.0526315789473</v>
      </c>
      <c r="F62" s="58">
        <v>130.88783618552898</v>
      </c>
      <c r="G62" s="37">
        <v>77.894736842105274</v>
      </c>
      <c r="H62" s="55">
        <v>1</v>
      </c>
      <c r="I62" s="35">
        <v>3</v>
      </c>
      <c r="J62" s="37">
        <v>77.894736842105274</v>
      </c>
      <c r="K62" s="36">
        <v>0.06</v>
      </c>
      <c r="L62" s="57"/>
    </row>
    <row r="63" spans="1:41" x14ac:dyDescent="0.2">
      <c r="A63" s="14"/>
      <c r="C63" s="38">
        <v>20</v>
      </c>
      <c r="D63" s="39">
        <v>1500</v>
      </c>
      <c r="E63" s="39">
        <v>1500</v>
      </c>
      <c r="F63" s="59">
        <v>136.97751815002223</v>
      </c>
      <c r="G63" s="39">
        <v>80</v>
      </c>
      <c r="H63" s="56">
        <v>1</v>
      </c>
      <c r="I63" s="40">
        <v>3</v>
      </c>
      <c r="J63" s="39">
        <v>80</v>
      </c>
      <c r="K63" s="41">
        <v>0.06</v>
      </c>
      <c r="L63" s="57"/>
    </row>
    <row r="64" spans="1:4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2:G22"/>
    <mergeCell ref="B3:E3"/>
    <mergeCell ref="B4:E4"/>
    <mergeCell ref="B5:E5"/>
    <mergeCell ref="B6:E8"/>
    <mergeCell ref="F21:G21"/>
    <mergeCell ref="F23:G23"/>
    <mergeCell ref="F24:G24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10</xdr:col>
                    <xdr:colOff>457200</xdr:colOff>
                    <xdr:row>19</xdr:row>
                    <xdr:rowOff>66675</xdr:rowOff>
                  </from>
                  <to>
                    <xdr:col>13</xdr:col>
                    <xdr:colOff>419100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47</vt:i4>
      </vt:variant>
    </vt:vector>
  </HeadingPairs>
  <TitlesOfParts>
    <vt:vector size="48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my_res_1</vt:lpstr>
      <vt:lpstr>my_res_2</vt:lpstr>
      <vt:lpstr>exercise_MF1!n_</vt:lpstr>
      <vt:lpstr>new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2020-07-15T11:42:59Z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