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BD0FD0E2-2661-48B6-A9CE-9967C3194B35}" xr6:coauthVersionLast="45" xr6:coauthVersionMax="45" xr10:uidLastSave="{00000000-0000-0000-0000-000000000000}"/>
  <bookViews>
    <workbookView xWindow="-34935" yWindow="2955" windowWidth="28410" windowHeight="15210" xr2:uid="{8D424466-61D2-4E50-B746-881CD47D3A93}"/>
  </bookViews>
  <sheets>
    <sheet name="Лист1" sheetId="1" r:id="rId1"/>
  </sheets>
  <externalReferences>
    <externalReference r:id="rId2"/>
  </externalReferences>
  <definedNames>
    <definedName name="mult">Лист1!$E$6</definedName>
    <definedName name="smooth_transition">Лист1!$E$8</definedName>
    <definedName name="type">Лист1!$E$7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5" i="1" l="1"/>
  <c r="D16" i="1" s="1"/>
  <c r="E13" i="1"/>
  <c r="F13" i="1" s="1"/>
  <c r="C19" i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H25" i="1" a="1"/>
  <c r="E17" i="1" a="1"/>
  <c r="G18" i="1" a="1"/>
  <c r="E20" i="1" a="1"/>
  <c r="G21" i="1" a="1"/>
  <c r="E23" i="1" a="1"/>
  <c r="G24" i="1" a="1"/>
  <c r="E26" i="1" a="1"/>
  <c r="G27" i="1" a="1"/>
  <c r="G30" i="1" a="1"/>
  <c r="E32" i="1" a="1"/>
  <c r="G33" i="1" a="1"/>
  <c r="G36" i="1" a="1"/>
  <c r="G39" i="1" a="1"/>
  <c r="H27" i="1" a="1"/>
  <c r="H33" i="1" a="1"/>
  <c r="H39" i="1" a="1"/>
  <c r="H22" i="1" a="1"/>
  <c r="F39" i="1" a="1"/>
  <c r="H21" i="1" a="1"/>
  <c r="H30" i="1" a="1"/>
  <c r="H36" i="1" a="1"/>
  <c r="H19" i="1" a="1"/>
  <c r="F33" i="1" a="1"/>
  <c r="F17" i="1" a="1"/>
  <c r="H18" i="1" a="1"/>
  <c r="F20" i="1" a="1"/>
  <c r="F23" i="1" a="1"/>
  <c r="H24" i="1" a="1"/>
  <c r="F29" i="1" a="1"/>
  <c r="F35" i="1" a="1"/>
  <c r="F18" i="1" a="1"/>
  <c r="E34" i="1" a="1"/>
  <c r="F30" i="1" a="1"/>
  <c r="G17" i="1" a="1"/>
  <c r="E19" i="1" a="1"/>
  <c r="G20" i="1" a="1"/>
  <c r="E22" i="1" a="1"/>
  <c r="G23" i="1" a="1"/>
  <c r="E25" i="1" a="1"/>
  <c r="G26" i="1" a="1"/>
  <c r="E28" i="1" a="1"/>
  <c r="G29" i="1" a="1"/>
  <c r="E31" i="1" a="1"/>
  <c r="G32" i="1" a="1"/>
  <c r="G35" i="1" a="1"/>
  <c r="E37" i="1" a="1"/>
  <c r="G38" i="1" a="1"/>
  <c r="H31" i="1" a="1"/>
  <c r="F22" i="1" a="1"/>
  <c r="H32" i="1" a="1"/>
  <c r="F37" i="1" a="1"/>
  <c r="E24" i="1" a="1"/>
  <c r="G31" i="1" a="1"/>
  <c r="G37" i="1" a="1"/>
  <c r="F27" i="1" a="1"/>
  <c r="H17" i="1" a="1"/>
  <c r="F19" i="1" a="1"/>
  <c r="H20" i="1" a="1"/>
  <c r="H23" i="1" a="1"/>
  <c r="F25" i="1" a="1"/>
  <c r="H26" i="1" a="1"/>
  <c r="F28" i="1" a="1"/>
  <c r="H29" i="1" a="1"/>
  <c r="F31" i="1" a="1"/>
  <c r="F34" i="1" a="1"/>
  <c r="H35" i="1" a="1"/>
  <c r="H38" i="1" a="1"/>
  <c r="G28" i="1" a="1"/>
  <c r="G34" i="1" a="1"/>
  <c r="H28" i="1" a="1"/>
  <c r="G19" i="1" a="1"/>
  <c r="G25" i="1" a="1"/>
  <c r="E30" i="1" a="1"/>
  <c r="E36" i="1" a="1"/>
  <c r="F24" i="1" a="1"/>
  <c r="H37" i="1" a="1"/>
  <c r="E18" i="1" a="1"/>
  <c r="E21" i="1" a="1"/>
  <c r="G22" i="1" a="1"/>
  <c r="E27" i="1" a="1"/>
  <c r="E33" i="1" a="1"/>
  <c r="E39" i="1" a="1"/>
  <c r="F36" i="1" a="1"/>
  <c r="E29" i="1" a="1"/>
  <c r="E35" i="1" a="1"/>
  <c r="E38" i="1" a="1"/>
  <c r="F26" i="1" a="1"/>
  <c r="F32" i="1" a="1"/>
  <c r="F38" i="1" a="1"/>
  <c r="F21" i="1" a="1"/>
  <c r="H34" i="1" a="1"/>
  <c r="D31" i="1" a="1"/>
  <c r="D25" i="1" a="1"/>
  <c r="D20" i="1" a="1"/>
  <c r="D32" i="1" a="1"/>
  <c r="D34" i="1" a="1"/>
  <c r="D23" i="1" a="1"/>
  <c r="D26" i="1" a="1"/>
  <c r="D38" i="1" a="1"/>
  <c r="D37" i="1" a="1"/>
  <c r="D21" i="1" a="1"/>
  <c r="D33" i="1" a="1"/>
  <c r="D28" i="1" a="1"/>
  <c r="D29" i="1" a="1"/>
  <c r="D27" i="1" a="1"/>
  <c r="D39" i="1" a="1"/>
  <c r="D22" i="1" a="1"/>
  <c r="D35" i="1" a="1"/>
  <c r="D18" i="1" a="1"/>
  <c r="D24" i="1" a="1"/>
  <c r="D30" i="1" a="1"/>
  <c r="D36" i="1" a="1"/>
  <c r="D19" i="1" a="1"/>
  <c r="D17" i="1" a="1"/>
  <c r="G1" i="1"/>
  <c r="H25" i="1" l="1"/>
  <c r="H34" i="1"/>
  <c r="F21" i="1"/>
  <c r="F38" i="1"/>
  <c r="F32" i="1"/>
  <c r="F26" i="1"/>
  <c r="E38" i="1"/>
  <c r="E35" i="1"/>
  <c r="E29" i="1"/>
  <c r="F36" i="1"/>
  <c r="E39" i="1"/>
  <c r="E33" i="1"/>
  <c r="E27" i="1"/>
  <c r="G22" i="1"/>
  <c r="E21" i="1"/>
  <c r="E18" i="1"/>
  <c r="H37" i="1"/>
  <c r="F24" i="1"/>
  <c r="E36" i="1"/>
  <c r="E30" i="1"/>
  <c r="G25" i="1"/>
  <c r="G19" i="1"/>
  <c r="H28" i="1"/>
  <c r="G34" i="1"/>
  <c r="G28" i="1"/>
  <c r="H38" i="1"/>
  <c r="H35" i="1"/>
  <c r="F34" i="1"/>
  <c r="F31" i="1"/>
  <c r="H29" i="1"/>
  <c r="F28" i="1"/>
  <c r="H26" i="1"/>
  <c r="F25" i="1"/>
  <c r="H23" i="1"/>
  <c r="H20" i="1"/>
  <c r="F19" i="1"/>
  <c r="H17" i="1"/>
  <c r="F27" i="1"/>
  <c r="G37" i="1"/>
  <c r="G31" i="1"/>
  <c r="E24" i="1"/>
  <c r="F37" i="1"/>
  <c r="H32" i="1"/>
  <c r="F22" i="1"/>
  <c r="H31" i="1"/>
  <c r="G38" i="1"/>
  <c r="E37" i="1"/>
  <c r="G35" i="1"/>
  <c r="G32" i="1"/>
  <c r="E31" i="1"/>
  <c r="G29" i="1"/>
  <c r="E28" i="1"/>
  <c r="G26" i="1"/>
  <c r="E25" i="1"/>
  <c r="G23" i="1"/>
  <c r="E22" i="1"/>
  <c r="G20" i="1"/>
  <c r="E19" i="1"/>
  <c r="G17" i="1"/>
  <c r="F30" i="1"/>
  <c r="E34" i="1"/>
  <c r="F18" i="1"/>
  <c r="F35" i="1"/>
  <c r="F29" i="1"/>
  <c r="H24" i="1"/>
  <c r="F23" i="1"/>
  <c r="F20" i="1"/>
  <c r="H18" i="1"/>
  <c r="F17" i="1"/>
  <c r="F33" i="1"/>
  <c r="H19" i="1"/>
  <c r="H36" i="1"/>
  <c r="H30" i="1"/>
  <c r="H21" i="1"/>
  <c r="F39" i="1"/>
  <c r="H22" i="1"/>
  <c r="H39" i="1"/>
  <c r="H33" i="1"/>
  <c r="H27" i="1"/>
  <c r="G39" i="1"/>
  <c r="G36" i="1"/>
  <c r="G33" i="1"/>
  <c r="E32" i="1"/>
  <c r="G30" i="1"/>
  <c r="G27" i="1"/>
  <c r="E26" i="1"/>
  <c r="G24" i="1"/>
  <c r="E23" i="1"/>
  <c r="G21" i="1"/>
  <c r="E20" i="1"/>
  <c r="G18" i="1"/>
  <c r="E17" i="1"/>
  <c r="D19" i="1"/>
  <c r="D36" i="1"/>
  <c r="D30" i="1"/>
  <c r="D24" i="1"/>
  <c r="D18" i="1"/>
  <c r="D35" i="1"/>
  <c r="D22" i="1"/>
  <c r="D39" i="1"/>
  <c r="D27" i="1"/>
  <c r="D29" i="1"/>
  <c r="D28" i="1"/>
  <c r="D33" i="1"/>
  <c r="D21" i="1"/>
  <c r="D37" i="1"/>
  <c r="D38" i="1"/>
  <c r="D26" i="1"/>
  <c r="D23" i="1"/>
  <c r="D34" i="1"/>
  <c r="D32" i="1"/>
  <c r="D20" i="1"/>
  <c r="D25" i="1"/>
  <c r="D31" i="1"/>
  <c r="D17" i="1"/>
  <c r="G13" i="1"/>
  <c r="F15" i="1"/>
  <c r="E15" i="1"/>
  <c r="E16" i="1" l="1"/>
  <c r="F16" i="1"/>
  <c r="H13" i="1"/>
  <c r="H15" i="1" s="1"/>
  <c r="G15" i="1"/>
  <c r="G16" i="1" l="1"/>
  <c r="H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<sst xmlns="http://schemas.openxmlformats.org/spreadsheetml/2006/main" count="11" uniqueCount="11">
  <si>
    <t>Nr</t>
  </si>
  <si>
    <t>e</t>
  </si>
  <si>
    <t>d</t>
  </si>
  <si>
    <t>ed</t>
  </si>
  <si>
    <t>Упражнения по работе с макросами Unifloc VBA</t>
  </si>
  <si>
    <t>версия</t>
  </si>
  <si>
    <t>Проверка расчета коэффициента трения для гидравлических корреляций с унифлок VBA</t>
  </si>
  <si>
    <t>номер корреляции</t>
  </si>
  <si>
    <t>множитель для оси х</t>
  </si>
  <si>
    <t>сглаживание</t>
  </si>
  <si>
    <t>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</si>
</sst>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" fontId="0" fillId="0" borderId="0" xfId="0" applyNumberFormat="1"/>
    <xf numFmtId="0" fontId="1" fillId="0" borderId="0" xfId="0" applyFont="1"/>
    <xf numFmtId="0" fontId="0" fillId="0" borderId="0" xfId="0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Darcy's friction</a:t>
            </a:r>
            <a:r>
              <a:rPr lang="en-US" baseline="0"/>
              <a:t> factor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Лист1!$D$16</c:f>
              <c:strCache>
                <c:ptCount val="1"/>
                <c:pt idx="0">
                  <c:v>ed=1.61E-06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Лист1!$D$17:$D$39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4.8860626927509518E-2</c:v>
                </c:pt>
                <c:pt idx="4">
                  <c:v>4.2671920332344092E-2</c:v>
                </c:pt>
                <c:pt idx="5">
                  <c:v>3.7588737379496744E-2</c:v>
                </c:pt>
                <c:pt idx="6">
                  <c:v>3.3362655701030905E-2</c:v>
                </c:pt>
                <c:pt idx="7">
                  <c:v>2.9811316016072759E-2</c:v>
                </c:pt>
                <c:pt idx="8">
                  <c:v>2.6798413554177936E-2</c:v>
                </c:pt>
                <c:pt idx="9">
                  <c:v>2.4220420258584226E-2</c:v>
                </c:pt>
                <c:pt idx="10">
                  <c:v>2.1997569914383053E-2</c:v>
                </c:pt>
                <c:pt idx="11">
                  <c:v>2.0067611831664854E-2</c:v>
                </c:pt>
                <c:pt idx="12">
                  <c:v>1.8381403619965361E-2</c:v>
                </c:pt>
                <c:pt idx="13">
                  <c:v>1.6899750974554359E-2</c:v>
                </c:pt>
                <c:pt idx="14">
                  <c:v>1.559110920175482E-2</c:v>
                </c:pt>
                <c:pt idx="15">
                  <c:v>1.4429891022250316E-2</c:v>
                </c:pt>
                <c:pt idx="16">
                  <c:v>1.3395208478915057E-2</c:v>
                </c:pt>
                <c:pt idx="17">
                  <c:v>1.2469931304470251E-2</c:v>
                </c:pt>
                <c:pt idx="18">
                  <c:v>1.1639980435273114E-2</c:v>
                </c:pt>
                <c:pt idx="19">
                  <c:v>1.0893799808506235E-2</c:v>
                </c:pt>
                <c:pt idx="20">
                  <c:v>1.0221965810075151E-2</c:v>
                </c:pt>
                <c:pt idx="21">
                  <c:v>9.6169035474823888E-3</c:v>
                </c:pt>
                <c:pt idx="22">
                  <c:v>9.0726827965923601E-3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72-44BD-8D26-4F4ECED6B368}"/>
            </c:ext>
          </c:extLst>
        </c:ser>
        <c:ser>
          <c:idx val="1"/>
          <c:order val="1"/>
          <c:tx>
            <c:strRef>
              <c:f>Лист1!$E$16</c:f>
              <c:strCache>
                <c:ptCount val="1"/>
                <c:pt idx="0">
                  <c:v>ed=1.61E-05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Лист1!$E$17:$E$39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4.8866321487458869E-2</c:v>
                </c:pt>
                <c:pt idx="4">
                  <c:v>4.2678891389403353E-2</c:v>
                </c:pt>
                <c:pt idx="5">
                  <c:v>3.7597381499215765E-2</c:v>
                </c:pt>
                <c:pt idx="6">
                  <c:v>3.3373496245333048E-2</c:v>
                </c:pt>
                <c:pt idx="7">
                  <c:v>2.982504767847902E-2</c:v>
                </c:pt>
                <c:pt idx="8">
                  <c:v>2.6815962592808905E-2</c:v>
                </c:pt>
                <c:pt idx="9">
                  <c:v>2.4243026071905285E-2</c:v>
                </c:pt>
                <c:pt idx="10">
                  <c:v>2.202689543519841E-2</c:v>
                </c:pt>
                <c:pt idx="11">
                  <c:v>2.0105892443619759E-2</c:v>
                </c:pt>
                <c:pt idx="12">
                  <c:v>1.8431646754742539E-2</c:v>
                </c:pt>
                <c:pt idx="13">
                  <c:v>1.6966000677488519E-2</c:v>
                </c:pt>
                <c:pt idx="14">
                  <c:v>1.5678790430919517E-2</c:v>
                </c:pt>
                <c:pt idx="15">
                  <c:v>1.454624448570874E-2</c:v>
                </c:pt>
                <c:pt idx="16">
                  <c:v>1.3549813232661549E-2</c:v>
                </c:pt>
                <c:pt idx="17">
                  <c:v>1.2675280828799351E-2</c:v>
                </c:pt>
                <c:pt idx="18">
                  <c:v>1.1912018328253586E-2</c:v>
                </c:pt>
                <c:pt idx="19">
                  <c:v>1.1252228844171607E-2</c:v>
                </c:pt>
                <c:pt idx="20">
                  <c:v>1.0690037813868784E-2</c:v>
                </c:pt>
                <c:pt idx="21">
                  <c:v>1.0220345111375108E-2</c:v>
                </c:pt>
                <c:pt idx="22">
                  <c:v>9.837528877643064E-3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972-44BD-8D26-4F4ECED6B368}"/>
            </c:ext>
          </c:extLst>
        </c:ser>
        <c:ser>
          <c:idx val="2"/>
          <c:order val="2"/>
          <c:tx>
            <c:strRef>
              <c:f>Лист1!$F$16</c:f>
              <c:strCache>
                <c:ptCount val="1"/>
                <c:pt idx="0">
                  <c:v>ed=1.61E-04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Лист1!$F$17:$F$39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4.893959914302682E-2</c:v>
                </c:pt>
                <c:pt idx="4">
                  <c:v>4.2768534078627567E-2</c:v>
                </c:pt>
                <c:pt idx="5">
                  <c:v>3.7708421415840736E-2</c:v>
                </c:pt>
                <c:pt idx="6">
                  <c:v>3.3512524515453772E-2</c:v>
                </c:pt>
                <c:pt idx="7">
                  <c:v>3.0000715228768175E-2</c:v>
                </c:pt>
                <c:pt idx="8">
                  <c:v>2.7039612578946163E-2</c:v>
                </c:pt>
                <c:pt idx="9">
                  <c:v>2.4529464210076672E-2</c:v>
                </c:pt>
                <c:pt idx="10">
                  <c:v>2.2395270758253271E-2</c:v>
                </c:pt>
                <c:pt idx="11">
                  <c:v>2.0580592182468611E-2</c:v>
                </c:pt>
                <c:pt idx="12">
                  <c:v>1.9042991248976293E-2</c:v>
                </c:pt>
                <c:pt idx="13">
                  <c:v>1.7750361750285989E-2</c:v>
                </c:pt>
                <c:pt idx="14">
                  <c:v>1.6677607515187244E-2</c:v>
                </c:pt>
                <c:pt idx="15">
                  <c:v>1.5803421592779646E-2</c:v>
                </c:pt>
                <c:pt idx="16">
                  <c:v>1.5107334110305636E-2</c:v>
                </c:pt>
                <c:pt idx="17">
                  <c:v>1.4567612623334026E-2</c:v>
                </c:pt>
                <c:pt idx="18">
                  <c:v>1.4160643985322159E-2</c:v>
                </c:pt>
                <c:pt idx="19">
                  <c:v>1.3861884373485045E-2</c:v>
                </c:pt>
                <c:pt idx="20">
                  <c:v>1.3647702910241279E-2</c:v>
                </c:pt>
                <c:pt idx="21">
                  <c:v>1.3497134551445333E-2</c:v>
                </c:pt>
                <c:pt idx="22">
                  <c:v>1.3392890892412601E-2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972-44BD-8D26-4F4ECED6B368}"/>
            </c:ext>
          </c:extLst>
        </c:ser>
        <c:ser>
          <c:idx val="3"/>
          <c:order val="3"/>
          <c:tx>
            <c:strRef>
              <c:f>Лист1!$G$16</c:f>
              <c:strCache>
                <c:ptCount val="1"/>
                <c:pt idx="0">
                  <c:v>ed=1.61E-03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Лист1!$G$17:$G$39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4.9870352176517432E-2</c:v>
                </c:pt>
                <c:pt idx="4">
                  <c:v>4.3897763571951506E-2</c:v>
                </c:pt>
                <c:pt idx="5">
                  <c:v>3.9089805755997215E-2</c:v>
                </c:pt>
                <c:pt idx="6">
                  <c:v>3.5210272247749405E-2</c:v>
                </c:pt>
                <c:pt idx="7">
                  <c:v>3.2088753753209999E-2</c:v>
                </c:pt>
                <c:pt idx="8">
                  <c:v>2.9598312851179628E-2</c:v>
                </c:pt>
                <c:pt idx="9">
                  <c:v>2.7639213486018176E-2</c:v>
                </c:pt>
                <c:pt idx="10">
                  <c:v>2.6127164828728174E-2</c:v>
                </c:pt>
                <c:pt idx="11">
                  <c:v>2.4985982584453188E-2</c:v>
                </c:pt>
                <c:pt idx="12">
                  <c:v>2.4144716660911263E-2</c:v>
                </c:pt>
                <c:pt idx="13">
                  <c:v>2.3538286513789471E-2</c:v>
                </c:pt>
                <c:pt idx="14">
                  <c:v>2.3109635804600567E-2</c:v>
                </c:pt>
                <c:pt idx="15">
                  <c:v>2.2811465534578471E-2</c:v>
                </c:pt>
                <c:pt idx="16">
                  <c:v>2.2606609329448562E-2</c:v>
                </c:pt>
                <c:pt idx="17">
                  <c:v>2.2467147070986439E-2</c:v>
                </c:pt>
                <c:pt idx="18">
                  <c:v>2.2372824972643771E-2</c:v>
                </c:pt>
                <c:pt idx="19">
                  <c:v>2.2309325139452996E-2</c:v>
                </c:pt>
                <c:pt idx="20">
                  <c:v>2.226671097182099E-2</c:v>
                </c:pt>
                <c:pt idx="21">
                  <c:v>2.2238174804128121E-2</c:v>
                </c:pt>
                <c:pt idx="22">
                  <c:v>2.2219093809473584E-2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972-44BD-8D26-4F4ECED6B368}"/>
            </c:ext>
          </c:extLst>
        </c:ser>
        <c:ser>
          <c:idx val="4"/>
          <c:order val="4"/>
          <c:tx>
            <c:strRef>
              <c:f>Лист1!$H$16</c:f>
              <c:strCache>
                <c:ptCount val="1"/>
                <c:pt idx="0">
                  <c:v>ed=1.61E-02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Лист1!$C$17:$C$39</c:f>
              <c:numCache>
                <c:formatCode>0</c:formatCode>
                <c:ptCount val="23"/>
                <c:pt idx="0">
                  <c:v>900</c:v>
                </c:pt>
                <c:pt idx="1">
                  <c:v>1000</c:v>
                </c:pt>
                <c:pt idx="2">
                  <c:v>1500</c:v>
                </c:pt>
                <c:pt idx="3">
                  <c:v>2250</c:v>
                </c:pt>
                <c:pt idx="4">
                  <c:v>3375</c:v>
                </c:pt>
                <c:pt idx="5">
                  <c:v>5062.5</c:v>
                </c:pt>
                <c:pt idx="6">
                  <c:v>7593.75</c:v>
                </c:pt>
                <c:pt idx="7">
                  <c:v>11390.625</c:v>
                </c:pt>
                <c:pt idx="8">
                  <c:v>17085.9375</c:v>
                </c:pt>
                <c:pt idx="9">
                  <c:v>25628.90625</c:v>
                </c:pt>
                <c:pt idx="10">
                  <c:v>38443.359375</c:v>
                </c:pt>
                <c:pt idx="11">
                  <c:v>57665.0390625</c:v>
                </c:pt>
                <c:pt idx="12">
                  <c:v>86497.55859375</c:v>
                </c:pt>
                <c:pt idx="13">
                  <c:v>129746.337890625</c:v>
                </c:pt>
                <c:pt idx="14">
                  <c:v>194619.5068359375</c:v>
                </c:pt>
                <c:pt idx="15">
                  <c:v>291929.26025390625</c:v>
                </c:pt>
                <c:pt idx="16">
                  <c:v>437893.89038085938</c:v>
                </c:pt>
                <c:pt idx="17">
                  <c:v>656840.83557128906</c:v>
                </c:pt>
                <c:pt idx="18">
                  <c:v>985261.25335693359</c:v>
                </c:pt>
                <c:pt idx="19">
                  <c:v>1477891.8800354004</c:v>
                </c:pt>
                <c:pt idx="20">
                  <c:v>2216837.8200531006</c:v>
                </c:pt>
                <c:pt idx="21">
                  <c:v>3325256.7300796509</c:v>
                </c:pt>
                <c:pt idx="22">
                  <c:v>4987885.0951194763</c:v>
                </c:pt>
              </c:numCache>
            </c:numRef>
          </c:xVal>
          <c:yVal>
            <c:numRef>
              <c:f>Лист1!$H$17:$H$39</c:f>
              <c:numCache>
                <c:formatCode>General</c:formatCode>
                <c:ptCount val="23"/>
                <c:pt idx="0">
                  <c:v>7.1111111111111111E-2</c:v>
                </c:pt>
                <c:pt idx="1">
                  <c:v>6.4000000000000001E-2</c:v>
                </c:pt>
                <c:pt idx="2">
                  <c:v>4.2666666666666665E-2</c:v>
                </c:pt>
                <c:pt idx="3">
                  <c:v>6.0295387275807522E-2</c:v>
                </c:pt>
                <c:pt idx="4">
                  <c:v>5.5772392572569295E-2</c:v>
                </c:pt>
                <c:pt idx="5">
                  <c:v>5.2494522638638554E-2</c:v>
                </c:pt>
                <c:pt idx="6">
                  <c:v>5.0154468272417992E-2</c:v>
                </c:pt>
                <c:pt idx="7">
                  <c:v>4.8508734960981896E-2</c:v>
                </c:pt>
                <c:pt idx="8">
                  <c:v>4.7366668186188739E-2</c:v>
                </c:pt>
                <c:pt idx="9">
                  <c:v>4.6582783221530991E-2</c:v>
                </c:pt>
                <c:pt idx="10">
                  <c:v>4.6049298353237907E-2</c:v>
                </c:pt>
                <c:pt idx="11">
                  <c:v>4.5688502223512756E-2</c:v>
                </c:pt>
                <c:pt idx="12">
                  <c:v>4.5445591562135471E-2</c:v>
                </c:pt>
                <c:pt idx="13">
                  <c:v>4.5282563393089767E-2</c:v>
                </c:pt>
                <c:pt idx="14">
                  <c:v>4.5173385278098499E-2</c:v>
                </c:pt>
                <c:pt idx="15">
                  <c:v>4.5100378096083818E-2</c:v>
                </c:pt>
                <c:pt idx="16">
                  <c:v>4.5051607229389903E-2</c:v>
                </c:pt>
                <c:pt idx="17">
                  <c:v>4.5019048881317428E-2</c:v>
                </c:pt>
                <c:pt idx="18">
                  <c:v>4.4997323490383594E-2</c:v>
                </c:pt>
                <c:pt idx="19">
                  <c:v>4.4982831062493865E-2</c:v>
                </c:pt>
                <c:pt idx="20">
                  <c:v>4.497316551099486E-2</c:v>
                </c:pt>
                <c:pt idx="21">
                  <c:v>4.4966720060043659E-2</c:v>
                </c:pt>
                <c:pt idx="22">
                  <c:v>4.4962422314394845E-2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972-44BD-8D26-4F4ECED6B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2110191"/>
        <c:axId val="1387974639"/>
      </c:scatterChart>
      <c:valAx>
        <c:axId val="1842110191"/>
        <c:scaling>
          <c:logBase val="10"/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 number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7974639"/>
        <c:crossesAt val="1.0000000000000002E-2"/>
        <c:crossBetween val="midCat"/>
      </c:valAx>
      <c:valAx>
        <c:axId val="1387974639"/>
        <c:scaling>
          <c:logBase val="10"/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friction factor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2110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190500</xdr:colOff>
      <xdr:row>17</xdr:row>
      <xdr:rowOff>142875</xdr:rowOff>
    </xdr:from>
    <xdr:to>
      <xdr:col>21</xdr:col>
      <xdr:colOff>361950</xdr:colOff>
      <xdr:row>43</xdr:row>
      <xdr:rowOff>85724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333375</xdr:colOff>
          <xdr:row>1</xdr:row>
          <xdr:rowOff>152400</xdr:rowOff>
        </xdr:from>
        <xdr:to>
          <xdr:col>25</xdr:col>
          <xdr:colOff>152400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time_compare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561975</xdr:colOff>
      <xdr:row>0</xdr:row>
      <xdr:rowOff>133350</xdr:rowOff>
    </xdr:from>
    <xdr:to>
      <xdr:col>19</xdr:col>
      <xdr:colOff>514350</xdr:colOff>
      <xdr:row>17</xdr:row>
      <xdr:rowOff>9526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5629275" y="133350"/>
          <a:ext cx="6657975" cy="31146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1.554688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0.4921875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0.4375</a:t>
          </a: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without smoothing</a:t>
          </a:r>
          <a:r>
            <a:rPr lang="en-US" sz="1100" baseline="0">
              <a:latin typeface="Courier New" panose="02070309020205020404" pitchFamily="49" charset="0"/>
              <a:cs typeface="Courier New" panose="02070309020205020404" pitchFamily="49" charset="0"/>
            </a:rPr>
            <a:t> </a:t>
          </a:r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time to calc comparison for friction factor. 1000000 runs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0. Colebrook equation solution.            time = 1.585938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1. Drew correlation smooth pipe.           time = 0.2421875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2. Zigrang and Sylvester  1982.            time = 0.5078125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3. Brkic, Dejan. W function 2011.          time = 0.484375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with transition  time = 0.7890625</a:t>
          </a:r>
        </a:p>
        <a:p>
          <a:r>
            <a:rPr lang="en-US" sz="1100">
              <a:latin typeface="Courier New" panose="02070309020205020404" pitchFamily="49" charset="0"/>
              <a:cs typeface="Courier New" panose="02070309020205020404" pitchFamily="49" charset="0"/>
            </a:rPr>
            <a:t>type = 4. Haaland, SE 1983.TUFFP                  time = 0.453125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run macro time_compare and read result in immediate window</a:t>
          </a:r>
          <a:endParaRPr lang="ru-RU">
            <a:effectLst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  <a:p>
          <a:endParaRPr lang="en-US" sz="1100">
            <a:latin typeface="Courier New" panose="02070309020205020404" pitchFamily="49" charset="0"/>
            <a:cs typeface="Courier New" panose="02070309020205020404" pitchFamily="49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B473B-5C44-4103-8213-A3E6627D76D4}">
  <sheetPr codeName="Лист1"/>
  <dimension ref="A1:H39"/>
  <sheetViews>
    <sheetView tabSelected="1" workbookViewId="0">
      <selection activeCell="F7" sqref="F7"/>
    </sheetView>
  </sheetViews>
  <sheetFormatPr defaultRowHeight="15" x14ac:dyDescent="0.25"/>
  <cols>
    <col min="4" max="4" width="12" customWidth="1"/>
  </cols>
  <sheetData>
    <row r="1" spans="1:8" x14ac:dyDescent="0.25">
      <c r="A1" s="2" t="s">
        <v>4</v>
      </c>
      <c r="F1" t="s">
        <v>5</v>
      </c>
      <c r="G1" t="str">
        <f>[1]!unf_Version()</f>
        <v>7.23</v>
      </c>
    </row>
    <row r="2" spans="1:8" x14ac:dyDescent="0.25">
      <c r="A2" t="s">
        <v>6</v>
      </c>
    </row>
    <row r="6" spans="1:8" x14ac:dyDescent="0.25">
      <c r="D6" s="3" t="s">
        <v>8</v>
      </c>
      <c r="E6">
        <v>1.5</v>
      </c>
    </row>
    <row r="7" spans="1:8" x14ac:dyDescent="0.25">
      <c r="D7" s="3" t="s">
        <v>7</v>
      </c>
      <c r="E7">
        <v>5</v>
      </c>
    </row>
    <row r="8" spans="1:8" x14ac:dyDescent="0.25">
      <c r="D8" t="s">
        <v>9</v>
      </c>
      <c r="E8">
        <v>0</v>
      </c>
    </row>
    <row r="9" spans="1:8" x14ac:dyDescent="0.25">
      <c r="E9" t="s">
        <v>10</v>
      </c>
    </row>
    <row r="13" spans="1:8" x14ac:dyDescent="0.25">
      <c r="C13" t="s">
        <v>1</v>
      </c>
      <c r="D13">
        <v>1E-4</v>
      </c>
      <c r="E13">
        <f>D13*10</f>
        <v>1E-3</v>
      </c>
      <c r="F13">
        <f>E13*10</f>
        <v>0.01</v>
      </c>
      <c r="G13">
        <f>F13*10</f>
        <v>0.1</v>
      </c>
      <c r="H13">
        <f>G13*10</f>
        <v>1</v>
      </c>
    </row>
    <row r="14" spans="1:8" x14ac:dyDescent="0.25">
      <c r="C14" t="s">
        <v>2</v>
      </c>
      <c r="D14">
        <v>62</v>
      </c>
    </row>
    <row r="15" spans="1:8" x14ac:dyDescent="0.25">
      <c r="C15" t="s">
        <v>3</v>
      </c>
      <c r="D15">
        <f>D13/$D$14</f>
        <v>1.6129032258064516E-6</v>
      </c>
      <c r="E15">
        <f>E13/$D$14</f>
        <v>1.6129032258064517E-5</v>
      </c>
      <c r="F15">
        <f>F13/$D$14</f>
        <v>1.6129032258064516E-4</v>
      </c>
      <c r="G15">
        <f>G13/$D$14</f>
        <v>1.6129032258064516E-3</v>
      </c>
      <c r="H15">
        <f>H13/$D$14</f>
        <v>1.6129032258064516E-2</v>
      </c>
    </row>
    <row r="16" spans="1:8" x14ac:dyDescent="0.25">
      <c r="C16" t="s">
        <v>0</v>
      </c>
      <c r="D16" t="str">
        <f>"ed="&amp;TEXT(D15,"0.00E+00")</f>
        <v>ed=1.61E-06</v>
      </c>
      <c r="E16" t="str">
        <f t="shared" ref="E16:H16" si="0">"ed="&amp;TEXT(E15,"0.00E+00")</f>
        <v>ed=1.61E-05</v>
      </c>
      <c r="F16" t="str">
        <f t="shared" si="0"/>
        <v>ed=1.61E-04</v>
      </c>
      <c r="G16" t="str">
        <f t="shared" si="0"/>
        <v>ed=1.61E-03</v>
      </c>
      <c r="H16" t="str">
        <f t="shared" si="0"/>
        <v>ed=1.61E-02</v>
      </c>
    </row>
    <row r="17" spans="3:8" x14ac:dyDescent="0.25">
      <c r="C17" s="1">
        <v>900</v>
      </c>
      <c r="D17" cm="1">
        <f t="array" ref="D17">unf_friction_factor($C17,D$15,type,smooth_transition)</f>
        <v>7.1111111111111111E-2</v>
      </c>
      <c r="E17" cm="1">
        <f t="array" ref="E17">unf_friction_factor($C17,E$15,type,smooth_transition)</f>
        <v>7.1111111111111111E-2</v>
      </c>
      <c r="F17" cm="1">
        <f t="array" ref="F17">unf_friction_factor($C17,F$15,type,smooth_transition)</f>
        <v>7.1111111111111111E-2</v>
      </c>
      <c r="G17" cm="1">
        <f t="array" ref="G17">unf_friction_factor($C17,G$15,type,smooth_transition)</f>
        <v>7.1111111111111111E-2</v>
      </c>
      <c r="H17" cm="1">
        <f t="array" ref="H17">unf_friction_factor($C17,H$15,type,smooth_transition)</f>
        <v>7.1111111111111111E-2</v>
      </c>
    </row>
    <row r="18" spans="3:8" x14ac:dyDescent="0.25">
      <c r="C18" s="1">
        <v>1000</v>
      </c>
      <c r="D18" cm="1">
        <f t="array" ref="D18">unf_friction_factor($C18,D$15,type,smooth_transition)</f>
        <v>6.4000000000000001E-2</v>
      </c>
      <c r="E18" cm="1">
        <f t="array" ref="E18">unf_friction_factor($C18,E$15,type,smooth_transition)</f>
        <v>6.4000000000000001E-2</v>
      </c>
      <c r="F18" cm="1">
        <f t="array" ref="F18">unf_friction_factor($C18,F$15,type,smooth_transition)</f>
        <v>6.4000000000000001E-2</v>
      </c>
      <c r="G18" cm="1">
        <f t="array" ref="G18">unf_friction_factor($C18,G$15,type,smooth_transition)</f>
        <v>6.4000000000000001E-2</v>
      </c>
      <c r="H18" cm="1">
        <f t="array" ref="H18">unf_friction_factor($C18,H$15,type,smooth_transition)</f>
        <v>6.4000000000000001E-2</v>
      </c>
    </row>
    <row r="19" spans="3:8" x14ac:dyDescent="0.25">
      <c r="C19" s="1">
        <f t="shared" ref="C19:C39" si="1">C18*mult</f>
        <v>1500</v>
      </c>
      <c r="D19" cm="1">
        <f t="array" ref="D19">unf_friction_factor($C19,D$15,type,smooth_transition)</f>
        <v>4.2666666666666665E-2</v>
      </c>
      <c r="E19" cm="1">
        <f t="array" ref="E19">unf_friction_factor($C19,E$15,type,smooth_transition)</f>
        <v>4.2666666666666665E-2</v>
      </c>
      <c r="F19" cm="1">
        <f t="array" ref="F19">unf_friction_factor($C19,F$15,type,smooth_transition)</f>
        <v>4.2666666666666665E-2</v>
      </c>
      <c r="G19" cm="1">
        <f t="array" ref="G19">unf_friction_factor($C19,G$15,type,smooth_transition)</f>
        <v>4.2666666666666665E-2</v>
      </c>
      <c r="H19" cm="1">
        <f t="array" ref="H19">unf_friction_factor($C19,H$15,type,smooth_transition)</f>
        <v>4.2666666666666665E-2</v>
      </c>
    </row>
    <row r="20" spans="3:8" x14ac:dyDescent="0.25">
      <c r="C20" s="1">
        <f t="shared" si="1"/>
        <v>2250</v>
      </c>
      <c r="D20" cm="1">
        <f t="array" ref="D20">unf_friction_factor($C20,D$15,type,smooth_transition)</f>
        <v>4.8860626927509518E-2</v>
      </c>
      <c r="E20" cm="1">
        <f t="array" ref="E20">unf_friction_factor($C20,E$15,type,smooth_transition)</f>
        <v>4.8866321487458869E-2</v>
      </c>
      <c r="F20" cm="1">
        <f t="array" ref="F20">unf_friction_factor($C20,F$15,type,smooth_transition)</f>
        <v>4.893959914302682E-2</v>
      </c>
      <c r="G20" cm="1">
        <f t="array" ref="G20">unf_friction_factor($C20,G$15,type,smooth_transition)</f>
        <v>4.9870352176517432E-2</v>
      </c>
      <c r="H20" cm="1">
        <f t="array" ref="H20">unf_friction_factor($C20,H$15,type,smooth_transition)</f>
        <v>6.0295387275807522E-2</v>
      </c>
    </row>
    <row r="21" spans="3:8" x14ac:dyDescent="0.25">
      <c r="C21" s="1">
        <f t="shared" si="1"/>
        <v>3375</v>
      </c>
      <c r="D21" cm="1">
        <f t="array" ref="D21">unf_friction_factor($C21,D$15,type,smooth_transition)</f>
        <v>4.2671920332344092E-2</v>
      </c>
      <c r="E21" cm="1">
        <f t="array" ref="E21">unf_friction_factor($C21,E$15,type,smooth_transition)</f>
        <v>4.2678891389403353E-2</v>
      </c>
      <c r="F21" cm="1">
        <f t="array" ref="F21">unf_friction_factor($C21,F$15,type,smooth_transition)</f>
        <v>4.2768534078627567E-2</v>
      </c>
      <c r="G21" cm="1">
        <f t="array" ref="G21">unf_friction_factor($C21,G$15,type,smooth_transition)</f>
        <v>4.3897763571951506E-2</v>
      </c>
      <c r="H21" cm="1">
        <f t="array" ref="H21">unf_friction_factor($C21,H$15,type,smooth_transition)</f>
        <v>5.5772392572569295E-2</v>
      </c>
    </row>
    <row r="22" spans="3:8" x14ac:dyDescent="0.25">
      <c r="C22" s="1">
        <f t="shared" si="1"/>
        <v>5062.5</v>
      </c>
      <c r="D22" cm="1">
        <f t="array" ref="D22">unf_friction_factor($C22,D$15,type,smooth_transition)</f>
        <v>3.7588737379496744E-2</v>
      </c>
      <c r="E22" cm="1">
        <f t="array" ref="E22">unf_friction_factor($C22,E$15,type,smooth_transition)</f>
        <v>3.7597381499215765E-2</v>
      </c>
      <c r="F22" cm="1">
        <f t="array" ref="F22">unf_friction_factor($C22,F$15,type,smooth_transition)</f>
        <v>3.7708421415840736E-2</v>
      </c>
      <c r="G22" cm="1">
        <f t="array" ref="G22">unf_friction_factor($C22,G$15,type,smooth_transition)</f>
        <v>3.9089805755997215E-2</v>
      </c>
      <c r="H22" cm="1">
        <f t="array" ref="H22">unf_friction_factor($C22,H$15,type,smooth_transition)</f>
        <v>5.2494522638638554E-2</v>
      </c>
    </row>
    <row r="23" spans="3:8" x14ac:dyDescent="0.25">
      <c r="C23" s="1">
        <f t="shared" si="1"/>
        <v>7593.75</v>
      </c>
      <c r="D23" cm="1">
        <f t="array" ref="D23">unf_friction_factor($C23,D$15,type,smooth_transition)</f>
        <v>3.3362655701030905E-2</v>
      </c>
      <c r="E23" cm="1">
        <f t="array" ref="E23">unf_friction_factor($C23,E$15,type,smooth_transition)</f>
        <v>3.3373496245333048E-2</v>
      </c>
      <c r="F23" cm="1">
        <f t="array" ref="F23">unf_friction_factor($C23,F$15,type,smooth_transition)</f>
        <v>3.3512524515453772E-2</v>
      </c>
      <c r="G23" cm="1">
        <f t="array" ref="G23">unf_friction_factor($C23,G$15,type,smooth_transition)</f>
        <v>3.5210272247749405E-2</v>
      </c>
      <c r="H23" cm="1">
        <f t="array" ref="H23">unf_friction_factor($C23,H$15,type,smooth_transition)</f>
        <v>5.0154468272417992E-2</v>
      </c>
    </row>
    <row r="24" spans="3:8" x14ac:dyDescent="0.25">
      <c r="C24" s="1">
        <f t="shared" si="1"/>
        <v>11390.625</v>
      </c>
      <c r="D24" cm="1">
        <f t="array" ref="D24">unf_friction_factor($C24,D$15,type,smooth_transition)</f>
        <v>2.9811316016072759E-2</v>
      </c>
      <c r="E24" cm="1">
        <f t="array" ref="E24">unf_friction_factor($C24,E$15,type,smooth_transition)</f>
        <v>2.982504767847902E-2</v>
      </c>
      <c r="F24" cm="1">
        <f t="array" ref="F24">unf_friction_factor($C24,F$15,type,smooth_transition)</f>
        <v>3.0000715228768175E-2</v>
      </c>
      <c r="G24" cm="1">
        <f t="array" ref="G24">unf_friction_factor($C24,G$15,type,smooth_transition)</f>
        <v>3.2088753753209999E-2</v>
      </c>
      <c r="H24" cm="1">
        <f t="array" ref="H24">unf_friction_factor($C24,H$15,type,smooth_transition)</f>
        <v>4.8508734960981896E-2</v>
      </c>
    </row>
    <row r="25" spans="3:8" x14ac:dyDescent="0.25">
      <c r="C25" s="1">
        <f t="shared" si="1"/>
        <v>17085.9375</v>
      </c>
      <c r="D25" cm="1">
        <f t="array" ref="D25">unf_friction_factor($C25,D$15,type,smooth_transition)</f>
        <v>2.6798413554177936E-2</v>
      </c>
      <c r="E25" cm="1">
        <f t="array" ref="E25">unf_friction_factor($C25,E$15,type,smooth_transition)</f>
        <v>2.6815962592808905E-2</v>
      </c>
      <c r="F25" cm="1">
        <f t="array" ref="F25">unf_friction_factor($C25,F$15,type,smooth_transition)</f>
        <v>2.7039612578946163E-2</v>
      </c>
      <c r="G25" cm="1">
        <f t="array" ref="G25">unf_friction_factor($C25,G$15,type,smooth_transition)</f>
        <v>2.9598312851179628E-2</v>
      </c>
      <c r="H25" cm="1">
        <f t="array" ref="H25">unf_friction_factor($C25,H$15,type,smooth_transition)</f>
        <v>4.7366668186188739E-2</v>
      </c>
    </row>
    <row r="26" spans="3:8" x14ac:dyDescent="0.25">
      <c r="C26" s="1">
        <f t="shared" si="1"/>
        <v>25628.90625</v>
      </c>
      <c r="D26" cm="1">
        <f t="array" ref="D26">unf_friction_factor($C26,D$15,type,smooth_transition)</f>
        <v>2.4220420258584226E-2</v>
      </c>
      <c r="E26" cm="1">
        <f t="array" ref="E26">unf_friction_factor($C26,E$15,type,smooth_transition)</f>
        <v>2.4243026071905285E-2</v>
      </c>
      <c r="F26" cm="1">
        <f t="array" ref="F26">unf_friction_factor($C26,F$15,type,smooth_transition)</f>
        <v>2.4529464210076672E-2</v>
      </c>
      <c r="G26" cm="1">
        <f t="array" ref="G26">unf_friction_factor($C26,G$15,type,smooth_transition)</f>
        <v>2.7639213486018176E-2</v>
      </c>
      <c r="H26" cm="1">
        <f t="array" ref="H26">unf_friction_factor($C26,H$15,type,smooth_transition)</f>
        <v>4.6582783221530991E-2</v>
      </c>
    </row>
    <row r="27" spans="3:8" x14ac:dyDescent="0.25">
      <c r="C27" s="1">
        <f t="shared" si="1"/>
        <v>38443.359375</v>
      </c>
      <c r="D27" cm="1">
        <f t="array" ref="D27">unf_friction_factor($C27,D$15,type,smooth_transition)</f>
        <v>2.1997569914383053E-2</v>
      </c>
      <c r="E27" cm="1">
        <f t="array" ref="E27">unf_friction_factor($C27,E$15,type,smooth_transition)</f>
        <v>2.202689543519841E-2</v>
      </c>
      <c r="F27" cm="1">
        <f t="array" ref="F27">unf_friction_factor($C27,F$15,type,smooth_transition)</f>
        <v>2.2395270758253271E-2</v>
      </c>
      <c r="G27" cm="1">
        <f t="array" ref="G27">unf_friction_factor($C27,G$15,type,smooth_transition)</f>
        <v>2.6127164828728174E-2</v>
      </c>
      <c r="H27" cm="1">
        <f t="array" ref="H27">unf_friction_factor($C27,H$15,type,smooth_transition)</f>
        <v>4.6049298353237907E-2</v>
      </c>
    </row>
    <row r="28" spans="3:8" x14ac:dyDescent="0.25">
      <c r="C28" s="1">
        <f t="shared" si="1"/>
        <v>57665.0390625</v>
      </c>
      <c r="D28" cm="1">
        <f t="array" ref="D28">unf_friction_factor($C28,D$15,type,smooth_transition)</f>
        <v>2.0067611831664854E-2</v>
      </c>
      <c r="E28" cm="1">
        <f t="array" ref="E28">unf_friction_factor($C28,E$15,type,smooth_transition)</f>
        <v>2.0105892443619759E-2</v>
      </c>
      <c r="F28" cm="1">
        <f t="array" ref="F28">unf_friction_factor($C28,F$15,type,smooth_transition)</f>
        <v>2.0580592182468611E-2</v>
      </c>
      <c r="G28" cm="1">
        <f t="array" ref="G28">unf_friction_factor($C28,G$15,type,smooth_transition)</f>
        <v>2.4985982584453188E-2</v>
      </c>
      <c r="H28" cm="1">
        <f t="array" ref="H28">unf_friction_factor($C28,H$15,type,smooth_transition)</f>
        <v>4.5688502223512756E-2</v>
      </c>
    </row>
    <row r="29" spans="3:8" x14ac:dyDescent="0.25">
      <c r="C29" s="1">
        <f t="shared" si="1"/>
        <v>86497.55859375</v>
      </c>
      <c r="D29" cm="1">
        <f t="array" ref="D29">unf_friction_factor($C29,D$15,type,smooth_transition)</f>
        <v>1.8381403619965361E-2</v>
      </c>
      <c r="E29" cm="1">
        <f t="array" ref="E29">unf_friction_factor($C29,E$15,type,smooth_transition)</f>
        <v>1.8431646754742539E-2</v>
      </c>
      <c r="F29" cm="1">
        <f t="array" ref="F29">unf_friction_factor($C29,F$15,type,smooth_transition)</f>
        <v>1.9042991248976293E-2</v>
      </c>
      <c r="G29" cm="1">
        <f t="array" ref="G29">unf_friction_factor($C29,G$15,type,smooth_transition)</f>
        <v>2.4144716660911263E-2</v>
      </c>
      <c r="H29" cm="1">
        <f t="array" ref="H29">unf_friction_factor($C29,H$15,type,smooth_transition)</f>
        <v>4.5445591562135471E-2</v>
      </c>
    </row>
    <row r="30" spans="3:8" x14ac:dyDescent="0.25">
      <c r="C30" s="1">
        <f t="shared" si="1"/>
        <v>129746.337890625</v>
      </c>
      <c r="D30" cm="1">
        <f t="array" ref="D30">unf_friction_factor($C30,D$15,type,smooth_transition)</f>
        <v>1.6899750974554359E-2</v>
      </c>
      <c r="E30" cm="1">
        <f t="array" ref="E30">unf_friction_factor($C30,E$15,type,smooth_transition)</f>
        <v>1.6966000677488519E-2</v>
      </c>
      <c r="F30" cm="1">
        <f t="array" ref="F30">unf_friction_factor($C30,F$15,type,smooth_transition)</f>
        <v>1.7750361750285989E-2</v>
      </c>
      <c r="G30" cm="1">
        <f t="array" ref="G30">unf_friction_factor($C30,G$15,type,smooth_transition)</f>
        <v>2.3538286513789471E-2</v>
      </c>
      <c r="H30" cm="1">
        <f t="array" ref="H30">unf_friction_factor($C30,H$15,type,smooth_transition)</f>
        <v>4.5282563393089767E-2</v>
      </c>
    </row>
    <row r="31" spans="3:8" x14ac:dyDescent="0.25">
      <c r="C31" s="1">
        <f t="shared" si="1"/>
        <v>194619.5068359375</v>
      </c>
      <c r="D31" cm="1">
        <f t="array" ref="D31">unf_friction_factor($C31,D$15,type,smooth_transition)</f>
        <v>1.559110920175482E-2</v>
      </c>
      <c r="E31" cm="1">
        <f t="array" ref="E31">unf_friction_factor($C31,E$15,type,smooth_transition)</f>
        <v>1.5678790430919517E-2</v>
      </c>
      <c r="F31" cm="1">
        <f t="array" ref="F31">unf_friction_factor($C31,F$15,type,smooth_transition)</f>
        <v>1.6677607515187244E-2</v>
      </c>
      <c r="G31" cm="1">
        <f t="array" ref="G31">unf_friction_factor($C31,G$15,type,smooth_transition)</f>
        <v>2.3109635804600567E-2</v>
      </c>
      <c r="H31" cm="1">
        <f t="array" ref="H31">unf_friction_factor($C31,H$15,type,smooth_transition)</f>
        <v>4.5173385278098499E-2</v>
      </c>
    </row>
    <row r="32" spans="3:8" x14ac:dyDescent="0.25">
      <c r="C32" s="1">
        <f t="shared" si="1"/>
        <v>291929.26025390625</v>
      </c>
      <c r="D32" cm="1">
        <f t="array" ref="D32">unf_friction_factor($C32,D$15,type,smooth_transition)</f>
        <v>1.4429891022250316E-2</v>
      </c>
      <c r="E32" cm="1">
        <f t="array" ref="E32">unf_friction_factor($C32,E$15,type,smooth_transition)</f>
        <v>1.454624448570874E-2</v>
      </c>
      <c r="F32" cm="1">
        <f t="array" ref="F32">unf_friction_factor($C32,F$15,type,smooth_transition)</f>
        <v>1.5803421592779646E-2</v>
      </c>
      <c r="G32" cm="1">
        <f t="array" ref="G32">unf_friction_factor($C32,G$15,type,smooth_transition)</f>
        <v>2.2811465534578471E-2</v>
      </c>
      <c r="H32" cm="1">
        <f t="array" ref="H32">unf_friction_factor($C32,H$15,type,smooth_transition)</f>
        <v>4.5100378096083818E-2</v>
      </c>
    </row>
    <row r="33" spans="3:8" x14ac:dyDescent="0.25">
      <c r="C33" s="1">
        <f t="shared" si="1"/>
        <v>437893.89038085938</v>
      </c>
      <c r="D33" cm="1">
        <f t="array" ref="D33">unf_friction_factor($C33,D$15,type,smooth_transition)</f>
        <v>1.3395208478915057E-2</v>
      </c>
      <c r="E33" cm="1">
        <f t="array" ref="E33">unf_friction_factor($C33,E$15,type,smooth_transition)</f>
        <v>1.3549813232661549E-2</v>
      </c>
      <c r="F33" cm="1">
        <f t="array" ref="F33">unf_friction_factor($C33,F$15,type,smooth_transition)</f>
        <v>1.5107334110305636E-2</v>
      </c>
      <c r="G33" cm="1">
        <f t="array" ref="G33">unf_friction_factor($C33,G$15,type,smooth_transition)</f>
        <v>2.2606609329448562E-2</v>
      </c>
      <c r="H33" cm="1">
        <f t="array" ref="H33">unf_friction_factor($C33,H$15,type,smooth_transition)</f>
        <v>4.5051607229389903E-2</v>
      </c>
    </row>
    <row r="34" spans="3:8" x14ac:dyDescent="0.25">
      <c r="C34" s="1">
        <f t="shared" si="1"/>
        <v>656840.83557128906</v>
      </c>
      <c r="D34" cm="1">
        <f t="array" ref="D34">unf_friction_factor($C34,D$15,type,smooth_transition)</f>
        <v>1.2469931304470251E-2</v>
      </c>
      <c r="E34" cm="1">
        <f t="array" ref="E34">unf_friction_factor($C34,E$15,type,smooth_transition)</f>
        <v>1.2675280828799351E-2</v>
      </c>
      <c r="F34" cm="1">
        <f t="array" ref="F34">unf_friction_factor($C34,F$15,type,smooth_transition)</f>
        <v>1.4567612623334026E-2</v>
      </c>
      <c r="G34" cm="1">
        <f t="array" ref="G34">unf_friction_factor($C34,G$15,type,smooth_transition)</f>
        <v>2.2467147070986439E-2</v>
      </c>
      <c r="H34" cm="1">
        <f t="array" ref="H34">unf_friction_factor($C34,H$15,type,smooth_transition)</f>
        <v>4.5019048881317428E-2</v>
      </c>
    </row>
    <row r="35" spans="3:8" x14ac:dyDescent="0.25">
      <c r="C35" s="1">
        <f t="shared" si="1"/>
        <v>985261.25335693359</v>
      </c>
      <c r="D35" cm="1">
        <f t="array" ref="D35">unf_friction_factor($C35,D$15,type,smooth_transition)</f>
        <v>1.1639980435273114E-2</v>
      </c>
      <c r="E35" cm="1">
        <f t="array" ref="E35">unf_friction_factor($C35,E$15,type,smooth_transition)</f>
        <v>1.1912018328253586E-2</v>
      </c>
      <c r="F35" cm="1">
        <f t="array" ref="F35">unf_friction_factor($C35,F$15,type,smooth_transition)</f>
        <v>1.4160643985322159E-2</v>
      </c>
      <c r="G35" cm="1">
        <f t="array" ref="G35">unf_friction_factor($C35,G$15,type,smooth_transition)</f>
        <v>2.2372824972643771E-2</v>
      </c>
      <c r="H35" cm="1">
        <f t="array" ref="H35">unf_friction_factor($C35,H$15,type,smooth_transition)</f>
        <v>4.4997323490383594E-2</v>
      </c>
    </row>
    <row r="36" spans="3:8" x14ac:dyDescent="0.25">
      <c r="C36" s="1">
        <f t="shared" si="1"/>
        <v>1477891.8800354004</v>
      </c>
      <c r="D36" cm="1">
        <f t="array" ref="D36">unf_friction_factor($C36,D$15,type,smooth_transition)</f>
        <v>1.0893799808506235E-2</v>
      </c>
      <c r="E36" cm="1">
        <f t="array" ref="E36">unf_friction_factor($C36,E$15,type,smooth_transition)</f>
        <v>1.1252228844171607E-2</v>
      </c>
      <c r="F36" cm="1">
        <f t="array" ref="F36">unf_friction_factor($C36,F$15,type,smooth_transition)</f>
        <v>1.3861884373485045E-2</v>
      </c>
      <c r="G36" cm="1">
        <f t="array" ref="G36">unf_friction_factor($C36,G$15,type,smooth_transition)</f>
        <v>2.2309325139452996E-2</v>
      </c>
      <c r="H36" cm="1">
        <f t="array" ref="H36">unf_friction_factor($C36,H$15,type,smooth_transition)</f>
        <v>4.4982831062493865E-2</v>
      </c>
    </row>
    <row r="37" spans="3:8" x14ac:dyDescent="0.25">
      <c r="C37" s="1">
        <f t="shared" si="1"/>
        <v>2216837.8200531006</v>
      </c>
      <c r="D37" cm="1">
        <f t="array" ref="D37">unf_friction_factor($C37,D$15,type,smooth_transition)</f>
        <v>1.0221965810075151E-2</v>
      </c>
      <c r="E37" cm="1">
        <f t="array" ref="E37">unf_friction_factor($C37,E$15,type,smooth_transition)</f>
        <v>1.0690037813868784E-2</v>
      </c>
      <c r="F37" cm="1">
        <f t="array" ref="F37">unf_friction_factor($C37,F$15,type,smooth_transition)</f>
        <v>1.3647702910241279E-2</v>
      </c>
      <c r="G37" cm="1">
        <f t="array" ref="G37">unf_friction_factor($C37,G$15,type,smooth_transition)</f>
        <v>2.226671097182099E-2</v>
      </c>
      <c r="H37" cm="1">
        <f t="array" ref="H37">unf_friction_factor($C37,H$15,type,smooth_transition)</f>
        <v>4.497316551099486E-2</v>
      </c>
    </row>
    <row r="38" spans="3:8" x14ac:dyDescent="0.25">
      <c r="C38" s="1">
        <f t="shared" si="1"/>
        <v>3325256.7300796509</v>
      </c>
      <c r="D38" cm="1">
        <f t="array" ref="D38">unf_friction_factor($C38,D$15,type,smooth_transition)</f>
        <v>9.6169035474823888E-3</v>
      </c>
      <c r="E38" cm="1">
        <f t="array" ref="E38">unf_friction_factor($C38,E$15,type,smooth_transition)</f>
        <v>1.0220345111375108E-2</v>
      </c>
      <c r="F38" cm="1">
        <f t="array" ref="F38">unf_friction_factor($C38,F$15,type,smooth_transition)</f>
        <v>1.3497134551445333E-2</v>
      </c>
      <c r="G38" cm="1">
        <f t="array" ref="G38">unf_friction_factor($C38,G$15,type,smooth_transition)</f>
        <v>2.2238174804128121E-2</v>
      </c>
      <c r="H38" cm="1">
        <f t="array" ref="H38">unf_friction_factor($C38,H$15,type,smooth_transition)</f>
        <v>4.4966720060043659E-2</v>
      </c>
    </row>
    <row r="39" spans="3:8" x14ac:dyDescent="0.25">
      <c r="C39" s="1">
        <f t="shared" si="1"/>
        <v>4987885.0951194763</v>
      </c>
      <c r="D39" cm="1">
        <f t="array" ref="D39">unf_friction_factor($C39,D$15,type,smooth_transition)</f>
        <v>9.0726827965923601E-3</v>
      </c>
      <c r="E39" cm="1">
        <f t="array" ref="E39">unf_friction_factor($C39,E$15,type,smooth_transition)</f>
        <v>9.837528877643064E-3</v>
      </c>
      <c r="F39" cm="1">
        <f t="array" ref="F39">unf_friction_factor($C39,F$15,type,smooth_transition)</f>
        <v>1.3392890892412601E-2</v>
      </c>
      <c r="G39" cm="1">
        <f t="array" ref="G39">unf_friction_factor($C39,G$15,type,smooth_transition)</f>
        <v>2.2219093809473584E-2</v>
      </c>
      <c r="H39" cm="1">
        <f t="array" ref="H39">unf_friction_factor($C39,H$15,type,smooth_transition)</f>
        <v>4.4962422314394845E-2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ime_compare">
                <anchor moveWithCells="1" sizeWithCells="1">
                  <from>
                    <xdr:col>20</xdr:col>
                    <xdr:colOff>333375</xdr:colOff>
                    <xdr:row>1</xdr:row>
                    <xdr:rowOff>152400</xdr:rowOff>
                  </from>
                  <to>
                    <xdr:col>25</xdr:col>
                    <xdr:colOff>152400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3</vt:i4>
      </vt:variant>
    </vt:vector>
  </HeadingPairs>
  <TitlesOfParts>
    <vt:vector size="4" baseType="lpstr">
      <vt:lpstr>Лист1</vt:lpstr>
      <vt:lpstr>mult</vt:lpstr>
      <vt:lpstr>smooth_transition</vt:lpstr>
      <vt:lpstr>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2020-05-03T17:56:56Z</dcterms:created>
  <dcterms:modified xsi:type="dcterms:W3CDTF">2020-05-07T06:55:51Z</dcterms:modified>
</cp:coreProperties>
</file>