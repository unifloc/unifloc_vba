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B476EAE-D819-4424-AAAE-7B838BF2C936}" xr6:coauthVersionLast="45" xr6:coauthVersionMax="45" xr10:uidLastSave="{00000000-0000-0000-0000-000000000000}"/>
  <bookViews>
    <workbookView xWindow="2505" yWindow="2325" windowWidth="28800" windowHeight="15435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E32" i="1" a="1"/>
  <c r="H23" i="1" a="1"/>
  <c r="H25" i="1" a="1"/>
  <c r="E28" i="1" a="1"/>
  <c r="G17" i="1" a="1"/>
  <c r="F36" i="1" a="1"/>
  <c r="F17" i="1" a="1"/>
  <c r="F28" i="1" a="1"/>
  <c r="D24" i="1" a="1"/>
  <c r="F26" i="1" a="1"/>
  <c r="H37" i="1" a="1"/>
  <c r="G31" i="1" a="1"/>
  <c r="G32" i="1" a="1"/>
  <c r="E27" i="1" a="1"/>
  <c r="G25" i="1" a="1"/>
  <c r="E17" i="1" a="1"/>
  <c r="G24" i="1" a="1"/>
  <c r="D31" i="1" a="1"/>
  <c r="F19" i="1" a="1"/>
  <c r="E29" i="1" a="1"/>
  <c r="E20" i="1" a="1"/>
  <c r="D29" i="1" a="1"/>
  <c r="E30" i="1" a="1"/>
  <c r="G23" i="1" a="1"/>
  <c r="F20" i="1" a="1"/>
  <c r="E34" i="1" a="1"/>
  <c r="G30" i="1" a="1"/>
  <c r="E37" i="1" a="1"/>
  <c r="D32" i="1" a="1"/>
  <c r="G20" i="1" a="1"/>
  <c r="D26" i="1" a="1"/>
  <c r="E21" i="1" a="1"/>
  <c r="D38" i="1" a="1"/>
  <c r="F32" i="1" a="1"/>
  <c r="F34" i="1" a="1"/>
  <c r="H17" i="1" a="1"/>
  <c r="D20" i="1" a="1"/>
  <c r="D21" i="1" a="1"/>
  <c r="H32" i="1" a="1"/>
  <c r="F27" i="1" a="1"/>
  <c r="G1" i="1"/>
  <c r="G36" i="1" a="1"/>
  <c r="H36" i="1" a="1"/>
  <c r="H20" i="1" a="1"/>
  <c r="D22" i="1" a="1"/>
  <c r="H31" i="1" a="1"/>
  <c r="D33" i="1" a="1"/>
  <c r="G22" i="1" a="1"/>
  <c r="D30" i="1" a="1"/>
  <c r="D37" i="1" a="1"/>
  <c r="E18" i="1" a="1"/>
  <c r="G28" i="1" a="1"/>
  <c r="G35" i="1" a="1"/>
  <c r="G39" i="1" a="1"/>
  <c r="D19" i="1" a="1"/>
  <c r="F37" i="1" a="1"/>
  <c r="H29" i="1" a="1"/>
  <c r="F24" i="1" a="1"/>
  <c r="F30" i="1" a="1"/>
  <c r="H28" i="1" a="1"/>
  <c r="D23" i="1" a="1"/>
  <c r="F25" i="1" a="1"/>
  <c r="E31" i="1" a="1"/>
  <c r="G18" i="1" a="1"/>
  <c r="F35" i="1" a="1"/>
  <c r="D36" i="1" a="1"/>
  <c r="F38" i="1" a="1"/>
  <c r="H27" i="1" a="1"/>
  <c r="E26" i="1" a="1"/>
  <c r="H38" i="1" a="1"/>
  <c r="G29" i="1" a="1"/>
  <c r="H22" i="1" a="1"/>
  <c r="H30" i="1" a="1"/>
  <c r="E36" i="1" a="1"/>
  <c r="H35" i="1" a="1"/>
  <c r="G27" i="1" a="1"/>
  <c r="E24" i="1" a="1"/>
  <c r="G19" i="1" a="1"/>
  <c r="G34" i="1" a="1"/>
  <c r="G33" i="1" a="1"/>
  <c r="E38" i="1" a="1"/>
  <c r="D34" i="1" a="1"/>
  <c r="H18" i="1" a="1"/>
  <c r="H33" i="1" a="1"/>
  <c r="G21" i="1" a="1"/>
  <c r="D17" i="1" a="1"/>
  <c r="F39" i="1" a="1"/>
  <c r="E39" i="1" a="1"/>
  <c r="E19" i="1" a="1"/>
  <c r="H21" i="1" a="1"/>
  <c r="H26" i="1" a="1"/>
  <c r="H24" i="1" a="1"/>
  <c r="F18" i="1" a="1"/>
  <c r="D28" i="1" a="1"/>
  <c r="G38" i="1" a="1"/>
  <c r="G26" i="1" a="1"/>
  <c r="F29" i="1" a="1"/>
  <c r="H19" i="1" a="1"/>
  <c r="E33" i="1" a="1"/>
  <c r="F33" i="1" a="1"/>
  <c r="G37" i="1" a="1"/>
  <c r="D35" i="1" a="1"/>
  <c r="E22" i="1" a="1"/>
  <c r="F23" i="1" a="1"/>
  <c r="H39" i="1" a="1"/>
  <c r="H34" i="1" a="1"/>
  <c r="F21" i="1" a="1"/>
  <c r="D39" i="1" a="1"/>
  <c r="D25" i="1" a="1"/>
  <c r="F22" i="1" a="1"/>
  <c r="E25" i="1" a="1"/>
  <c r="E23" i="1" a="1"/>
  <c r="D27" i="1" a="1"/>
  <c r="E35" i="1" a="1"/>
  <c r="D18" i="1" a="1"/>
  <c r="F31" i="1" a="1"/>
  <c r="H25" i="1" l="1"/>
  <c r="H34" i="1"/>
  <c r="F21" i="1"/>
  <c r="F38" i="1"/>
  <c r="F32" i="1"/>
  <c r="F26" i="1"/>
  <c r="E38" i="1"/>
  <c r="E35" i="1"/>
  <c r="E29" i="1"/>
  <c r="F36" i="1"/>
  <c r="E39" i="1"/>
  <c r="E33" i="1"/>
  <c r="E27" i="1"/>
  <c r="G22" i="1"/>
  <c r="E21" i="1"/>
  <c r="E18" i="1"/>
  <c r="H37" i="1"/>
  <c r="F24" i="1"/>
  <c r="E36" i="1"/>
  <c r="E30" i="1"/>
  <c r="G25" i="1"/>
  <c r="G19" i="1"/>
  <c r="H28" i="1"/>
  <c r="G34" i="1"/>
  <c r="G28" i="1"/>
  <c r="H38" i="1"/>
  <c r="H35" i="1"/>
  <c r="F34" i="1"/>
  <c r="F31" i="1"/>
  <c r="H29" i="1"/>
  <c r="F28" i="1"/>
  <c r="H26" i="1"/>
  <c r="F25" i="1"/>
  <c r="H23" i="1"/>
  <c r="H20" i="1"/>
  <c r="F19" i="1"/>
  <c r="H17" i="1"/>
  <c r="F27" i="1"/>
  <c r="G37" i="1"/>
  <c r="G31" i="1"/>
  <c r="E24" i="1"/>
  <c r="F37" i="1"/>
  <c r="H32" i="1"/>
  <c r="F22" i="1"/>
  <c r="H31" i="1"/>
  <c r="G38" i="1"/>
  <c r="E37" i="1"/>
  <c r="G35" i="1"/>
  <c r="G32" i="1"/>
  <c r="E31" i="1"/>
  <c r="G29" i="1"/>
  <c r="E28" i="1"/>
  <c r="G26" i="1"/>
  <c r="E25" i="1"/>
  <c r="G23" i="1"/>
  <c r="E22" i="1"/>
  <c r="G20" i="1"/>
  <c r="E19" i="1"/>
  <c r="G17" i="1"/>
  <c r="F30" i="1"/>
  <c r="E34" i="1"/>
  <c r="F18" i="1"/>
  <c r="F35" i="1"/>
  <c r="F29" i="1"/>
  <c r="H24" i="1"/>
  <c r="F23" i="1"/>
  <c r="F20" i="1"/>
  <c r="H18" i="1"/>
  <c r="F17" i="1"/>
  <c r="F33" i="1"/>
  <c r="H19" i="1"/>
  <c r="H36" i="1"/>
  <c r="H30" i="1"/>
  <c r="H21" i="1"/>
  <c r="F39" i="1"/>
  <c r="H22" i="1"/>
  <c r="H39" i="1"/>
  <c r="H33" i="1"/>
  <c r="H27" i="1"/>
  <c r="G39" i="1"/>
  <c r="G36" i="1"/>
  <c r="G33" i="1"/>
  <c r="E32" i="1"/>
  <c r="G30" i="1"/>
  <c r="G27" i="1"/>
  <c r="E26" i="1"/>
  <c r="G24" i="1"/>
  <c r="E23" i="1"/>
  <c r="G21" i="1"/>
  <c r="E20" i="1"/>
  <c r="G18" i="1"/>
  <c r="E17" i="1"/>
  <c r="D19" i="1"/>
  <c r="D36" i="1"/>
  <c r="D30" i="1"/>
  <c r="D24" i="1"/>
  <c r="D18" i="1"/>
  <c r="D35" i="1"/>
  <c r="D22" i="1"/>
  <c r="D39" i="1"/>
  <c r="D27" i="1"/>
  <c r="D29" i="1"/>
  <c r="D28" i="1"/>
  <c r="D33" i="1"/>
  <c r="D21" i="1"/>
  <c r="D37" i="1"/>
  <c r="D38" i="1"/>
  <c r="D26" i="1"/>
  <c r="D23" i="1"/>
  <c r="D34" i="1"/>
  <c r="D32" i="1"/>
  <c r="D20" i="1"/>
  <c r="D25" i="1"/>
  <c r="D31" i="1"/>
  <c r="D17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<sst xmlns="http://schemas.openxmlformats.org/spreadsheetml/2006/main" count="11" uniqueCount="11">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</sst>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152400</xdr:rowOff>
        </xdr:from>
        <xdr:to>
          <xdr:col>25</xdr:col>
          <xdr:colOff>152400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workbookViewId="0">
      <selection activeCell="AA15" sqref="AA15"/>
    </sheetView>
  </sheetViews>
  <sheetFormatPr defaultRowHeight="15" x14ac:dyDescent="0.25"/>
  <cols>
    <col min="4" max="4" width="12" customWidth="1"/>
  </cols>
  <sheetData>
    <row r="1" spans="1:8" x14ac:dyDescent="0.25">
      <c r="A1" s="2" t="s">
        <v>4</v>
      </c>
      <c r="F1" t="s">
        <v>5</v>
      </c>
      <c r="G1" t="str">
        <f>[1]!unf_Version()</f>
        <v>7.25</v>
      </c>
    </row>
    <row r="2" spans="1:8" x14ac:dyDescent="0.25">
      <c r="A2" t="s">
        <v>6</v>
      </c>
    </row>
    <row r="6" spans="1:8" x14ac:dyDescent="0.25">
      <c r="D6" s="3" t="s">
        <v>8</v>
      </c>
      <c r="E6">
        <v>1.5</v>
      </c>
    </row>
    <row r="7" spans="1:8" x14ac:dyDescent="0.25">
      <c r="D7" s="3" t="s">
        <v>7</v>
      </c>
      <c r="E7">
        <v>5</v>
      </c>
    </row>
    <row r="8" spans="1:8" x14ac:dyDescent="0.25">
      <c r="D8" t="s">
        <v>9</v>
      </c>
      <c r="E8">
        <v>0</v>
      </c>
    </row>
    <row r="9" spans="1:8" x14ac:dyDescent="0.25">
      <c r="E9" t="s">
        <v>10</v>
      </c>
    </row>
    <row r="13" spans="1:8" x14ac:dyDescent="0.2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25">
      <c r="C14" t="s">
        <v>2</v>
      </c>
      <c r="D14">
        <v>62</v>
      </c>
    </row>
    <row r="15" spans="1:8" x14ac:dyDescent="0.2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2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25">
      <c r="C17" s="1">
        <v>900</v>
      </c>
      <c r="D17" cm="1">
        <f t="array" ref="D17">[1]!unf_friction_factor($C17,D$15,type,smooth_transition)</f>
        <v>7.1111111111111111E-2</v>
      </c>
      <c r="E17" cm="1">
        <f t="array" ref="E17">[1]!unf_friction_factor($C17,E$15,type,smooth_transition)</f>
        <v>7.1111111111111111E-2</v>
      </c>
      <c r="F17" cm="1">
        <f t="array" ref="F17">[1]!unf_friction_factor($C17,F$15,type,smooth_transition)</f>
        <v>7.1111111111111111E-2</v>
      </c>
      <c r="G17" cm="1">
        <f t="array" ref="G17">[1]!unf_friction_factor($C17,G$15,type,smooth_transition)</f>
        <v>7.1111111111111111E-2</v>
      </c>
      <c r="H17" cm="1">
        <f t="array" ref="H17">[1]!unf_friction_factor($C17,H$15,type,smooth_transition)</f>
        <v>7.1111111111111111E-2</v>
      </c>
    </row>
    <row r="18" spans="3:8" x14ac:dyDescent="0.25">
      <c r="C18" s="1">
        <v>1000</v>
      </c>
      <c r="D18" cm="1">
        <f t="array" ref="D18">[1]!unf_friction_factor($C18,D$15,type,smooth_transition)</f>
        <v>6.4000000000000001E-2</v>
      </c>
      <c r="E18" cm="1">
        <f t="array" ref="E18">[1]!unf_friction_factor($C18,E$15,type,smooth_transition)</f>
        <v>6.4000000000000001E-2</v>
      </c>
      <c r="F18" cm="1">
        <f t="array" ref="F18">[1]!unf_friction_factor($C18,F$15,type,smooth_transition)</f>
        <v>6.4000000000000001E-2</v>
      </c>
      <c r="G18" cm="1">
        <f t="array" ref="G18">[1]!unf_friction_factor($C18,G$15,type,smooth_transition)</f>
        <v>6.4000000000000001E-2</v>
      </c>
      <c r="H18" cm="1">
        <f t="array" ref="H18">[1]!unf_friction_factor($C18,H$15,type,smooth_transition)</f>
        <v>6.4000000000000001E-2</v>
      </c>
    </row>
    <row r="19" spans="3:8" x14ac:dyDescent="0.25">
      <c r="C19" s="1">
        <f t="shared" ref="C19:C39" si="1">C18*mult</f>
        <v>1500</v>
      </c>
      <c r="D19" cm="1">
        <f t="array" ref="D19">[1]!unf_friction_factor($C19,D$15,type,smooth_transition)</f>
        <v>4.2666666666666665E-2</v>
      </c>
      <c r="E19" cm="1">
        <f t="array" ref="E19">[1]!unf_friction_factor($C19,E$15,type,smooth_transition)</f>
        <v>4.2666666666666665E-2</v>
      </c>
      <c r="F19" cm="1">
        <f t="array" ref="F19">[1]!unf_friction_factor($C19,F$15,type,smooth_transition)</f>
        <v>4.2666666666666665E-2</v>
      </c>
      <c r="G19" cm="1">
        <f t="array" ref="G19">[1]!unf_friction_factor($C19,G$15,type,smooth_transition)</f>
        <v>4.2666666666666665E-2</v>
      </c>
      <c r="H19" cm="1">
        <f t="array" ref="H19">[1]!unf_friction_factor($C19,H$15,type,smooth_transition)</f>
        <v>4.2666666666666665E-2</v>
      </c>
    </row>
    <row r="20" spans="3:8" x14ac:dyDescent="0.25">
      <c r="C20" s="1">
        <f t="shared" si="1"/>
        <v>2250</v>
      </c>
      <c r="D20" cm="1">
        <f t="array" ref="D20">[1]!unf_friction_factor($C20,D$15,type,smooth_transition)</f>
        <v>4.8860626927509518E-2</v>
      </c>
      <c r="E20" cm="1">
        <f t="array" ref="E20">[1]!unf_friction_factor($C20,E$15,type,smooth_transition)</f>
        <v>4.8866321487458869E-2</v>
      </c>
      <c r="F20" cm="1">
        <f t="array" ref="F20">[1]!unf_friction_factor($C20,F$15,type,smooth_transition)</f>
        <v>4.893959914302682E-2</v>
      </c>
      <c r="G20" cm="1">
        <f t="array" ref="G20">[1]!unf_friction_factor($C20,G$15,type,smooth_transition)</f>
        <v>4.9870352176517432E-2</v>
      </c>
      <c r="H20" cm="1">
        <f t="array" ref="H20">[1]!unf_friction_factor($C20,H$15,type,smooth_transition)</f>
        <v>6.0295387275807522E-2</v>
      </c>
    </row>
    <row r="21" spans="3:8" x14ac:dyDescent="0.25">
      <c r="C21" s="1">
        <f t="shared" si="1"/>
        <v>3375</v>
      </c>
      <c r="D21" cm="1">
        <f t="array" ref="D21">[1]!unf_friction_factor($C21,D$15,type,smooth_transition)</f>
        <v>4.2671920332344092E-2</v>
      </c>
      <c r="E21" cm="1">
        <f t="array" ref="E21">[1]!unf_friction_factor($C21,E$15,type,smooth_transition)</f>
        <v>4.2678891389403353E-2</v>
      </c>
      <c r="F21" cm="1">
        <f t="array" ref="F21">[1]!unf_friction_factor($C21,F$15,type,smooth_transition)</f>
        <v>4.2768534078627567E-2</v>
      </c>
      <c r="G21" cm="1">
        <f t="array" ref="G21">[1]!unf_friction_factor($C21,G$15,type,smooth_transition)</f>
        <v>4.3897763571951506E-2</v>
      </c>
      <c r="H21" cm="1">
        <f t="array" ref="H21">[1]!unf_friction_factor($C21,H$15,type,smooth_transition)</f>
        <v>5.5772392572569295E-2</v>
      </c>
    </row>
    <row r="22" spans="3:8" x14ac:dyDescent="0.25">
      <c r="C22" s="1">
        <f t="shared" si="1"/>
        <v>5062.5</v>
      </c>
      <c r="D22" cm="1">
        <f t="array" ref="D22">[1]!unf_friction_factor($C22,D$15,type,smooth_transition)</f>
        <v>3.7588737379496744E-2</v>
      </c>
      <c r="E22" cm="1">
        <f t="array" ref="E22">[1]!unf_friction_factor($C22,E$15,type,smooth_transition)</f>
        <v>3.7597381499215765E-2</v>
      </c>
      <c r="F22" cm="1">
        <f t="array" ref="F22">[1]!unf_friction_factor($C22,F$15,type,smooth_transition)</f>
        <v>3.7708421415840736E-2</v>
      </c>
      <c r="G22" cm="1">
        <f t="array" ref="G22">[1]!unf_friction_factor($C22,G$15,type,smooth_transition)</f>
        <v>3.9089805755997215E-2</v>
      </c>
      <c r="H22" cm="1">
        <f t="array" ref="H22">[1]!unf_friction_factor($C22,H$15,type,smooth_transition)</f>
        <v>5.2494522638638554E-2</v>
      </c>
    </row>
    <row r="23" spans="3:8" x14ac:dyDescent="0.25">
      <c r="C23" s="1">
        <f t="shared" si="1"/>
        <v>7593.75</v>
      </c>
      <c r="D23" cm="1">
        <f t="array" ref="D23">[1]!unf_friction_factor($C23,D$15,type,smooth_transition)</f>
        <v>3.3362655701030905E-2</v>
      </c>
      <c r="E23" cm="1">
        <f t="array" ref="E23">[1]!unf_friction_factor($C23,E$15,type,smooth_transition)</f>
        <v>3.3373496245333048E-2</v>
      </c>
      <c r="F23" cm="1">
        <f t="array" ref="F23">[1]!unf_friction_factor($C23,F$15,type,smooth_transition)</f>
        <v>3.3512524515453772E-2</v>
      </c>
      <c r="G23" cm="1">
        <f t="array" ref="G23">[1]!unf_friction_factor($C23,G$15,type,smooth_transition)</f>
        <v>3.5210272247749405E-2</v>
      </c>
      <c r="H23" cm="1">
        <f t="array" ref="H23">[1]!unf_friction_factor($C23,H$15,type,smooth_transition)</f>
        <v>5.0154468272417992E-2</v>
      </c>
    </row>
    <row r="24" spans="3:8" x14ac:dyDescent="0.25">
      <c r="C24" s="1">
        <f t="shared" si="1"/>
        <v>11390.625</v>
      </c>
      <c r="D24" cm="1">
        <f t="array" ref="D24">[1]!unf_friction_factor($C24,D$15,type,smooth_transition)</f>
        <v>2.9811316016072759E-2</v>
      </c>
      <c r="E24" cm="1">
        <f t="array" ref="E24">[1]!unf_friction_factor($C24,E$15,type,smooth_transition)</f>
        <v>2.982504767847902E-2</v>
      </c>
      <c r="F24" cm="1">
        <f t="array" ref="F24">[1]!unf_friction_factor($C24,F$15,type,smooth_transition)</f>
        <v>3.0000715228768175E-2</v>
      </c>
      <c r="G24" cm="1">
        <f t="array" ref="G24">[1]!unf_friction_factor($C24,G$15,type,smooth_transition)</f>
        <v>3.2088753753209999E-2</v>
      </c>
      <c r="H24" cm="1">
        <f t="array" ref="H24">[1]!unf_friction_factor($C24,H$15,type,smooth_transition)</f>
        <v>4.8508734960981896E-2</v>
      </c>
    </row>
    <row r="25" spans="3:8" x14ac:dyDescent="0.25">
      <c r="C25" s="1">
        <f t="shared" si="1"/>
        <v>17085.9375</v>
      </c>
      <c r="D25" cm="1">
        <f t="array" ref="D25">[1]!unf_friction_factor($C25,D$15,type,smooth_transition)</f>
        <v>2.6798413554177936E-2</v>
      </c>
      <c r="E25" cm="1">
        <f t="array" ref="E25">[1]!unf_friction_factor($C25,E$15,type,smooth_transition)</f>
        <v>2.6815962592808905E-2</v>
      </c>
      <c r="F25" cm="1">
        <f t="array" ref="F25">[1]!unf_friction_factor($C25,F$15,type,smooth_transition)</f>
        <v>2.7039612578946163E-2</v>
      </c>
      <c r="G25" cm="1">
        <f t="array" ref="G25">[1]!unf_friction_factor($C25,G$15,type,smooth_transition)</f>
        <v>2.9598312851179628E-2</v>
      </c>
      <c r="H25" cm="1">
        <f t="array" ref="H25">[1]!unf_friction_factor($C25,H$15,type,smooth_transition)</f>
        <v>4.7366668186188739E-2</v>
      </c>
    </row>
    <row r="26" spans="3:8" x14ac:dyDescent="0.25">
      <c r="C26" s="1">
        <f t="shared" si="1"/>
        <v>25628.90625</v>
      </c>
      <c r="D26" cm="1">
        <f t="array" ref="D26">[1]!unf_friction_factor($C26,D$15,type,smooth_transition)</f>
        <v>2.4220420258584226E-2</v>
      </c>
      <c r="E26" cm="1">
        <f t="array" ref="E26">[1]!unf_friction_factor($C26,E$15,type,smooth_transition)</f>
        <v>2.4243026071905285E-2</v>
      </c>
      <c r="F26" cm="1">
        <f t="array" ref="F26">[1]!unf_friction_factor($C26,F$15,type,smooth_transition)</f>
        <v>2.4529464210076672E-2</v>
      </c>
      <c r="G26" cm="1">
        <f t="array" ref="G26">[1]!unf_friction_factor($C26,G$15,type,smooth_transition)</f>
        <v>2.7639213486018176E-2</v>
      </c>
      <c r="H26" cm="1">
        <f t="array" ref="H26">[1]!unf_friction_factor($C26,H$15,type,smooth_transition)</f>
        <v>4.6582783221530991E-2</v>
      </c>
    </row>
    <row r="27" spans="3:8" x14ac:dyDescent="0.25">
      <c r="C27" s="1">
        <f t="shared" si="1"/>
        <v>38443.359375</v>
      </c>
      <c r="D27" cm="1">
        <f t="array" ref="D27">[1]!unf_friction_factor($C27,D$15,type,smooth_transition)</f>
        <v>2.1997569914383053E-2</v>
      </c>
      <c r="E27" cm="1">
        <f t="array" ref="E27">[1]!unf_friction_factor($C27,E$15,type,smooth_transition)</f>
        <v>2.202689543519841E-2</v>
      </c>
      <c r="F27" cm="1">
        <f t="array" ref="F27">[1]!unf_friction_factor($C27,F$15,type,smooth_transition)</f>
        <v>2.2395270758253271E-2</v>
      </c>
      <c r="G27" cm="1">
        <f t="array" ref="G27">[1]!unf_friction_factor($C27,G$15,type,smooth_transition)</f>
        <v>2.6127164828728174E-2</v>
      </c>
      <c r="H27" cm="1">
        <f t="array" ref="H27">[1]!unf_friction_factor($C27,H$15,type,smooth_transition)</f>
        <v>4.6049298353237907E-2</v>
      </c>
    </row>
    <row r="28" spans="3:8" x14ac:dyDescent="0.25">
      <c r="C28" s="1">
        <f t="shared" si="1"/>
        <v>57665.0390625</v>
      </c>
      <c r="D28" cm="1">
        <f t="array" ref="D28">[1]!unf_friction_factor($C28,D$15,type,smooth_transition)</f>
        <v>2.0067611831664854E-2</v>
      </c>
      <c r="E28" cm="1">
        <f t="array" ref="E28">[1]!unf_friction_factor($C28,E$15,type,smooth_transition)</f>
        <v>2.0105892443619759E-2</v>
      </c>
      <c r="F28" cm="1">
        <f t="array" ref="F28">[1]!unf_friction_factor($C28,F$15,type,smooth_transition)</f>
        <v>2.0580592182468611E-2</v>
      </c>
      <c r="G28" cm="1">
        <f t="array" ref="G28">[1]!unf_friction_factor($C28,G$15,type,smooth_transition)</f>
        <v>2.4985982584453188E-2</v>
      </c>
      <c r="H28" cm="1">
        <f t="array" ref="H28">[1]!unf_friction_factor($C28,H$15,type,smooth_transition)</f>
        <v>4.5688502223512756E-2</v>
      </c>
    </row>
    <row r="29" spans="3:8" x14ac:dyDescent="0.25">
      <c r="C29" s="1">
        <f t="shared" si="1"/>
        <v>86497.55859375</v>
      </c>
      <c r="D29" cm="1">
        <f t="array" ref="D29">[1]!unf_friction_factor($C29,D$15,type,smooth_transition)</f>
        <v>1.8381403619965361E-2</v>
      </c>
      <c r="E29" cm="1">
        <f t="array" ref="E29">[1]!unf_friction_factor($C29,E$15,type,smooth_transition)</f>
        <v>1.8431646754742539E-2</v>
      </c>
      <c r="F29" cm="1">
        <f t="array" ref="F29">[1]!unf_friction_factor($C29,F$15,type,smooth_transition)</f>
        <v>1.9042991248976293E-2</v>
      </c>
      <c r="G29" cm="1">
        <f t="array" ref="G29">[1]!unf_friction_factor($C29,G$15,type,smooth_transition)</f>
        <v>2.4144716660911263E-2</v>
      </c>
      <c r="H29" cm="1">
        <f t="array" ref="H29">[1]!unf_friction_factor($C29,H$15,type,smooth_transition)</f>
        <v>4.5445591562135471E-2</v>
      </c>
    </row>
    <row r="30" spans="3:8" x14ac:dyDescent="0.25">
      <c r="C30" s="1">
        <f t="shared" si="1"/>
        <v>129746.337890625</v>
      </c>
      <c r="D30" cm="1">
        <f t="array" ref="D30">[1]!unf_friction_factor($C30,D$15,type,smooth_transition)</f>
        <v>1.6899750974554359E-2</v>
      </c>
      <c r="E30" cm="1">
        <f t="array" ref="E30">[1]!unf_friction_factor($C30,E$15,type,smooth_transition)</f>
        <v>1.6966000677488519E-2</v>
      </c>
      <c r="F30" cm="1">
        <f t="array" ref="F30">[1]!unf_friction_factor($C30,F$15,type,smooth_transition)</f>
        <v>1.7750361750285989E-2</v>
      </c>
      <c r="G30" cm="1">
        <f t="array" ref="G30">[1]!unf_friction_factor($C30,G$15,type,smooth_transition)</f>
        <v>2.3538286513789471E-2</v>
      </c>
      <c r="H30" cm="1">
        <f t="array" ref="H30">[1]!unf_friction_factor($C30,H$15,type,smooth_transition)</f>
        <v>4.5282563393089767E-2</v>
      </c>
    </row>
    <row r="31" spans="3:8" x14ac:dyDescent="0.25">
      <c r="C31" s="1">
        <f t="shared" si="1"/>
        <v>194619.5068359375</v>
      </c>
      <c r="D31" cm="1">
        <f t="array" ref="D31">[1]!unf_friction_factor($C31,D$15,type,smooth_transition)</f>
        <v>1.559110920175482E-2</v>
      </c>
      <c r="E31" cm="1">
        <f t="array" ref="E31">[1]!unf_friction_factor($C31,E$15,type,smooth_transition)</f>
        <v>1.5678790430919517E-2</v>
      </c>
      <c r="F31" cm="1">
        <f t="array" ref="F31">[1]!unf_friction_factor($C31,F$15,type,smooth_transition)</f>
        <v>1.6677607515187244E-2</v>
      </c>
      <c r="G31" cm="1">
        <f t="array" ref="G31">[1]!unf_friction_factor($C31,G$15,type,smooth_transition)</f>
        <v>2.3109635804600567E-2</v>
      </c>
      <c r="H31" cm="1">
        <f t="array" ref="H31">[1]!unf_friction_factor($C31,H$15,type,smooth_transition)</f>
        <v>4.5173385278098499E-2</v>
      </c>
    </row>
    <row r="32" spans="3:8" x14ac:dyDescent="0.25">
      <c r="C32" s="1">
        <f t="shared" si="1"/>
        <v>291929.26025390625</v>
      </c>
      <c r="D32" cm="1">
        <f t="array" ref="D32">[1]!unf_friction_factor($C32,D$15,type,smooth_transition)</f>
        <v>1.4429891022250316E-2</v>
      </c>
      <c r="E32" cm="1">
        <f t="array" ref="E32">[1]!unf_friction_factor($C32,E$15,type,smooth_transition)</f>
        <v>1.454624448570874E-2</v>
      </c>
      <c r="F32" cm="1">
        <f t="array" ref="F32">[1]!unf_friction_factor($C32,F$15,type,smooth_transition)</f>
        <v>1.5803421592779646E-2</v>
      </c>
      <c r="G32" cm="1">
        <f t="array" ref="G32">[1]!unf_friction_factor($C32,G$15,type,smooth_transition)</f>
        <v>2.2811465534578471E-2</v>
      </c>
      <c r="H32" cm="1">
        <f t="array" ref="H32">[1]!unf_friction_factor($C32,H$15,type,smooth_transition)</f>
        <v>4.5100378096083818E-2</v>
      </c>
    </row>
    <row r="33" spans="3:8" x14ac:dyDescent="0.25">
      <c r="C33" s="1">
        <f t="shared" si="1"/>
        <v>437893.89038085938</v>
      </c>
      <c r="D33" cm="1">
        <f t="array" ref="D33">[1]!unf_friction_factor($C33,D$15,type,smooth_transition)</f>
        <v>1.3395208478915057E-2</v>
      </c>
      <c r="E33" cm="1">
        <f t="array" ref="E33">[1]!unf_friction_factor($C33,E$15,type,smooth_transition)</f>
        <v>1.3549813232661549E-2</v>
      </c>
      <c r="F33" cm="1">
        <f t="array" ref="F33">[1]!unf_friction_factor($C33,F$15,type,smooth_transition)</f>
        <v>1.5107334110305636E-2</v>
      </c>
      <c r="G33" cm="1">
        <f t="array" ref="G33">[1]!unf_friction_factor($C33,G$15,type,smooth_transition)</f>
        <v>2.2606609329448562E-2</v>
      </c>
      <c r="H33" cm="1">
        <f t="array" ref="H33">[1]!unf_friction_factor($C33,H$15,type,smooth_transition)</f>
        <v>4.5051607229389903E-2</v>
      </c>
    </row>
    <row r="34" spans="3:8" x14ac:dyDescent="0.25">
      <c r="C34" s="1">
        <f t="shared" si="1"/>
        <v>656840.83557128906</v>
      </c>
      <c r="D34" cm="1">
        <f t="array" ref="D34">[1]!unf_friction_factor($C34,D$15,type,smooth_transition)</f>
        <v>1.2469931304470251E-2</v>
      </c>
      <c r="E34" cm="1">
        <f t="array" ref="E34">[1]!unf_friction_factor($C34,E$15,type,smooth_transition)</f>
        <v>1.2675280828799351E-2</v>
      </c>
      <c r="F34" cm="1">
        <f t="array" ref="F34">[1]!unf_friction_factor($C34,F$15,type,smooth_transition)</f>
        <v>1.4567612623334026E-2</v>
      </c>
      <c r="G34" cm="1">
        <f t="array" ref="G34">[1]!unf_friction_factor($C34,G$15,type,smooth_transition)</f>
        <v>2.2467147070986439E-2</v>
      </c>
      <c r="H34" cm="1">
        <f t="array" ref="H34">[1]!unf_friction_factor($C34,H$15,type,smooth_transition)</f>
        <v>4.5019048881317428E-2</v>
      </c>
    </row>
    <row r="35" spans="3:8" x14ac:dyDescent="0.25">
      <c r="C35" s="1">
        <f t="shared" si="1"/>
        <v>985261.25335693359</v>
      </c>
      <c r="D35" cm="1">
        <f t="array" ref="D35">[1]!unf_friction_factor($C35,D$15,type,smooth_transition)</f>
        <v>1.1639980435273114E-2</v>
      </c>
      <c r="E35" cm="1">
        <f t="array" ref="E35">[1]!unf_friction_factor($C35,E$15,type,smooth_transition)</f>
        <v>1.1912018328253586E-2</v>
      </c>
      <c r="F35" cm="1">
        <f t="array" ref="F35">[1]!unf_friction_factor($C35,F$15,type,smooth_transition)</f>
        <v>1.4160643985322159E-2</v>
      </c>
      <c r="G35" cm="1">
        <f t="array" ref="G35">[1]!unf_friction_factor($C35,G$15,type,smooth_transition)</f>
        <v>2.2372824972643771E-2</v>
      </c>
      <c r="H35" cm="1">
        <f t="array" ref="H35">[1]!unf_friction_factor($C35,H$15,type,smooth_transition)</f>
        <v>4.4997323490383594E-2</v>
      </c>
    </row>
    <row r="36" spans="3:8" x14ac:dyDescent="0.25">
      <c r="C36" s="1">
        <f t="shared" si="1"/>
        <v>1477891.8800354004</v>
      </c>
      <c r="D36" cm="1">
        <f t="array" ref="D36">[1]!unf_friction_factor($C36,D$15,type,smooth_transition)</f>
        <v>1.0893799808506235E-2</v>
      </c>
      <c r="E36" cm="1">
        <f t="array" ref="E36">[1]!unf_friction_factor($C36,E$15,type,smooth_transition)</f>
        <v>1.1252228844171607E-2</v>
      </c>
      <c r="F36" cm="1">
        <f t="array" ref="F36">[1]!unf_friction_factor($C36,F$15,type,smooth_transition)</f>
        <v>1.3861884373485045E-2</v>
      </c>
      <c r="G36" cm="1">
        <f t="array" ref="G36">[1]!unf_friction_factor($C36,G$15,type,smooth_transition)</f>
        <v>2.2309325139452996E-2</v>
      </c>
      <c r="H36" cm="1">
        <f t="array" ref="H36">[1]!unf_friction_factor($C36,H$15,type,smooth_transition)</f>
        <v>4.4982831062493865E-2</v>
      </c>
    </row>
    <row r="37" spans="3:8" x14ac:dyDescent="0.25">
      <c r="C37" s="1">
        <f t="shared" si="1"/>
        <v>2216837.8200531006</v>
      </c>
      <c r="D37" cm="1">
        <f t="array" ref="D37">[1]!unf_friction_factor($C37,D$15,type,smooth_transition)</f>
        <v>1.0221965810075151E-2</v>
      </c>
      <c r="E37" cm="1">
        <f t="array" ref="E37">[1]!unf_friction_factor($C37,E$15,type,smooth_transition)</f>
        <v>1.0690037813868784E-2</v>
      </c>
      <c r="F37" cm="1">
        <f t="array" ref="F37">[1]!unf_friction_factor($C37,F$15,type,smooth_transition)</f>
        <v>1.3647702910241279E-2</v>
      </c>
      <c r="G37" cm="1">
        <f t="array" ref="G37">[1]!unf_friction_factor($C37,G$15,type,smooth_transition)</f>
        <v>2.226671097182099E-2</v>
      </c>
      <c r="H37" cm="1">
        <f t="array" ref="H37">[1]!unf_friction_factor($C37,H$15,type,smooth_transition)</f>
        <v>4.497316551099486E-2</v>
      </c>
    </row>
    <row r="38" spans="3:8" x14ac:dyDescent="0.25">
      <c r="C38" s="1">
        <f t="shared" si="1"/>
        <v>3325256.7300796509</v>
      </c>
      <c r="D38" cm="1">
        <f t="array" ref="D38">[1]!unf_friction_factor($C38,D$15,type,smooth_transition)</f>
        <v>9.6169035474823888E-3</v>
      </c>
      <c r="E38" cm="1">
        <f t="array" ref="E38">[1]!unf_friction_factor($C38,E$15,type,smooth_transition)</f>
        <v>1.0220345111375108E-2</v>
      </c>
      <c r="F38" cm="1">
        <f t="array" ref="F38">[1]!unf_friction_factor($C38,F$15,type,smooth_transition)</f>
        <v>1.3497134551445333E-2</v>
      </c>
      <c r="G38" cm="1">
        <f t="array" ref="G38">[1]!unf_friction_factor($C38,G$15,type,smooth_transition)</f>
        <v>2.2238174804128121E-2</v>
      </c>
      <c r="H38" cm="1">
        <f t="array" ref="H38">[1]!unf_friction_factor($C38,H$15,type,smooth_transition)</f>
        <v>4.4966720060043659E-2</v>
      </c>
    </row>
    <row r="39" spans="3:8" x14ac:dyDescent="0.25">
      <c r="C39" s="1">
        <f t="shared" si="1"/>
        <v>4987885.0951194763</v>
      </c>
      <c r="D39" cm="1">
        <f t="array" ref="D39">[1]!unf_friction_factor($C39,D$15,type,smooth_transition)</f>
        <v>9.0726827965923601E-3</v>
      </c>
      <c r="E39" cm="1">
        <f t="array" ref="E39">[1]!unf_friction_factor($C39,E$15,type,smooth_transition)</f>
        <v>9.837528877643064E-3</v>
      </c>
      <c r="F39" cm="1">
        <f t="array" ref="F39">[1]!unf_friction_factor($C39,F$15,type,smooth_transition)</f>
        <v>1.3392890892412601E-2</v>
      </c>
      <c r="G39" cm="1">
        <f t="array" ref="G39">[1]!unf_friction_factor($C39,G$15,type,smooth_transition)</f>
        <v>2.2219093809473584E-2</v>
      </c>
      <c r="H39" cm="1">
        <f t="array" ref="H39">[1]!unf_friction_factor($C39,H$15,type,smooth_transition)</f>
        <v>4.4962422314394845E-2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333375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2020-07-15T11:42:47Z</dcterms:modified>
</cp:coreProperties>
</file>