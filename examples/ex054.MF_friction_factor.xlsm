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C11CC7A8-BB6B-400A-86A2-D659AB394644}" xr6:coauthVersionLast="45" xr6:coauthVersionMax="45" xr10:uidLastSave="{00000000-0000-0000-0000-000000000000}"/>
  <bookViews>
    <workbookView xWindow="2460" yWindow="1110" windowWidth="27570" windowHeight="17685" xr2:uid="{8D424466-61D2-4E50-B746-881CD47D3A93}"/>
  </bookViews>
  <sheets>
    <sheet name="Лист1" sheetId="1" r:id="rId1"/>
  </sheets>
  <externalReferences>
    <externalReference r:id="rId2"/>
  </externalReferences>
  <definedNames>
    <definedName name="mult">Лист1!$E$6</definedName>
    <definedName name="type">Лист1!$E$7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 s="1"/>
  <c r="E13" i="1"/>
  <c r="F13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G1" i="1"/>
  <c r="D28" i="1" a="1"/>
  <c r="D31" i="1" a="1"/>
  <c r="D29" i="1" a="1"/>
  <c r="D30" i="1" a="1"/>
  <c r="D33" i="1" a="1"/>
  <c r="D37" i="1" a="1"/>
  <c r="D32" i="1" a="1"/>
  <c r="D35" i="1" a="1"/>
  <c r="D26" i="1" a="1"/>
  <c r="D34" i="1" a="1"/>
  <c r="D39" i="1" a="1"/>
  <c r="D17" i="1" a="1"/>
  <c r="D21" i="1" a="1"/>
  <c r="D24" i="1" a="1"/>
  <c r="D27" i="1" a="1"/>
  <c r="D36" i="1" a="1"/>
  <c r="D22" i="1" a="1"/>
  <c r="D23" i="1" a="1"/>
  <c r="D25" i="1" a="1"/>
  <c r="D38" i="1" a="1"/>
  <c r="D18" i="1" a="1"/>
  <c r="D20" i="1" a="1"/>
  <c r="D19" i="1" a="1"/>
  <c r="G13" i="1" l="1"/>
  <c r="F15" i="1"/>
  <c r="E15" i="1"/>
  <c r="D37" i="1"/>
  <c r="D29" i="1"/>
  <c r="D19" i="1"/>
  <c r="D39" i="1"/>
  <c r="D35" i="1"/>
  <c r="D33" i="1"/>
  <c r="D31" i="1"/>
  <c r="D27" i="1"/>
  <c r="D25" i="1"/>
  <c r="D23" i="1"/>
  <c r="D21" i="1"/>
  <c r="D38" i="1"/>
  <c r="D36" i="1"/>
  <c r="D34" i="1"/>
  <c r="D32" i="1"/>
  <c r="D30" i="1"/>
  <c r="D28" i="1"/>
  <c r="D26" i="1"/>
  <c r="D24" i="1"/>
  <c r="D22" i="1"/>
  <c r="D20" i="1"/>
  <c r="D18" i="1"/>
  <c r="D17" i="1"/>
  <c r="F18" i="1" a="1"/>
  <c r="F39" i="1" a="1"/>
  <c r="F31" i="1" a="1"/>
  <c r="F33" i="1" a="1"/>
  <c r="F25" i="1" a="1"/>
  <c r="F27" i="1" a="1"/>
  <c r="F34" i="1" a="1"/>
  <c r="F22" i="1" a="1"/>
  <c r="F37" i="1" a="1"/>
  <c r="F38" i="1" a="1"/>
  <c r="F36" i="1" a="1"/>
  <c r="F35" i="1" a="1"/>
  <c r="F21" i="1" a="1"/>
  <c r="F32" i="1" a="1"/>
  <c r="F29" i="1" a="1"/>
  <c r="F30" i="1" a="1"/>
  <c r="F17" i="1" a="1"/>
  <c r="F23" i="1" a="1"/>
  <c r="F28" i="1" a="1"/>
  <c r="F20" i="1" a="1"/>
  <c r="F26" i="1" a="1"/>
  <c r="F19" i="1" a="1"/>
  <c r="F24" i="1" a="1"/>
  <c r="E27" i="1" a="1"/>
  <c r="E36" i="1" a="1"/>
  <c r="E38" i="1" a="1"/>
  <c r="E24" i="1" a="1"/>
  <c r="E22" i="1" a="1"/>
  <c r="E26" i="1" a="1"/>
  <c r="E23" i="1" a="1"/>
  <c r="E18" i="1" a="1"/>
  <c r="E19" i="1" a="1"/>
  <c r="E39" i="1" a="1"/>
  <c r="E29" i="1" a="1"/>
  <c r="E32" i="1" a="1"/>
  <c r="E25" i="1" a="1"/>
  <c r="E20" i="1" a="1"/>
  <c r="E21" i="1" a="1"/>
  <c r="E30" i="1" a="1"/>
  <c r="E37" i="1" a="1"/>
  <c r="E28" i="1" a="1"/>
  <c r="E35" i="1" a="1"/>
  <c r="E17" i="1" a="1"/>
  <c r="E33" i="1" a="1"/>
  <c r="E34" i="1" a="1"/>
  <c r="E31" i="1" a="1"/>
  <c r="E31" i="1" l="1"/>
  <c r="E34" i="1"/>
  <c r="E33" i="1"/>
  <c r="E17" i="1"/>
  <c r="E35" i="1"/>
  <c r="E28" i="1"/>
  <c r="E37" i="1"/>
  <c r="E30" i="1"/>
  <c r="E21" i="1"/>
  <c r="E20" i="1"/>
  <c r="E25" i="1"/>
  <c r="E32" i="1"/>
  <c r="E29" i="1"/>
  <c r="E39" i="1"/>
  <c r="E19" i="1"/>
  <c r="E18" i="1"/>
  <c r="E23" i="1"/>
  <c r="E26" i="1"/>
  <c r="E22" i="1"/>
  <c r="E24" i="1"/>
  <c r="E38" i="1"/>
  <c r="E36" i="1"/>
  <c r="E27" i="1"/>
  <c r="F24" i="1"/>
  <c r="F19" i="1"/>
  <c r="F26" i="1"/>
  <c r="F20" i="1"/>
  <c r="F28" i="1"/>
  <c r="F23" i="1"/>
  <c r="F17" i="1"/>
  <c r="F30" i="1"/>
  <c r="F29" i="1"/>
  <c r="F32" i="1"/>
  <c r="F21" i="1"/>
  <c r="F35" i="1"/>
  <c r="F36" i="1"/>
  <c r="F38" i="1"/>
  <c r="F37" i="1"/>
  <c r="F22" i="1"/>
  <c r="F34" i="1"/>
  <c r="F27" i="1"/>
  <c r="F25" i="1"/>
  <c r="F33" i="1"/>
  <c r="F31" i="1"/>
  <c r="F39" i="1"/>
  <c r="F18" i="1"/>
  <c r="E16" i="1"/>
  <c r="F16" i="1"/>
  <c r="H13" i="1"/>
  <c r="H15" i="1" s="1"/>
  <c r="G15" i="1"/>
  <c r="H28" i="1" a="1"/>
  <c r="H38" i="1" a="1"/>
  <c r="H29" i="1" a="1"/>
  <c r="H35" i="1" a="1"/>
  <c r="H20" i="1" a="1"/>
  <c r="H22" i="1" a="1"/>
  <c r="H25" i="1" a="1"/>
  <c r="H19" i="1" a="1"/>
  <c r="H17" i="1" a="1"/>
  <c r="H23" i="1" a="1"/>
  <c r="H37" i="1" a="1"/>
  <c r="H31" i="1" a="1"/>
  <c r="H21" i="1" a="1"/>
  <c r="H39" i="1" a="1"/>
  <c r="H36" i="1" a="1"/>
  <c r="H33" i="1" a="1"/>
  <c r="H30" i="1" a="1"/>
  <c r="H26" i="1" a="1"/>
  <c r="H27" i="1" a="1"/>
  <c r="H24" i="1" a="1"/>
  <c r="H32" i="1" a="1"/>
  <c r="H18" i="1" a="1"/>
  <c r="H34" i="1" a="1"/>
  <c r="G24" i="1" a="1"/>
  <c r="G32" i="1" a="1"/>
  <c r="G26" i="1" a="1"/>
  <c r="G17" i="1" a="1"/>
  <c r="G37" i="1" a="1"/>
  <c r="G23" i="1" a="1"/>
  <c r="G20" i="1" a="1"/>
  <c r="G21" i="1" a="1"/>
  <c r="G35" i="1" a="1"/>
  <c r="G31" i="1" a="1"/>
  <c r="G34" i="1" a="1"/>
  <c r="G29" i="1" a="1"/>
  <c r="G28" i="1" a="1"/>
  <c r="G25" i="1" a="1"/>
  <c r="G22" i="1" a="1"/>
  <c r="G19" i="1" a="1"/>
  <c r="G39" i="1" a="1"/>
  <c r="G36" i="1" a="1"/>
  <c r="G33" i="1" a="1"/>
  <c r="G38" i="1" a="1"/>
  <c r="G30" i="1" a="1"/>
  <c r="G27" i="1" a="1"/>
  <c r="G18" i="1" a="1"/>
  <c r="G18" i="1" l="1"/>
  <c r="G27" i="1"/>
  <c r="G30" i="1"/>
  <c r="G38" i="1"/>
  <c r="G33" i="1"/>
  <c r="G36" i="1"/>
  <c r="G39" i="1"/>
  <c r="G19" i="1"/>
  <c r="G22" i="1"/>
  <c r="G25" i="1"/>
  <c r="G28" i="1"/>
  <c r="G29" i="1"/>
  <c r="G34" i="1"/>
  <c r="G31" i="1"/>
  <c r="G35" i="1"/>
  <c r="G21" i="1"/>
  <c r="G20" i="1"/>
  <c r="G23" i="1"/>
  <c r="G37" i="1"/>
  <c r="G17" i="1"/>
  <c r="G26" i="1"/>
  <c r="G32" i="1"/>
  <c r="G24" i="1"/>
  <c r="H34" i="1"/>
  <c r="H18" i="1"/>
  <c r="H32" i="1"/>
  <c r="H24" i="1"/>
  <c r="H27" i="1"/>
  <c r="H26" i="1"/>
  <c r="H30" i="1"/>
  <c r="H33" i="1"/>
  <c r="H36" i="1"/>
  <c r="H39" i="1"/>
  <c r="H21" i="1"/>
  <c r="H31" i="1"/>
  <c r="H37" i="1"/>
  <c r="H23" i="1"/>
  <c r="H17" i="1"/>
  <c r="H19" i="1"/>
  <c r="H25" i="1"/>
  <c r="H22" i="1"/>
  <c r="H20" i="1"/>
  <c r="H35" i="1"/>
  <c r="H29" i="1"/>
  <c r="H38" i="1"/>
  <c r="H28" i="1"/>
  <c r="G16" i="1"/>
  <c r="H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<sst xmlns="http://schemas.openxmlformats.org/spreadsheetml/2006/main" count="9" uniqueCount="9">
  <si>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Nr</t>
  </si>
  <si>
    <t>e</t>
  </si>
  <si>
    <t>d</t>
  </si>
  <si>
    <t>ed</t>
  </si>
  <si>
    <t>Упражнения по работе с макросами Unifloc VBA</t>
  </si>
  <si>
    <t>версия</t>
  </si>
  <si>
    <t>Проверка расчета коэффициента трения для гидравлических корреляций с унифлок VBA</t>
  </si>
  <si>
    <t>номер корреляции</t>
  </si>
  <si>
    <t>множитель для оси 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</si>
</sst>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Darcy's friction</a:t>
            </a:r>
            <a:r>
              <a:rPr lang="en-US" baseline="0"/>
              <a:t>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Лист1!$D$16</c:f>
              <c:strCache>
                <c:ptCount val="1"/>
                <c:pt idx="0">
                  <c:v>ed=1.61E-06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Лист1!$D$17:$D$39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3.9342946412761107E-2</c:v>
                </c:pt>
                <c:pt idx="14">
                  <c:v>4.0772241481943715E-2</c:v>
                </c:pt>
                <c:pt idx="15">
                  <c:v>3.6014963306782784E-2</c:v>
                </c:pt>
                <c:pt idx="16">
                  <c:v>3.2044314338384984E-2</c:v>
                </c:pt>
                <c:pt idx="17">
                  <c:v>2.8696003888963623E-2</c:v>
                </c:pt>
                <c:pt idx="18">
                  <c:v>2.5846511529163129E-2</c:v>
                </c:pt>
                <c:pt idx="19">
                  <c:v>2.3401528645828458E-2</c:v>
                </c:pt>
                <c:pt idx="20">
                  <c:v>2.1288052463388007E-2</c:v>
                </c:pt>
                <c:pt idx="21">
                  <c:v>1.944887169730863E-2</c:v>
                </c:pt>
                <c:pt idx="22">
                  <c:v>1.7838652767419413E-2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2-44BD-8D26-4F4ECED6B368}"/>
            </c:ext>
          </c:extLst>
        </c:ser>
        <c:ser>
          <c:idx val="1"/>
          <c:order val="1"/>
          <c:tx>
            <c:strRef>
              <c:f>Лист1!$E$16</c:f>
              <c:strCache>
                <c:ptCount val="1"/>
                <c:pt idx="0">
                  <c:v>ed=1.61E-05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Лист1!$E$17:$E$39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3.9346851559999521E-2</c:v>
                </c:pt>
                <c:pt idx="14">
                  <c:v>4.0779750133143673E-2</c:v>
                </c:pt>
                <c:pt idx="15">
                  <c:v>3.6024312655829401E-2</c:v>
                </c:pt>
                <c:pt idx="16">
                  <c:v>3.2056082233312792E-2</c:v>
                </c:pt>
                <c:pt idx="17">
                  <c:v>2.8710958651484403E-2</c:v>
                </c:pt>
                <c:pt idx="18">
                  <c:v>2.5865678966582678E-2</c:v>
                </c:pt>
                <c:pt idx="19">
                  <c:v>2.3426282804952996E-2</c:v>
                </c:pt>
                <c:pt idx="20">
                  <c:v>2.1320238344446255E-2</c:v>
                </c:pt>
                <c:pt idx="21">
                  <c:v>1.9490970486970783E-2</c:v>
                </c:pt>
                <c:pt idx="22">
                  <c:v>1.7894002581533383E-2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72-44BD-8D26-4F4ECED6B368}"/>
            </c:ext>
          </c:extLst>
        </c:ser>
        <c:ser>
          <c:idx val="2"/>
          <c:order val="2"/>
          <c:tx>
            <c:strRef>
              <c:f>Лист1!$F$16</c:f>
              <c:strCache>
                <c:ptCount val="1"/>
                <c:pt idx="0">
                  <c:v>ed=1.61E-04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Лист1!$F$17:$F$39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3.9397080405748096E-2</c:v>
                </c:pt>
                <c:pt idx="14">
                  <c:v>4.0876275025376212E-2</c:v>
                </c:pt>
                <c:pt idx="15">
                  <c:v>3.6144352419013051E-2</c:v>
                </c:pt>
                <c:pt idx="16">
                  <c:v>3.2206889039653609E-2</c:v>
                </c:pt>
                <c:pt idx="17">
                  <c:v>2.8902051181915068E-2</c:v>
                </c:pt>
                <c:pt idx="18">
                  <c:v>2.6109523802040121E-2</c:v>
                </c:pt>
                <c:pt idx="19">
                  <c:v>2.3739109366164361E-2</c:v>
                </c:pt>
                <c:pt idx="20">
                  <c:v>2.1722940515788929E-2</c:v>
                </c:pt>
                <c:pt idx="21">
                  <c:v>2.000996321482465E-2</c:v>
                </c:pt>
                <c:pt idx="22">
                  <c:v>1.8561765886109173E-2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2-44BD-8D26-4F4ECED6B368}"/>
            </c:ext>
          </c:extLst>
        </c:ser>
        <c:ser>
          <c:idx val="3"/>
          <c:order val="3"/>
          <c:tx>
            <c:strRef>
              <c:f>Лист1!$G$16</c:f>
              <c:strCache>
                <c:ptCount val="1"/>
                <c:pt idx="0">
                  <c:v>ed=1.61E-03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Лист1!$G$17:$G$39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4.0031570076428533E-2</c:v>
                </c:pt>
                <c:pt idx="14">
                  <c:v>4.208754636977121E-2</c:v>
                </c:pt>
                <c:pt idx="15">
                  <c:v>3.7629164645735631E-2</c:v>
                </c:pt>
                <c:pt idx="16">
                  <c:v>3.403306837307931E-2</c:v>
                </c:pt>
                <c:pt idx="17">
                  <c:v>3.1146318645396673E-2</c:v>
                </c:pt>
                <c:pt idx="18">
                  <c:v>2.8853156213410031E-2</c:v>
                </c:pt>
                <c:pt idx="19">
                  <c:v>2.7060397307078467E-2</c:v>
                </c:pt>
                <c:pt idx="20">
                  <c:v>2.5687204433690797E-2</c:v>
                </c:pt>
                <c:pt idx="21">
                  <c:v>2.4659348194772751E-2</c:v>
                </c:pt>
                <c:pt idx="22">
                  <c:v>2.3907745229431367E-2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72-44BD-8D26-4F4ECED6B368}"/>
            </c:ext>
          </c:extLst>
        </c:ser>
        <c:ser>
          <c:idx val="4"/>
          <c:order val="4"/>
          <c:tx>
            <c:strRef>
              <c:f>Лист1!$H$16</c:f>
              <c:strCache>
                <c:ptCount val="1"/>
                <c:pt idx="0">
                  <c:v>ed=1.61E-02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Лист1!$H$17:$H$39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4.6838922585799511E-2</c:v>
                </c:pt>
                <c:pt idx="14">
                  <c:v>5.4494705670531371E-2</c:v>
                </c:pt>
                <c:pt idx="15">
                  <c:v>5.1578176116572151E-2</c:v>
                </c:pt>
                <c:pt idx="16">
                  <c:v>4.9507228891119838E-2</c:v>
                </c:pt>
                <c:pt idx="17">
                  <c:v>4.8057929725772525E-2</c:v>
                </c:pt>
                <c:pt idx="18">
                  <c:v>4.7056347037239002E-2</c:v>
                </c:pt>
                <c:pt idx="19">
                  <c:v>4.6371127385900844E-2</c:v>
                </c:pt>
                <c:pt idx="20">
                  <c:v>4.5905928516098024E-2</c:v>
                </c:pt>
                <c:pt idx="21">
                  <c:v>4.5591868678271745E-2</c:v>
                </c:pt>
                <c:pt idx="22">
                  <c:v>4.5380686233713254E-2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72-44BD-8D26-4F4ECED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110191"/>
        <c:axId val="1387974639"/>
      </c:scatterChart>
      <c:valAx>
        <c:axId val="18421101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number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7974639"/>
        <c:crosses val="autoZero"/>
        <c:crossBetween val="midCat"/>
      </c:valAx>
      <c:valAx>
        <c:axId val="138797463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friction factor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11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13</xdr:row>
      <xdr:rowOff>66675</xdr:rowOff>
    </xdr:from>
    <xdr:to>
      <xdr:col>21</xdr:col>
      <xdr:colOff>257175</xdr:colOff>
      <xdr:row>39</xdr:row>
      <xdr:rowOff>9524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D1E002F-E6F4-4A5E-B8E3-127EA32BEC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495300</xdr:colOff>
          <xdr:row>2</xdr:row>
          <xdr:rowOff>152400</xdr:rowOff>
        </xdr:from>
        <xdr:to>
          <xdr:col>22</xdr:col>
          <xdr:colOff>314325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2B745B5-D4FD-4270-9D31-B06AB7AF3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419100</xdr:colOff>
      <xdr:row>2</xdr:row>
      <xdr:rowOff>133350</xdr:rowOff>
    </xdr:from>
    <xdr:to>
      <xdr:col>17</xdr:col>
      <xdr:colOff>142875</xdr:colOff>
      <xdr:row>10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21A4C6-7554-4F6D-8524-126576B951F4}"/>
            </a:ext>
          </a:extLst>
        </xdr:cNvPr>
        <xdr:cNvSpPr txBox="1"/>
      </xdr:nvSpPr>
      <xdr:spPr>
        <a:xfrm>
          <a:off x="5486400" y="514350"/>
          <a:ext cx="5210175" cy="1543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time = 1.570313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time = 0.21875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time = 0.4648438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time = 0.4882813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time = 0.7773438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 macro time_compare and read result in immediate window</a:t>
          </a:r>
          <a:endParaRPr lang="ru-RU">
            <a:effectLst/>
          </a:endParaRP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unf_friction_facto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473B-5C44-4103-8213-A3E6627D76D4}">
  <sheetPr codeName="Лист1"/>
  <dimension ref="A1:H39"/>
  <sheetViews>
    <sheetView tabSelected="1" workbookViewId="0">
      <selection activeCell="G7" sqref="G7"/>
    </sheetView>
  </sheetViews>
  <sheetFormatPr defaultRowHeight="15" x14ac:dyDescent="0.25"/>
  <cols>
    <col min="4" max="4" width="12" customWidth="1"/>
  </cols>
  <sheetData>
    <row r="1" spans="1:8" x14ac:dyDescent="0.25">
      <c r="A1" s="2" t="s">
        <v>4</v>
      </c>
      <c r="F1" t="s">
        <v>5</v>
      </c>
      <c r="G1" t="str">
        <f>[1]!getUFVersion()</f>
        <v>7.22</v>
      </c>
    </row>
    <row r="2" spans="1:8" x14ac:dyDescent="0.25">
      <c r="A2" t="s">
        <v>6</v>
      </c>
    </row>
    <row r="6" spans="1:8" x14ac:dyDescent="0.25">
      <c r="D6" s="3" t="s">
        <v>8</v>
      </c>
      <c r="E6">
        <v>1.5</v>
      </c>
    </row>
    <row r="7" spans="1:8" x14ac:dyDescent="0.25">
      <c r="D7" s="3" t="s">
        <v>7</v>
      </c>
      <c r="E7">
        <v>4</v>
      </c>
    </row>
    <row r="13" spans="1:8" x14ac:dyDescent="0.25">
      <c r="C13" t="s">
        <v>1</v>
      </c>
      <c r="D13">
        <v>1E-4</v>
      </c>
      <c r="E13">
        <f>D13*10</f>
        <v>1E-3</v>
      </c>
      <c r="F13">
        <f>E13*10</f>
        <v>0.01</v>
      </c>
      <c r="G13">
        <f>F13*10</f>
        <v>0.1</v>
      </c>
      <c r="H13">
        <f>G13*10</f>
        <v>1</v>
      </c>
    </row>
    <row r="14" spans="1:8" x14ac:dyDescent="0.25">
      <c r="C14" t="s">
        <v>2</v>
      </c>
      <c r="D14">
        <v>62</v>
      </c>
    </row>
    <row r="15" spans="1:8" x14ac:dyDescent="0.25">
      <c r="C15" t="s">
        <v>3</v>
      </c>
      <c r="D15">
        <f>D13/$D$14</f>
        <v>1.6129032258064516E-6</v>
      </c>
      <c r="E15">
        <f>E13/$D$14</f>
        <v>1.6129032258064517E-5</v>
      </c>
      <c r="F15">
        <f>F13/$D$14</f>
        <v>1.6129032258064516E-4</v>
      </c>
      <c r="G15">
        <f>G13/$D$14</f>
        <v>1.6129032258064516E-3</v>
      </c>
      <c r="H15">
        <f>H13/$D$14</f>
        <v>1.6129032258064516E-2</v>
      </c>
    </row>
    <row r="16" spans="1:8" x14ac:dyDescent="0.25">
      <c r="C16" t="s">
        <v>0</v>
      </c>
      <c r="D16" t="str">
        <f>"ed="&amp;TEXT(D15,"0.00E+00")</f>
        <v>ed=1.61E-06</v>
      </c>
      <c r="E16" t="str">
        <f t="shared" ref="E16:H16" si="0">"ed="&amp;TEXT(E15,"0.00E+00")</f>
        <v>ed=1.61E-05</v>
      </c>
      <c r="F16" t="str">
        <f t="shared" si="0"/>
        <v>ed=1.61E-04</v>
      </c>
      <c r="G16" t="str">
        <f t="shared" si="0"/>
        <v>ed=1.61E-03</v>
      </c>
      <c r="H16" t="str">
        <f t="shared" si="0"/>
        <v>ed=1.61E-02</v>
      </c>
    </row>
    <row r="17" spans="3:8" x14ac:dyDescent="0.25">
      <c r="C17" s="1">
        <v>10</v>
      </c>
      <c r="D17" cm="1">
        <f t="array" ref="D17">[1]!unf_friction_factor($C17,D$15,type)</f>
        <v>6.4</v>
      </c>
      <c r="E17" cm="1">
        <f t="array" ref="E17">[1]!unf_friction_factor($C17,E$15,type)</f>
        <v>6.4</v>
      </c>
      <c r="F17" cm="1">
        <f t="array" ref="F17">[1]!unf_friction_factor($C17,F$15,type)</f>
        <v>6.4</v>
      </c>
      <c r="G17" cm="1">
        <f t="array" ref="G17">[1]!unf_friction_factor($C17,G$15,type)</f>
        <v>6.4</v>
      </c>
      <c r="H17" cm="1">
        <f t="array" ref="H17">[1]!unf_friction_factor($C17,H$15,type)</f>
        <v>6.4</v>
      </c>
    </row>
    <row r="18" spans="3:8" x14ac:dyDescent="0.25">
      <c r="C18" s="1">
        <v>20</v>
      </c>
      <c r="D18" cm="1">
        <f t="array" ref="D18">[1]!unf_friction_factor($C18,D$15,type)</f>
        <v>3.2</v>
      </c>
      <c r="E18" cm="1">
        <f t="array" ref="E18">[1]!unf_friction_factor($C18,E$15,type)</f>
        <v>3.2</v>
      </c>
      <c r="F18" cm="1">
        <f t="array" ref="F18">[1]!unf_friction_factor($C18,F$15,type)</f>
        <v>3.2</v>
      </c>
      <c r="G18" cm="1">
        <f t="array" ref="G18">[1]!unf_friction_factor($C18,G$15,type)</f>
        <v>3.2</v>
      </c>
      <c r="H18" cm="1">
        <f t="array" ref="H18">[1]!unf_friction_factor($C18,H$15,type)</f>
        <v>3.2</v>
      </c>
    </row>
    <row r="19" spans="3:8" x14ac:dyDescent="0.25">
      <c r="C19" s="1">
        <f t="shared" ref="C19:C39" si="1">C18*mult</f>
        <v>30</v>
      </c>
      <c r="D19" cm="1">
        <f t="array" ref="D19">[1]!unf_friction_factor($C19,D$15,type)</f>
        <v>2.1333333333333333</v>
      </c>
      <c r="E19" cm="1">
        <f t="array" ref="E19">[1]!unf_friction_factor($C19,E$15,type)</f>
        <v>2.1333333333333333</v>
      </c>
      <c r="F19" cm="1">
        <f t="array" ref="F19">[1]!unf_friction_factor($C19,F$15,type)</f>
        <v>2.1333333333333333</v>
      </c>
      <c r="G19" cm="1">
        <f t="array" ref="G19">[1]!unf_friction_factor($C19,G$15,type)</f>
        <v>2.1333333333333333</v>
      </c>
      <c r="H19" cm="1">
        <f t="array" ref="H19">[1]!unf_friction_factor($C19,H$15,type)</f>
        <v>2.1333333333333333</v>
      </c>
    </row>
    <row r="20" spans="3:8" x14ac:dyDescent="0.25">
      <c r="C20" s="1">
        <f t="shared" si="1"/>
        <v>45</v>
      </c>
      <c r="D20" cm="1">
        <f t="array" ref="D20">[1]!unf_friction_factor($C20,D$15,type)</f>
        <v>1.4222222222222223</v>
      </c>
      <c r="E20" cm="1">
        <f t="array" ref="E20">[1]!unf_friction_factor($C20,E$15,type)</f>
        <v>1.4222222222222223</v>
      </c>
      <c r="F20" cm="1">
        <f t="array" ref="F20">[1]!unf_friction_factor($C20,F$15,type)</f>
        <v>1.4222222222222223</v>
      </c>
      <c r="G20" cm="1">
        <f t="array" ref="G20">[1]!unf_friction_factor($C20,G$15,type)</f>
        <v>1.4222222222222223</v>
      </c>
      <c r="H20" cm="1">
        <f t="array" ref="H20">[1]!unf_friction_factor($C20,H$15,type)</f>
        <v>1.4222222222222223</v>
      </c>
    </row>
    <row r="21" spans="3:8" x14ac:dyDescent="0.25">
      <c r="C21" s="1">
        <f t="shared" si="1"/>
        <v>67.5</v>
      </c>
      <c r="D21" cm="1">
        <f t="array" ref="D21">[1]!unf_friction_factor($C21,D$15,type)</f>
        <v>0.94814814814814818</v>
      </c>
      <c r="E21" cm="1">
        <f t="array" ref="E21">[1]!unf_friction_factor($C21,E$15,type)</f>
        <v>0.94814814814814818</v>
      </c>
      <c r="F21" cm="1">
        <f t="array" ref="F21">[1]!unf_friction_factor($C21,F$15,type)</f>
        <v>0.94814814814814818</v>
      </c>
      <c r="G21" cm="1">
        <f t="array" ref="G21">[1]!unf_friction_factor($C21,G$15,type)</f>
        <v>0.94814814814814818</v>
      </c>
      <c r="H21" cm="1">
        <f t="array" ref="H21">[1]!unf_friction_factor($C21,H$15,type)</f>
        <v>0.94814814814814818</v>
      </c>
    </row>
    <row r="22" spans="3:8" x14ac:dyDescent="0.25">
      <c r="C22" s="1">
        <f t="shared" si="1"/>
        <v>101.25</v>
      </c>
      <c r="D22" cm="1">
        <f t="array" ref="D22">[1]!unf_friction_factor($C22,D$15,type)</f>
        <v>0.63209876543209875</v>
      </c>
      <c r="E22" cm="1">
        <f t="array" ref="E22">[1]!unf_friction_factor($C22,E$15,type)</f>
        <v>0.63209876543209875</v>
      </c>
      <c r="F22" cm="1">
        <f t="array" ref="F22">[1]!unf_friction_factor($C22,F$15,type)</f>
        <v>0.63209876543209875</v>
      </c>
      <c r="G22" cm="1">
        <f t="array" ref="G22">[1]!unf_friction_factor($C22,G$15,type)</f>
        <v>0.63209876543209875</v>
      </c>
      <c r="H22" cm="1">
        <f t="array" ref="H22">[1]!unf_friction_factor($C22,H$15,type)</f>
        <v>0.63209876543209875</v>
      </c>
    </row>
    <row r="23" spans="3:8" x14ac:dyDescent="0.25">
      <c r="C23" s="1">
        <f t="shared" si="1"/>
        <v>151.875</v>
      </c>
      <c r="D23" cm="1">
        <f t="array" ref="D23">[1]!unf_friction_factor($C23,D$15,type)</f>
        <v>0.4213991769547325</v>
      </c>
      <c r="E23" cm="1">
        <f t="array" ref="E23">[1]!unf_friction_factor($C23,E$15,type)</f>
        <v>0.4213991769547325</v>
      </c>
      <c r="F23" cm="1">
        <f t="array" ref="F23">[1]!unf_friction_factor($C23,F$15,type)</f>
        <v>0.4213991769547325</v>
      </c>
      <c r="G23" cm="1">
        <f t="array" ref="G23">[1]!unf_friction_factor($C23,G$15,type)</f>
        <v>0.4213991769547325</v>
      </c>
      <c r="H23" cm="1">
        <f t="array" ref="H23">[1]!unf_friction_factor($C23,H$15,type)</f>
        <v>0.4213991769547325</v>
      </c>
    </row>
    <row r="24" spans="3:8" x14ac:dyDescent="0.25">
      <c r="C24" s="1">
        <f t="shared" si="1"/>
        <v>227.8125</v>
      </c>
      <c r="D24" cm="1">
        <f t="array" ref="D24">[1]!unf_friction_factor($C24,D$15,type)</f>
        <v>0.28093278463648835</v>
      </c>
      <c r="E24" cm="1">
        <f t="array" ref="E24">[1]!unf_friction_factor($C24,E$15,type)</f>
        <v>0.28093278463648835</v>
      </c>
      <c r="F24" cm="1">
        <f t="array" ref="F24">[1]!unf_friction_factor($C24,F$15,type)</f>
        <v>0.28093278463648835</v>
      </c>
      <c r="G24" cm="1">
        <f t="array" ref="G24">[1]!unf_friction_factor($C24,G$15,type)</f>
        <v>0.28093278463648835</v>
      </c>
      <c r="H24" cm="1">
        <f t="array" ref="H24">[1]!unf_friction_factor($C24,H$15,type)</f>
        <v>0.28093278463648835</v>
      </c>
    </row>
    <row r="25" spans="3:8" x14ac:dyDescent="0.25">
      <c r="C25" s="1">
        <f t="shared" si="1"/>
        <v>341.71875</v>
      </c>
      <c r="D25" cm="1">
        <f t="array" ref="D25">[1]!unf_friction_factor($C25,D$15,type)</f>
        <v>0.18728852309099223</v>
      </c>
      <c r="E25" cm="1">
        <f t="array" ref="E25">[1]!unf_friction_factor($C25,E$15,type)</f>
        <v>0.18728852309099223</v>
      </c>
      <c r="F25" cm="1">
        <f t="array" ref="F25">[1]!unf_friction_factor($C25,F$15,type)</f>
        <v>0.18728852309099223</v>
      </c>
      <c r="G25" cm="1">
        <f t="array" ref="G25">[1]!unf_friction_factor($C25,G$15,type)</f>
        <v>0.18728852309099223</v>
      </c>
      <c r="H25" cm="1">
        <f t="array" ref="H25">[1]!unf_friction_factor($C25,H$15,type)</f>
        <v>0.18728852309099223</v>
      </c>
    </row>
    <row r="26" spans="3:8" x14ac:dyDescent="0.25">
      <c r="C26" s="1">
        <f t="shared" si="1"/>
        <v>512.578125</v>
      </c>
      <c r="D26" cm="1">
        <f t="array" ref="D26">[1]!unf_friction_factor($C26,D$15,type)</f>
        <v>0.12485901539399481</v>
      </c>
      <c r="E26" cm="1">
        <f t="array" ref="E26">[1]!unf_friction_factor($C26,E$15,type)</f>
        <v>0.12485901539399481</v>
      </c>
      <c r="F26" cm="1">
        <f t="array" ref="F26">[1]!unf_friction_factor($C26,F$15,type)</f>
        <v>0.12485901539399481</v>
      </c>
      <c r="G26" cm="1">
        <f t="array" ref="G26">[1]!unf_friction_factor($C26,G$15,type)</f>
        <v>0.12485901539399481</v>
      </c>
      <c r="H26" cm="1">
        <f t="array" ref="H26">[1]!unf_friction_factor($C26,H$15,type)</f>
        <v>0.12485901539399481</v>
      </c>
    </row>
    <row r="27" spans="3:8" x14ac:dyDescent="0.25">
      <c r="C27" s="1">
        <f t="shared" si="1"/>
        <v>768.8671875</v>
      </c>
      <c r="D27" cm="1">
        <f t="array" ref="D27">[1]!unf_friction_factor($C27,D$15,type)</f>
        <v>8.3239343595996551E-2</v>
      </c>
      <c r="E27" cm="1">
        <f t="array" ref="E27">[1]!unf_friction_factor($C27,E$15,type)</f>
        <v>8.3239343595996551E-2</v>
      </c>
      <c r="F27" cm="1">
        <f t="array" ref="F27">[1]!unf_friction_factor($C27,F$15,type)</f>
        <v>8.3239343595996551E-2</v>
      </c>
      <c r="G27" cm="1">
        <f t="array" ref="G27">[1]!unf_friction_factor($C27,G$15,type)</f>
        <v>8.3239343595996551E-2</v>
      </c>
      <c r="H27" cm="1">
        <f t="array" ref="H27">[1]!unf_friction_factor($C27,H$15,type)</f>
        <v>8.3239343595996551E-2</v>
      </c>
    </row>
    <row r="28" spans="3:8" x14ac:dyDescent="0.25">
      <c r="C28" s="1">
        <f t="shared" si="1"/>
        <v>1153.30078125</v>
      </c>
      <c r="D28" cm="1">
        <f t="array" ref="D28">[1]!unf_friction_factor($C28,D$15,type)</f>
        <v>5.5492895730664363E-2</v>
      </c>
      <c r="E28" cm="1">
        <f t="array" ref="E28">[1]!unf_friction_factor($C28,E$15,type)</f>
        <v>5.5492895730664363E-2</v>
      </c>
      <c r="F28" cm="1">
        <f t="array" ref="F28">[1]!unf_friction_factor($C28,F$15,type)</f>
        <v>5.5492895730664363E-2</v>
      </c>
      <c r="G28" cm="1">
        <f t="array" ref="G28">[1]!unf_friction_factor($C28,G$15,type)</f>
        <v>5.5492895730664363E-2</v>
      </c>
      <c r="H28" cm="1">
        <f t="array" ref="H28">[1]!unf_friction_factor($C28,H$15,type)</f>
        <v>5.5492895730664363E-2</v>
      </c>
    </row>
    <row r="29" spans="3:8" x14ac:dyDescent="0.25">
      <c r="C29" s="1">
        <f t="shared" si="1"/>
        <v>1729.951171875</v>
      </c>
      <c r="D29" cm="1">
        <f t="array" ref="D29">[1]!unf_friction_factor($C29,D$15,type)</f>
        <v>3.6995263820442909E-2</v>
      </c>
      <c r="E29" cm="1">
        <f t="array" ref="E29">[1]!unf_friction_factor($C29,E$15,type)</f>
        <v>3.6995263820442909E-2</v>
      </c>
      <c r="F29" cm="1">
        <f t="array" ref="F29">[1]!unf_friction_factor($C29,F$15,type)</f>
        <v>3.6995263820442909E-2</v>
      </c>
      <c r="G29" cm="1">
        <f t="array" ref="G29">[1]!unf_friction_factor($C29,G$15,type)</f>
        <v>3.6995263820442909E-2</v>
      </c>
      <c r="H29" cm="1">
        <f t="array" ref="H29">[1]!unf_friction_factor($C29,H$15,type)</f>
        <v>3.6995263820442909E-2</v>
      </c>
    </row>
    <row r="30" spans="3:8" x14ac:dyDescent="0.25">
      <c r="C30" s="1">
        <f t="shared" si="1"/>
        <v>2594.9267578125</v>
      </c>
      <c r="D30" cm="1">
        <f t="array" ref="D30">[1]!unf_friction_factor($C30,D$15,type)</f>
        <v>3.9342946412761107E-2</v>
      </c>
      <c r="E30" cm="1">
        <f t="array" ref="E30">[1]!unf_friction_factor($C30,E$15,type)</f>
        <v>3.9346851559999521E-2</v>
      </c>
      <c r="F30" cm="1">
        <f t="array" ref="F30">[1]!unf_friction_factor($C30,F$15,type)</f>
        <v>3.9397080405748096E-2</v>
      </c>
      <c r="G30" cm="1">
        <f t="array" ref="G30">[1]!unf_friction_factor($C30,G$15,type)</f>
        <v>4.0031570076428533E-2</v>
      </c>
      <c r="H30" cm="1">
        <f t="array" ref="H30">[1]!unf_friction_factor($C30,H$15,type)</f>
        <v>4.6838922585799511E-2</v>
      </c>
    </row>
    <row r="31" spans="3:8" x14ac:dyDescent="0.25">
      <c r="C31" s="1">
        <f t="shared" si="1"/>
        <v>3892.39013671875</v>
      </c>
      <c r="D31" cm="1">
        <f t="array" ref="D31">[1]!unf_friction_factor($C31,D$15,type)</f>
        <v>4.0772241481943715E-2</v>
      </c>
      <c r="E31" cm="1">
        <f t="array" ref="E31">[1]!unf_friction_factor($C31,E$15,type)</f>
        <v>4.0779750133143673E-2</v>
      </c>
      <c r="F31" cm="1">
        <f t="array" ref="F31">[1]!unf_friction_factor($C31,F$15,type)</f>
        <v>4.0876275025376212E-2</v>
      </c>
      <c r="G31" cm="1">
        <f t="array" ref="G31">[1]!unf_friction_factor($C31,G$15,type)</f>
        <v>4.208754636977121E-2</v>
      </c>
      <c r="H31" cm="1">
        <f t="array" ref="H31">[1]!unf_friction_factor($C31,H$15,type)</f>
        <v>5.4494705670531371E-2</v>
      </c>
    </row>
    <row r="32" spans="3:8" x14ac:dyDescent="0.25">
      <c r="C32" s="1">
        <f t="shared" si="1"/>
        <v>5838.585205078125</v>
      </c>
      <c r="D32" cm="1">
        <f t="array" ref="D32">[1]!unf_friction_factor($C32,D$15,type)</f>
        <v>3.6014963306782784E-2</v>
      </c>
      <c r="E32" cm="1">
        <f t="array" ref="E32">[1]!unf_friction_factor($C32,E$15,type)</f>
        <v>3.6024312655829401E-2</v>
      </c>
      <c r="F32" cm="1">
        <f t="array" ref="F32">[1]!unf_friction_factor($C32,F$15,type)</f>
        <v>3.6144352419013051E-2</v>
      </c>
      <c r="G32" cm="1">
        <f t="array" ref="G32">[1]!unf_friction_factor($C32,G$15,type)</f>
        <v>3.7629164645735631E-2</v>
      </c>
      <c r="H32" cm="1">
        <f t="array" ref="H32">[1]!unf_friction_factor($C32,H$15,type)</f>
        <v>5.1578176116572151E-2</v>
      </c>
    </row>
    <row r="33" spans="3:8" x14ac:dyDescent="0.25">
      <c r="C33" s="1">
        <f t="shared" si="1"/>
        <v>8757.8778076171875</v>
      </c>
      <c r="D33" cm="1">
        <f t="array" ref="D33">[1]!unf_friction_factor($C33,D$15,type)</f>
        <v>3.2044314338384984E-2</v>
      </c>
      <c r="E33" cm="1">
        <f t="array" ref="E33">[1]!unf_friction_factor($C33,E$15,type)</f>
        <v>3.2056082233312792E-2</v>
      </c>
      <c r="F33" cm="1">
        <f t="array" ref="F33">[1]!unf_friction_factor($C33,F$15,type)</f>
        <v>3.2206889039653609E-2</v>
      </c>
      <c r="G33" cm="1">
        <f t="array" ref="G33">[1]!unf_friction_factor($C33,G$15,type)</f>
        <v>3.403306837307931E-2</v>
      </c>
      <c r="H33" cm="1">
        <f t="array" ref="H33">[1]!unf_friction_factor($C33,H$15,type)</f>
        <v>4.9507228891119838E-2</v>
      </c>
    </row>
    <row r="34" spans="3:8" x14ac:dyDescent="0.25">
      <c r="C34" s="1">
        <f t="shared" si="1"/>
        <v>13136.816711425781</v>
      </c>
      <c r="D34" cm="1">
        <f t="array" ref="D34">[1]!unf_friction_factor($C34,D$15,type)</f>
        <v>2.8696003888963623E-2</v>
      </c>
      <c r="E34" cm="1">
        <f t="array" ref="E34">[1]!unf_friction_factor($C34,E$15,type)</f>
        <v>2.8710958651484403E-2</v>
      </c>
      <c r="F34" cm="1">
        <f t="array" ref="F34">[1]!unf_friction_factor($C34,F$15,type)</f>
        <v>2.8902051181915068E-2</v>
      </c>
      <c r="G34" cm="1">
        <f t="array" ref="G34">[1]!unf_friction_factor($C34,G$15,type)</f>
        <v>3.1146318645396673E-2</v>
      </c>
      <c r="H34" cm="1">
        <f t="array" ref="H34">[1]!unf_friction_factor($C34,H$15,type)</f>
        <v>4.8057929725772525E-2</v>
      </c>
    </row>
    <row r="35" spans="3:8" x14ac:dyDescent="0.25">
      <c r="C35" s="1">
        <f t="shared" si="1"/>
        <v>19705.225067138672</v>
      </c>
      <c r="D35" cm="1">
        <f t="array" ref="D35">[1]!unf_friction_factor($C35,D$15,type)</f>
        <v>2.5846511529163129E-2</v>
      </c>
      <c r="E35" cm="1">
        <f t="array" ref="E35">[1]!unf_friction_factor($C35,E$15,type)</f>
        <v>2.5865678966582678E-2</v>
      </c>
      <c r="F35" cm="1">
        <f t="array" ref="F35">[1]!unf_friction_factor($C35,F$15,type)</f>
        <v>2.6109523802040121E-2</v>
      </c>
      <c r="G35" cm="1">
        <f t="array" ref="G35">[1]!unf_friction_factor($C35,G$15,type)</f>
        <v>2.8853156213410031E-2</v>
      </c>
      <c r="H35" cm="1">
        <f t="array" ref="H35">[1]!unf_friction_factor($C35,H$15,type)</f>
        <v>4.7056347037239002E-2</v>
      </c>
    </row>
    <row r="36" spans="3:8" x14ac:dyDescent="0.25">
      <c r="C36" s="1">
        <f t="shared" si="1"/>
        <v>29557.837600708008</v>
      </c>
      <c r="D36" cm="1">
        <f t="array" ref="D36">[1]!unf_friction_factor($C36,D$15,type)</f>
        <v>2.3401528645828458E-2</v>
      </c>
      <c r="E36" cm="1">
        <f t="array" ref="E36">[1]!unf_friction_factor($C36,E$15,type)</f>
        <v>2.3426282804952996E-2</v>
      </c>
      <c r="F36" cm="1">
        <f t="array" ref="F36">[1]!unf_friction_factor($C36,F$15,type)</f>
        <v>2.3739109366164361E-2</v>
      </c>
      <c r="G36" cm="1">
        <f t="array" ref="G36">[1]!unf_friction_factor($C36,G$15,type)</f>
        <v>2.7060397307078467E-2</v>
      </c>
      <c r="H36" cm="1">
        <f t="array" ref="H36">[1]!unf_friction_factor($C36,H$15,type)</f>
        <v>4.6371127385900844E-2</v>
      </c>
    </row>
    <row r="37" spans="3:8" x14ac:dyDescent="0.25">
      <c r="C37" s="1">
        <f t="shared" si="1"/>
        <v>44336.756401062012</v>
      </c>
      <c r="D37" cm="1">
        <f t="array" ref="D37">[1]!unf_friction_factor($C37,D$15,type)</f>
        <v>2.1288052463388007E-2</v>
      </c>
      <c r="E37" cm="1">
        <f t="array" ref="E37">[1]!unf_friction_factor($C37,E$15,type)</f>
        <v>2.1320238344446255E-2</v>
      </c>
      <c r="F37" cm="1">
        <f t="array" ref="F37">[1]!unf_friction_factor($C37,F$15,type)</f>
        <v>2.1722940515788929E-2</v>
      </c>
      <c r="G37" cm="1">
        <f t="array" ref="G37">[1]!unf_friction_factor($C37,G$15,type)</f>
        <v>2.5687204433690797E-2</v>
      </c>
      <c r="H37" cm="1">
        <f t="array" ref="H37">[1]!unf_friction_factor($C37,H$15,type)</f>
        <v>4.5905928516098024E-2</v>
      </c>
    </row>
    <row r="38" spans="3:8" x14ac:dyDescent="0.25">
      <c r="C38" s="1">
        <f t="shared" si="1"/>
        <v>66505.134601593018</v>
      </c>
      <c r="D38" cm="1">
        <f t="array" ref="D38">[1]!unf_friction_factor($C38,D$15,type)</f>
        <v>1.944887169730863E-2</v>
      </c>
      <c r="E38" cm="1">
        <f t="array" ref="E38">[1]!unf_friction_factor($C38,E$15,type)</f>
        <v>1.9490970486970783E-2</v>
      </c>
      <c r="F38" cm="1">
        <f t="array" ref="F38">[1]!unf_friction_factor($C38,F$15,type)</f>
        <v>2.000996321482465E-2</v>
      </c>
      <c r="G38" cm="1">
        <f t="array" ref="G38">[1]!unf_friction_factor($C38,G$15,type)</f>
        <v>2.4659348194772751E-2</v>
      </c>
      <c r="H38" cm="1">
        <f t="array" ref="H38">[1]!unf_friction_factor($C38,H$15,type)</f>
        <v>4.5591868678271745E-2</v>
      </c>
    </row>
    <row r="39" spans="3:8" x14ac:dyDescent="0.25">
      <c r="C39" s="1">
        <f t="shared" si="1"/>
        <v>99757.701902389526</v>
      </c>
      <c r="D39" cm="1">
        <f t="array" ref="D39">[1]!unf_friction_factor($C39,D$15,type)</f>
        <v>1.7838652767419413E-2</v>
      </c>
      <c r="E39" cm="1">
        <f t="array" ref="E39">[1]!unf_friction_factor($C39,E$15,type)</f>
        <v>1.7894002581533383E-2</v>
      </c>
      <c r="F39" cm="1">
        <f t="array" ref="F39">[1]!unf_friction_factor($C39,F$15,type)</f>
        <v>1.8561765886109173E-2</v>
      </c>
      <c r="G39" cm="1">
        <f t="array" ref="G39">[1]!unf_friction_factor($C39,G$15,type)</f>
        <v>2.3907745229431367E-2</v>
      </c>
      <c r="H39" cm="1">
        <f t="array" ref="H39">[1]!unf_friction_factor($C39,H$15,type)</f>
        <v>4.5380686233713254E-2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17</xdr:col>
                    <xdr:colOff>495300</xdr:colOff>
                    <xdr:row>2</xdr:row>
                    <xdr:rowOff>152400</xdr:rowOff>
                  </from>
                  <to>
                    <xdr:col>22</xdr:col>
                    <xdr:colOff>314325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Лист1</vt:lpstr>
      <vt:lpstr>mult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2020-05-03T17:56:56Z</dcterms:created>
  <dcterms:modified xsi:type="dcterms:W3CDTF">2020-05-04T06:54:45Z</dcterms:modified>
</cp:coreProperties>
</file>