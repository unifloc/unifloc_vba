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C9ED1FF-E6D2-41AA-A950-8FDA65F1494F}" xr6:coauthVersionLast="45" xr6:coauthVersionMax="45" xr10:uidLastSave="{00000000-0000-0000-0000-000000000000}"/>
  <bookViews>
    <workbookView xWindow="-120" yWindow="-120" windowWidth="38640" windowHeight="2124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qliq_new">exercise_pipeline!$Q$28</definedName>
    <definedName name="qliq_old">exercise_pipeline!$Q$27</definedName>
    <definedName name="Rp_" localSheetId="0">exercise_pipeline!$C$15</definedName>
    <definedName name="Rsb_" localSheetId="0">exercise_pipeline!$C$14</definedName>
    <definedName name="solver_adj" localSheetId="0" hidden="1">exercise_pipeline!$C$25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exercise_pipeline!$C$25</definedName>
    <definedName name="solver_lhs2" localSheetId="0" hidden="1">exercise_pipeline!$C$25</definedName>
    <definedName name="solver_lhs3" localSheetId="0" hidden="1">exercise_pipeline!$C$25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exercise_pipeline!$R$24</definedName>
    <definedName name="solver_pre" localSheetId="0" hidden="1">0.01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exercise_pipeline!$Q$26</definedName>
    <definedName name="solver_rhs2" localSheetId="0" hidden="1">exercise_pipeline!$Q$25</definedName>
    <definedName name="solver_rhs3" localSheetId="0" hidden="1">exercise_pipeline!$Q$25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0" i="3" l="1"/>
  <c r="C29" i="3"/>
  <c r="Q29" i="3"/>
  <c r="C34" i="3"/>
  <c r="V37" i="3" s="1" a="1"/>
  <c r="K37" i="3" a="1"/>
  <c r="G1" i="3"/>
  <c r="K37" i="3" l="1"/>
  <c r="N38" i="3"/>
  <c r="Q39" i="3"/>
  <c r="K41" i="3"/>
  <c r="N42" i="3"/>
  <c r="Q43" i="3"/>
  <c r="K45" i="3"/>
  <c r="N46" i="3"/>
  <c r="Q47" i="3"/>
  <c r="K49" i="3"/>
  <c r="N50" i="3"/>
  <c r="Q51" i="3"/>
  <c r="K53" i="3"/>
  <c r="N54" i="3"/>
  <c r="Q55" i="3"/>
  <c r="K57" i="3"/>
  <c r="N58" i="3"/>
  <c r="Q59" i="3"/>
  <c r="L37" i="3"/>
  <c r="O38" i="3"/>
  <c r="R39" i="3"/>
  <c r="L41" i="3"/>
  <c r="O42" i="3"/>
  <c r="R43" i="3"/>
  <c r="L45" i="3"/>
  <c r="O46" i="3"/>
  <c r="R47" i="3"/>
  <c r="L49" i="3"/>
  <c r="O50" i="3"/>
  <c r="R51" i="3"/>
  <c r="L53" i="3"/>
  <c r="O54" i="3"/>
  <c r="R55" i="3"/>
  <c r="L57" i="3"/>
  <c r="O58" i="3"/>
  <c r="R59" i="3"/>
  <c r="Q37" i="3"/>
  <c r="K39" i="3"/>
  <c r="N40" i="3"/>
  <c r="Q41" i="3"/>
  <c r="K43" i="3"/>
  <c r="N44" i="3"/>
  <c r="Q45" i="3"/>
  <c r="K47" i="3"/>
  <c r="N48" i="3"/>
  <c r="Q49" i="3"/>
  <c r="K51" i="3"/>
  <c r="N52" i="3"/>
  <c r="Q53" i="3"/>
  <c r="K55" i="3"/>
  <c r="N56" i="3"/>
  <c r="Q57" i="3"/>
  <c r="K59" i="3"/>
  <c r="M37" i="3"/>
  <c r="S38" i="3"/>
  <c r="Q40" i="3"/>
  <c r="P42" i="3"/>
  <c r="M44" i="3"/>
  <c r="K46" i="3"/>
  <c r="S47" i="3"/>
  <c r="P49" i="3"/>
  <c r="N51" i="3"/>
  <c r="M53" i="3"/>
  <c r="S54" i="3"/>
  <c r="Q56" i="3"/>
  <c r="P58" i="3"/>
  <c r="O37" i="3"/>
  <c r="S40" i="3"/>
  <c r="P44" i="3"/>
  <c r="L48" i="3"/>
  <c r="P51" i="3"/>
  <c r="M55" i="3"/>
  <c r="R58" i="3"/>
  <c r="P37" i="3"/>
  <c r="M41" i="3"/>
  <c r="Q44" i="3"/>
  <c r="M48" i="3"/>
  <c r="S51" i="3"/>
  <c r="N55" i="3"/>
  <c r="S58" i="3"/>
  <c r="R37" i="3"/>
  <c r="N41" i="3"/>
  <c r="R44" i="3"/>
  <c r="O48" i="3"/>
  <c r="K52" i="3"/>
  <c r="O55" i="3"/>
  <c r="L59" i="3"/>
  <c r="S37" i="3"/>
  <c r="O41" i="3"/>
  <c r="S44" i="3"/>
  <c r="P48" i="3"/>
  <c r="L52" i="3"/>
  <c r="P55" i="3"/>
  <c r="M59" i="3"/>
  <c r="K38" i="3"/>
  <c r="P41" i="3"/>
  <c r="M45" i="3"/>
  <c r="N37" i="3"/>
  <c r="L39" i="3"/>
  <c r="R40" i="3"/>
  <c r="Q42" i="3"/>
  <c r="O44" i="3"/>
  <c r="L46" i="3"/>
  <c r="K48" i="3"/>
  <c r="R49" i="3"/>
  <c r="O51" i="3"/>
  <c r="N53" i="3"/>
  <c r="L55" i="3"/>
  <c r="R56" i="3"/>
  <c r="Q58" i="3"/>
  <c r="M39" i="3"/>
  <c r="R42" i="3"/>
  <c r="M46" i="3"/>
  <c r="S49" i="3"/>
  <c r="O53" i="3"/>
  <c r="S56" i="3"/>
  <c r="N39" i="3"/>
  <c r="S42" i="3"/>
  <c r="P46" i="3"/>
  <c r="K50" i="3"/>
  <c r="P53" i="3"/>
  <c r="M57" i="3"/>
  <c r="O39" i="3"/>
  <c r="L43" i="3"/>
  <c r="Q46" i="3"/>
  <c r="L50" i="3"/>
  <c r="R53" i="3"/>
  <c r="N57" i="3"/>
  <c r="P39" i="3"/>
  <c r="M43" i="3"/>
  <c r="R46" i="3"/>
  <c r="M50" i="3"/>
  <c r="S53" i="3"/>
  <c r="O57" i="3"/>
  <c r="S39" i="3"/>
  <c r="N43" i="3"/>
  <c r="S46" i="3"/>
  <c r="R41" i="3"/>
  <c r="P45" i="3"/>
  <c r="N49" i="3"/>
  <c r="R52" i="3"/>
  <c r="O56" i="3"/>
  <c r="K42" i="3"/>
  <c r="S45" i="3"/>
  <c r="K54" i="3"/>
  <c r="L42" i="3"/>
  <c r="Q50" i="3"/>
  <c r="R57" i="3"/>
  <c r="P38" i="3"/>
  <c r="M47" i="3"/>
  <c r="M54" i="3"/>
  <c r="O43" i="3"/>
  <c r="S50" i="3"/>
  <c r="K58" i="3"/>
  <c r="P43" i="3"/>
  <c r="L51" i="3"/>
  <c r="L58" i="3"/>
  <c r="S43" i="3"/>
  <c r="M51" i="3"/>
  <c r="M58" i="3"/>
  <c r="K44" i="3"/>
  <c r="M52" i="3"/>
  <c r="N59" i="3"/>
  <c r="L44" i="3"/>
  <c r="O52" i="3"/>
  <c r="O59" i="3"/>
  <c r="N45" i="3"/>
  <c r="P52" i="3"/>
  <c r="P59" i="3"/>
  <c r="P40" i="3"/>
  <c r="O45" i="3"/>
  <c r="Q52" i="3"/>
  <c r="S59" i="3"/>
  <c r="S41" i="3"/>
  <c r="R45" i="3"/>
  <c r="O49" i="3"/>
  <c r="S52" i="3"/>
  <c r="P56" i="3"/>
  <c r="L38" i="3"/>
  <c r="P50" i="3"/>
  <c r="P57" i="3"/>
  <c r="M38" i="3"/>
  <c r="L47" i="3"/>
  <c r="L54" i="3"/>
  <c r="M42" i="3"/>
  <c r="R50" i="3"/>
  <c r="S57" i="3"/>
  <c r="Q38" i="3"/>
  <c r="N47" i="3"/>
  <c r="P54" i="3"/>
  <c r="R38" i="3"/>
  <c r="O47" i="3"/>
  <c r="Q54" i="3"/>
  <c r="K40" i="3"/>
  <c r="P47" i="3"/>
  <c r="R54" i="3"/>
  <c r="L40" i="3"/>
  <c r="Q48" i="3"/>
  <c r="S55" i="3"/>
  <c r="M40" i="3"/>
  <c r="R48" i="3"/>
  <c r="K56" i="3"/>
  <c r="O40" i="3"/>
  <c r="S48" i="3"/>
  <c r="L56" i="3"/>
  <c r="M49" i="3"/>
  <c r="M56" i="3"/>
  <c r="Z37" i="3"/>
  <c r="AC38" i="3"/>
  <c r="W40" i="3"/>
  <c r="Z41" i="3"/>
  <c r="AC42" i="3"/>
  <c r="W44" i="3"/>
  <c r="Z45" i="3"/>
  <c r="AC46" i="3"/>
  <c r="W48" i="3"/>
  <c r="Z49" i="3"/>
  <c r="AC50" i="3"/>
  <c r="W52" i="3"/>
  <c r="Z53" i="3"/>
  <c r="AC54" i="3"/>
  <c r="W56" i="3"/>
  <c r="Z57" i="3"/>
  <c r="AC58" i="3"/>
  <c r="AA37" i="3"/>
  <c r="AD38" i="3"/>
  <c r="X40" i="3"/>
  <c r="AA41" i="3"/>
  <c r="AD42" i="3"/>
  <c r="X44" i="3"/>
  <c r="AA45" i="3"/>
  <c r="AD46" i="3"/>
  <c r="X48" i="3"/>
  <c r="AA49" i="3"/>
  <c r="AD50" i="3"/>
  <c r="X52" i="3"/>
  <c r="AA53" i="3"/>
  <c r="AD54" i="3"/>
  <c r="X56" i="3"/>
  <c r="AA57" i="3"/>
  <c r="AD58" i="3"/>
  <c r="AB37" i="3"/>
  <c r="V39" i="3"/>
  <c r="Y40" i="3"/>
  <c r="AB41" i="3"/>
  <c r="V43" i="3"/>
  <c r="Y44" i="3"/>
  <c r="AB45" i="3"/>
  <c r="V47" i="3"/>
  <c r="Y48" i="3"/>
  <c r="AB49" i="3"/>
  <c r="V51" i="3"/>
  <c r="Y52" i="3"/>
  <c r="AB53" i="3"/>
  <c r="V55" i="3"/>
  <c r="Y56" i="3"/>
  <c r="W38" i="3"/>
  <c r="Z39" i="3"/>
  <c r="AC40" i="3"/>
  <c r="W42" i="3"/>
  <c r="Z43" i="3"/>
  <c r="AC44" i="3"/>
  <c r="W46" i="3"/>
  <c r="Z47" i="3"/>
  <c r="AC48" i="3"/>
  <c r="W50" i="3"/>
  <c r="Z51" i="3"/>
  <c r="AC52" i="3"/>
  <c r="W54" i="3"/>
  <c r="Z55" i="3"/>
  <c r="AC56" i="3"/>
  <c r="W58" i="3"/>
  <c r="Z59" i="3"/>
  <c r="AA38" i="3"/>
  <c r="AB40" i="3"/>
  <c r="AA42" i="3"/>
  <c r="AB44" i="3"/>
  <c r="AA46" i="3"/>
  <c r="AB48" i="3"/>
  <c r="AA50" i="3"/>
  <c r="AB52" i="3"/>
  <c r="AA54" i="3"/>
  <c r="AB56" i="3"/>
  <c r="Z58" i="3"/>
  <c r="W39" i="3"/>
  <c r="V41" i="3"/>
  <c r="V45" i="3"/>
  <c r="V49" i="3"/>
  <c r="V53" i="3"/>
  <c r="V57" i="3"/>
  <c r="X39" i="3"/>
  <c r="W41" i="3"/>
  <c r="W45" i="3"/>
  <c r="W49" i="3"/>
  <c r="W53" i="3"/>
  <c r="W57" i="3"/>
  <c r="Y39" i="3"/>
  <c r="X41" i="3"/>
  <c r="X45" i="3"/>
  <c r="X49" i="3"/>
  <c r="X53" i="3"/>
  <c r="X57" i="3"/>
  <c r="AA39" i="3"/>
  <c r="Y41" i="3"/>
  <c r="Y45" i="3"/>
  <c r="Y49" i="3"/>
  <c r="Y53" i="3"/>
  <c r="Y57" i="3"/>
  <c r="AB39" i="3"/>
  <c r="AC41" i="3"/>
  <c r="AC45" i="3"/>
  <c r="AC49" i="3"/>
  <c r="AC53" i="3"/>
  <c r="AB57" i="3"/>
  <c r="AB38" i="3"/>
  <c r="AD40" i="3"/>
  <c r="AB42" i="3"/>
  <c r="AD44" i="3"/>
  <c r="AB46" i="3"/>
  <c r="AD48" i="3"/>
  <c r="AB50" i="3"/>
  <c r="AD52" i="3"/>
  <c r="AB54" i="3"/>
  <c r="AD56" i="3"/>
  <c r="AA58" i="3"/>
  <c r="V37" i="3"/>
  <c r="W43" i="3"/>
  <c r="W47" i="3"/>
  <c r="W51" i="3"/>
  <c r="W55" i="3"/>
  <c r="AB58" i="3"/>
  <c r="W37" i="3"/>
  <c r="X43" i="3"/>
  <c r="X47" i="3"/>
  <c r="X51" i="3"/>
  <c r="X55" i="3"/>
  <c r="V59" i="3"/>
  <c r="X37" i="3"/>
  <c r="Y43" i="3"/>
  <c r="Y47" i="3"/>
  <c r="Y51" i="3"/>
  <c r="Y55" i="3"/>
  <c r="W59" i="3"/>
  <c r="Y37" i="3"/>
  <c r="AA43" i="3"/>
  <c r="AA47" i="3"/>
  <c r="AA51" i="3"/>
  <c r="AA55" i="3"/>
  <c r="X59" i="3"/>
  <c r="AC37" i="3"/>
  <c r="AB43" i="3"/>
  <c r="AB47" i="3"/>
  <c r="AB51" i="3"/>
  <c r="AB55" i="3"/>
  <c r="Y59" i="3"/>
  <c r="AD41" i="3"/>
  <c r="X46" i="3"/>
  <c r="Z50" i="3"/>
  <c r="AD55" i="3"/>
  <c r="AD59" i="3"/>
  <c r="AD37" i="3"/>
  <c r="X42" i="3"/>
  <c r="AD51" i="3"/>
  <c r="Z56" i="3"/>
  <c r="V38" i="3"/>
  <c r="AC47" i="3"/>
  <c r="AA56" i="3"/>
  <c r="Z42" i="3"/>
  <c r="Z52" i="3"/>
  <c r="Y38" i="3"/>
  <c r="V48" i="3"/>
  <c r="AD57" i="3"/>
  <c r="AD43" i="3"/>
  <c r="Z48" i="3"/>
  <c r="V58" i="3"/>
  <c r="V44" i="3"/>
  <c r="AA48" i="3"/>
  <c r="X58" i="3"/>
  <c r="Z44" i="3"/>
  <c r="AD49" i="3"/>
  <c r="Y58" i="3"/>
  <c r="AA44" i="3"/>
  <c r="V50" i="3"/>
  <c r="AA59" i="3"/>
  <c r="Z40" i="3"/>
  <c r="X50" i="3"/>
  <c r="AB59" i="3"/>
  <c r="V46" i="3"/>
  <c r="AC55" i="3"/>
  <c r="V42" i="3"/>
  <c r="Y46" i="3"/>
  <c r="AC51" i="3"/>
  <c r="V56" i="3"/>
  <c r="Z46" i="3"/>
  <c r="Y42" i="3"/>
  <c r="V52" i="3"/>
  <c r="X38" i="3"/>
  <c r="AD47" i="3"/>
  <c r="AC57" i="3"/>
  <c r="AC43" i="3"/>
  <c r="AA52" i="3"/>
  <c r="Z38" i="3"/>
  <c r="AD53" i="3"/>
  <c r="AC39" i="3"/>
  <c r="V54" i="3"/>
  <c r="AD39" i="3"/>
  <c r="X54" i="3"/>
  <c r="V40" i="3"/>
  <c r="Y54" i="3"/>
  <c r="AD45" i="3"/>
  <c r="Z54" i="3"/>
  <c r="AA40" i="3"/>
  <c r="Y50" i="3"/>
  <c r="AC59" i="3"/>
  <c r="E17" i="3"/>
  <c r="E16" i="3"/>
  <c r="E15" i="3"/>
  <c r="E14" i="3"/>
  <c r="E13" i="3"/>
  <c r="E12" i="3"/>
  <c r="E11" i="3"/>
  <c r="R22" i="3" l="1"/>
  <c r="R24" i="3" s="1"/>
  <c r="Q22" i="3" l="1"/>
  <c r="Q24" i="3" s="1"/>
</calcChain>
</file>

<file path=xl/sharedStrings.xml><?xml version="1.0" encoding="utf-8"?>
<sst xmlns="http://schemas.openxmlformats.org/spreadsheetml/2006/main" count="113" uniqueCount="88">
  <si>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</si>
  <si>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</si>
  <si>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</si>
  <si>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</si>
  <si>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</si>
  <si>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</si>
  <si>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</si>
  <si>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</si>
  <si>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</si>
  <si>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</si>
  <si>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</si>
  <si>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</si>
  <si>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</si>
  <si>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</si>
  <si>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</si>
  <si>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</si>
  <si>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</si>
  <si>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</si>
  <si>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</si>
  <si>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</si>
  <si>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</si>
  <si>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</si>
  <si>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</si>
  <si>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</si>
  <si>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</si>
  <si>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</si>
  <si>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</si>
  <si>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</si>
  <si>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</si>
  <si>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</si>
  <si>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</si>
  <si>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</si>
  <si>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</si>
  <si>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</si>
  <si>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</si>
  <si>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</si>
  <si>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</si>
  <si>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</si>
  <si>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</si>
  <si>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</si>
  <si>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</si>
  <si>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</si>
  <si>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</si>
  <si>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</si>
  <si>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</si>
  <si>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</si>
  <si>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</si>
  <si>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</si>
  <si>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</si>
  <si>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</si>
  <si>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</si>
  <si>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</si>
  <si>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</si>
  <si>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</si>
  <si>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</si>
  <si>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</si>
  <si>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</si>
  <si>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</si>
  <si>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</si>
  <si>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</si>
  <si>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</si>
  <si>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</si>
  <si>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</si>
  <si>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</si>
  <si>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</si>
  <si>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</si>
  <si>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</si>
  <si>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</si>
  <si>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</si>
  <si>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</si>
  <si>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</si>
  <si>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</si>
  <si>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</si>
  <si>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</si>
  <si>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</si>
  <si>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Давление в конце трубопровода (требуемое)</t>
  </si>
  <si>
    <t>Давление в конце трубопровода (по расчету):</t>
  </si>
  <si>
    <t>Функция ошибки:</t>
  </si>
  <si>
    <t>Минимальный дебит (ограничение при подборе)</t>
  </si>
  <si>
    <t>Максимальный дебит (ограничение при подборе)</t>
  </si>
  <si>
    <t>Старый дебит</t>
  </si>
  <si>
    <t>Новый дебит</t>
  </si>
  <si>
    <t>Изменение</t>
  </si>
  <si>
    <t>Расчет c устья</t>
  </si>
  <si>
    <t>Расчет с УПН</t>
  </si>
  <si>
    <t>Давление в начале трубопровода (по расчету):</t>
  </si>
  <si>
    <t>Давление в начале трубопровода (требуемое)</t>
  </si>
  <si>
    <t>Многофазный поток в наземном трубопроводе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</si>
</sst>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10" fillId="2" borderId="0" xfId="0" applyFon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  <xf numFmtId="0" fontId="0" fillId="5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exercise_pipeline!$K$36</c:f>
              <c:strCache>
                <c:ptCount val="1"/>
                <c:pt idx="0">
                  <c:v>Расчет c устья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exercise_pipeline!$N$40:$N$59</c:f>
              <c:numCache>
                <c:formatCode>0</c:formatCode>
                <c:ptCount val="20"/>
                <c:pt idx="0">
                  <c:v>15</c:v>
                </c:pt>
                <c:pt idx="1">
                  <c:v>14.499395815008722</c:v>
                </c:pt>
                <c:pt idx="2">
                  <c:v>14.320474892304121</c:v>
                </c:pt>
                <c:pt idx="3">
                  <c:v>14.141231380261473</c:v>
                </c:pt>
                <c:pt idx="4">
                  <c:v>13.961675273716921</c:v>
                </c:pt>
                <c:pt idx="5">
                  <c:v>13.781811858591162</c:v>
                </c:pt>
                <c:pt idx="6">
                  <c:v>13.377621438935707</c:v>
                </c:pt>
                <c:pt idx="7">
                  <c:v>12.466385733333578</c:v>
                </c:pt>
                <c:pt idx="8">
                  <c:v>11.650642470779784</c:v>
                </c:pt>
                <c:pt idx="9">
                  <c:v>11.11336249417244</c:v>
                </c:pt>
                <c:pt idx="10">
                  <c:v>10.340674022882173</c:v>
                </c:pt>
                <c:pt idx="11">
                  <c:v>10.305736494444702</c:v>
                </c:pt>
                <c:pt idx="12">
                  <c:v>10.677579538487683</c:v>
                </c:pt>
                <c:pt idx="13">
                  <c:v>10.806250545759438</c:v>
                </c:pt>
                <c:pt idx="14">
                  <c:v>10.881546027924138</c:v>
                </c:pt>
                <c:pt idx="15">
                  <c:v>10.959091919514025</c:v>
                </c:pt>
                <c:pt idx="16">
                  <c:v>10.939281960052408</c:v>
                </c:pt>
                <c:pt idx="17">
                  <c:v>10.900961447435975</c:v>
                </c:pt>
                <c:pt idx="18">
                  <c:v>10.861821169708996</c:v>
                </c:pt>
                <c:pt idx="19">
                  <c:v>10.82183889077338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81-4D40-BA3D-E1A3C8EA4B9F}"/>
            </c:ext>
          </c:extLst>
        </c:ser>
        <c:ser>
          <c:idx val="2"/>
          <c:order val="1"/>
          <c:tx>
            <c:strRef>
              <c:f>exercise_pipeline!$V$36</c:f>
              <c:strCache>
                <c:ptCount val="1"/>
                <c:pt idx="0">
                  <c:v>Расчет с УПН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exercise_pipeline!$Y$40:$Y$59</c:f>
              <c:numCache>
                <c:formatCode>General</c:formatCode>
                <c:ptCount val="20"/>
                <c:pt idx="0">
                  <c:v>14.305690823563745</c:v>
                </c:pt>
                <c:pt idx="1">
                  <c:v>13.80770490037577</c:v>
                </c:pt>
                <c:pt idx="2">
                  <c:v>13.626428563660086</c:v>
                </c:pt>
                <c:pt idx="3">
                  <c:v>13.444991958756182</c:v>
                </c:pt>
                <c:pt idx="4">
                  <c:v>13.263377534804283</c:v>
                </c:pt>
                <c:pt idx="5">
                  <c:v>13.081565759639544</c:v>
                </c:pt>
                <c:pt idx="6">
                  <c:v>12.68127498503609</c:v>
                </c:pt>
                <c:pt idx="7">
                  <c:v>11.788123498570323</c:v>
                </c:pt>
                <c:pt idx="8">
                  <c:v>10.989001880956884</c:v>
                </c:pt>
                <c:pt idx="9">
                  <c:v>10.460311485010434</c:v>
                </c:pt>
                <c:pt idx="10">
                  <c:v>9.7042384063852776</c:v>
                </c:pt>
                <c:pt idx="11">
                  <c:v>9.6566823759977112</c:v>
                </c:pt>
                <c:pt idx="12">
                  <c:v>9.9965322491685917</c:v>
                </c:pt>
                <c:pt idx="13">
                  <c:v>10.101398387399387</c:v>
                </c:pt>
                <c:pt idx="14">
                  <c:v>10.154930254065926</c:v>
                </c:pt>
                <c:pt idx="15">
                  <c:v>10.210228848859671</c:v>
                </c:pt>
                <c:pt idx="16">
                  <c:v>10.172407793451736</c:v>
                </c:pt>
                <c:pt idx="17">
                  <c:v>10.116365991966923</c:v>
                </c:pt>
                <c:pt idx="18">
                  <c:v>10.058912336453385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81-4D40-BA3D-E1A3C8EA4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967"/>
        <c:axId val="58255887"/>
      </c:scatterChart>
      <c:valAx>
        <c:axId val="229613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55887"/>
        <c:crosses val="autoZero"/>
        <c:crossBetween val="midCat"/>
      </c:valAx>
      <c:valAx>
        <c:axId val="5825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6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 трубопровода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exercise_pipeline!$M$39</c:f>
              <c:strCache>
                <c:ptCount val="1"/>
                <c:pt idx="0">
                  <c:v>hvert,m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-1</c:v>
                </c:pt>
                <c:pt idx="1">
                  <c:v>-10.105263157894736</c:v>
                </c:pt>
                <c:pt idx="2">
                  <c:v>-12.210526315789473</c:v>
                </c:pt>
                <c:pt idx="3">
                  <c:v>-14.315789473684211</c:v>
                </c:pt>
                <c:pt idx="4">
                  <c:v>-16.421052631578945</c:v>
                </c:pt>
                <c:pt idx="5">
                  <c:v>-18.526315789473685</c:v>
                </c:pt>
                <c:pt idx="6">
                  <c:v>-24.73684210526315</c:v>
                </c:pt>
                <c:pt idx="7">
                  <c:v>-42.368421052631568</c:v>
                </c:pt>
                <c:pt idx="8">
                  <c:v>-59.210526315789465</c:v>
                </c:pt>
                <c:pt idx="9">
                  <c:v>-69.73684210526315</c:v>
                </c:pt>
                <c:pt idx="10">
                  <c:v>-85.526315789473671</c:v>
                </c:pt>
                <c:pt idx="11">
                  <c:v>-83.421052631578974</c:v>
                </c:pt>
                <c:pt idx="12">
                  <c:v>-68.684210526315795</c:v>
                </c:pt>
                <c:pt idx="13">
                  <c:v>-61.578947368421062</c:v>
                </c:pt>
                <c:pt idx="14">
                  <c:v>-56.31578947368422</c:v>
                </c:pt>
                <c:pt idx="15">
                  <c:v>-51.052631578947377</c:v>
                </c:pt>
                <c:pt idx="16">
                  <c:v>-48.315789473684212</c:v>
                </c:pt>
                <c:pt idx="17">
                  <c:v>-46.21052631578948</c:v>
                </c:pt>
                <c:pt idx="18">
                  <c:v>-44.10526315789474</c:v>
                </c:pt>
                <c:pt idx="19">
                  <c:v>-42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A6-4AAE-8C7D-C969FF101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967"/>
        <c:axId val="58255887"/>
      </c:scatterChart>
      <c:valAx>
        <c:axId val="22961396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55887"/>
        <c:crosses val="autoZero"/>
        <c:crossBetween val="midCat"/>
      </c:valAx>
      <c:valAx>
        <c:axId val="582558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6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</a:t>
            </a:r>
            <a:r>
              <a:rPr lang="ru-RU" baseline="0"/>
              <a:t> темпертаруры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exercise_pipeline!$V$36</c:f>
              <c:strCache>
                <c:ptCount val="1"/>
                <c:pt idx="0">
                  <c:v>Расчет с УПН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exercise_pipeline!$Z$40:$Z$59</c:f>
              <c:numCache>
                <c:formatCode>General</c:formatCode>
                <c:ptCount val="2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BB-4669-90C1-B0A520DA7A01}"/>
            </c:ext>
          </c:extLst>
        </c:ser>
        <c:ser>
          <c:idx val="2"/>
          <c:order val="1"/>
          <c:tx>
            <c:strRef>
              <c:f>exercise_pipeline!$K$36</c:f>
              <c:strCache>
                <c:ptCount val="1"/>
                <c:pt idx="0">
                  <c:v>Расчет c устья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exercise_pipeline!$O$40:$O$59</c:f>
              <c:numCache>
                <c:formatCode>0</c:formatCode>
                <c:ptCount val="20"/>
                <c:pt idx="0">
                  <c:v>25</c:v>
                </c:pt>
                <c:pt idx="1">
                  <c:v>24.303244933522826</c:v>
                </c:pt>
                <c:pt idx="2">
                  <c:v>23.721541413838402</c:v>
                </c:pt>
                <c:pt idx="3">
                  <c:v>23.217336524086839</c:v>
                </c:pt>
                <c:pt idx="4">
                  <c:v>22.780136545153642</c:v>
                </c:pt>
                <c:pt idx="5">
                  <c:v>22.401223336690482</c:v>
                </c:pt>
                <c:pt idx="6">
                  <c:v>22.055857785593656</c:v>
                </c:pt>
                <c:pt idx="7">
                  <c:v>21.719817433047602</c:v>
                </c:pt>
                <c:pt idx="8">
                  <c:v>21.435023328171088</c:v>
                </c:pt>
                <c:pt idx="9">
                  <c:v>21.207376274070299</c:v>
                </c:pt>
                <c:pt idx="10">
                  <c:v>20.990450167835963</c:v>
                </c:pt>
                <c:pt idx="11">
                  <c:v>20.871689537558687</c:v>
                </c:pt>
                <c:pt idx="12">
                  <c:v>20.799317266424719</c:v>
                </c:pt>
                <c:pt idx="13">
                  <c:v>20.713188187771923</c:v>
                </c:pt>
                <c:pt idx="14">
                  <c:v>20.633691573472792</c:v>
                </c:pt>
                <c:pt idx="15">
                  <c:v>20.564821492599762</c:v>
                </c:pt>
                <c:pt idx="16">
                  <c:v>20.496363259363125</c:v>
                </c:pt>
                <c:pt idx="17">
                  <c:v>20.435546081050205</c:v>
                </c:pt>
                <c:pt idx="18">
                  <c:v>20.382852337213119</c:v>
                </c:pt>
                <c:pt idx="19">
                  <c:v>20.337171096710073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BB-4669-90C1-B0A520DA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967"/>
        <c:axId val="58255887"/>
      </c:scatterChart>
      <c:valAx>
        <c:axId val="229613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55887"/>
        <c:crosses val="autoZero"/>
        <c:crossBetween val="midCat"/>
      </c:valAx>
      <c:valAx>
        <c:axId val="5825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6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62939</xdr:colOff>
      <xdr:row>25</xdr:row>
      <xdr:rowOff>158854</xdr:rowOff>
    </xdr:from>
    <xdr:to>
      <xdr:col>25</xdr:col>
      <xdr:colOff>593021</xdr:colOff>
      <xdr:row>28</xdr:row>
      <xdr:rowOff>98181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 rot="4918604">
          <a:off x="17830739" y="4536679"/>
          <a:ext cx="558452" cy="2351739"/>
          <a:chOff x="5095875" y="1104900"/>
          <a:chExt cx="276225" cy="2038350"/>
        </a:xfrm>
      </xdr:grpSpPr>
      <xdr:sp macro="" textlink="">
        <xdr:nvSpPr>
          <xdr:cNvPr id="10" name="Цилиндр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Стрелка: вверх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 со сложной траекторией. 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445885</xdr:colOff>
      <xdr:row>0</xdr:row>
      <xdr:rowOff>56468</xdr:rowOff>
    </xdr:from>
    <xdr:to>
      <xdr:col>23</xdr:col>
      <xdr:colOff>107155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2244979" y="56468"/>
          <a:ext cx="5340551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трубопроводе?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изменяется пропускная способность трубопровода при изменении свойств перекачиваемой продукции?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Как зависит подбор параметра (дебита) от направления расчета?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10</xdr:col>
      <xdr:colOff>146276</xdr:colOff>
      <xdr:row>39</xdr:row>
      <xdr:rowOff>11907</xdr:rowOff>
    </xdr:from>
    <xdr:to>
      <xdr:col>19</xdr:col>
      <xdr:colOff>285750</xdr:colOff>
      <xdr:row>58</xdr:row>
      <xdr:rowOff>142874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554488</xdr:colOff>
      <xdr:row>58</xdr:row>
      <xdr:rowOff>64632</xdr:rowOff>
    </xdr:from>
    <xdr:to>
      <xdr:col>19</xdr:col>
      <xdr:colOff>392905</xdr:colOff>
      <xdr:row>76</xdr:row>
      <xdr:rowOff>142875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14</xdr:row>
          <xdr:rowOff>200025</xdr:rowOff>
        </xdr:from>
        <xdr:to>
          <xdr:col>16</xdr:col>
          <xdr:colOff>514350</xdr:colOff>
          <xdr:row>20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дебит жидкости для данного давления в УПН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(Найти пропускную способность при данных условиях)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404810</xdr:colOff>
      <xdr:row>39</xdr:row>
      <xdr:rowOff>2</xdr:rowOff>
    </xdr:from>
    <xdr:to>
      <xdr:col>30</xdr:col>
      <xdr:colOff>79941</xdr:colOff>
      <xdr:row>58</xdr:row>
      <xdr:rowOff>128252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</xdr:row>
          <xdr:rowOff>200025</xdr:rowOff>
        </xdr:from>
        <xdr:to>
          <xdr:col>22</xdr:col>
          <xdr:colOff>123825</xdr:colOff>
          <xdr:row>20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дебит жидкости для данного давления на устье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(Найти пропускную способность при данных условиях)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51345</xdr:colOff>
      <xdr:row>14</xdr:row>
      <xdr:rowOff>48323</xdr:rowOff>
    </xdr:from>
    <xdr:to>
      <xdr:col>27</xdr:col>
      <xdr:colOff>401992</xdr:colOff>
      <xdr:row>28</xdr:row>
      <xdr:rowOff>154781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 rot="2443400">
          <a:off x="19958595" y="2905823"/>
          <a:ext cx="350647" cy="3142552"/>
          <a:chOff x="5095875" y="1104900"/>
          <a:chExt cx="276225" cy="2038350"/>
        </a:xfrm>
      </xdr:grpSpPr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" name="Стрелка: вверх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28</xdr:col>
      <xdr:colOff>356690</xdr:colOff>
      <xdr:row>17</xdr:row>
      <xdr:rowOff>77205</xdr:rowOff>
    </xdr:from>
    <xdr:to>
      <xdr:col>32</xdr:col>
      <xdr:colOff>286519</xdr:colOff>
      <xdr:row>18</xdr:row>
      <xdr:rowOff>144906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 rot="6828805">
          <a:off x="21897598" y="2598829"/>
          <a:ext cx="305826" cy="2358704"/>
          <a:chOff x="5095875" y="1104900"/>
          <a:chExt cx="276225" cy="2038350"/>
        </a:xfrm>
      </xdr:grpSpPr>
      <xdr:sp macro="" textlink="">
        <xdr:nvSpPr>
          <xdr:cNvPr id="14" name="Цилиндр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5" name="Стрелка: вверх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D69"/>
  <sheetViews>
    <sheetView tabSelected="1" zoomScale="80" zoomScaleNormal="80" workbookViewId="0">
      <selection activeCell="Y6" sqref="Y6"/>
    </sheetView>
  </sheetViews>
  <sheetFormatPr defaultRowHeight="15" x14ac:dyDescent="0.25"/>
  <cols>
    <col min="2" max="2" width="16.42578125" bestFit="1" customWidth="1"/>
    <col min="3" max="3" width="10.85546875" customWidth="1"/>
    <col min="4" max="4" width="7.85546875" bestFit="1" customWidth="1"/>
    <col min="6" max="6" width="18.7109375" bestFit="1" customWidth="1"/>
    <col min="7" max="7" width="17.7109375" bestFit="1" customWidth="1"/>
    <col min="9" max="9" width="32.57031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49</v>
      </c>
      <c r="I1" s="33">
        <v>44027</v>
      </c>
      <c r="J1" s="34"/>
      <c r="K1" s="34"/>
      <c r="L1" s="34"/>
    </row>
    <row r="2" spans="1:12" x14ac:dyDescent="0.25">
      <c r="A2" t="s">
        <v>87</v>
      </c>
      <c r="H2" t="s">
        <v>50</v>
      </c>
      <c r="I2" s="35">
        <v>7.25</v>
      </c>
      <c r="J2" s="34"/>
      <c r="K2" s="34"/>
      <c r="L2" s="34"/>
    </row>
    <row r="3" spans="1:12" x14ac:dyDescent="0.25">
      <c r="A3" s="36" t="s">
        <v>51</v>
      </c>
      <c r="B3" s="62" t="s">
        <v>52</v>
      </c>
      <c r="C3" s="63"/>
      <c r="D3" s="63"/>
      <c r="E3" s="64"/>
      <c r="H3" t="s">
        <v>53</v>
      </c>
      <c r="I3" s="34" t="s">
        <v>52</v>
      </c>
      <c r="J3" s="34"/>
      <c r="K3" s="34"/>
      <c r="L3" s="34"/>
    </row>
    <row r="4" spans="1:12" x14ac:dyDescent="0.25">
      <c r="A4" s="36" t="s">
        <v>54</v>
      </c>
      <c r="B4" s="62" t="s">
        <v>55</v>
      </c>
      <c r="C4" s="63"/>
      <c r="D4" s="63"/>
      <c r="E4" s="64"/>
      <c r="H4" t="s">
        <v>56</v>
      </c>
      <c r="I4" s="34" t="s">
        <v>55</v>
      </c>
      <c r="J4" s="34"/>
      <c r="K4" s="34"/>
      <c r="L4" s="34"/>
    </row>
    <row r="5" spans="1:12" x14ac:dyDescent="0.25">
      <c r="A5" s="36" t="s">
        <v>57</v>
      </c>
      <c r="B5" s="62" t="s">
        <v>58</v>
      </c>
      <c r="C5" s="63"/>
      <c r="D5" s="63"/>
      <c r="E5" s="64"/>
      <c r="H5" t="s">
        <v>59</v>
      </c>
      <c r="I5" s="34" t="s">
        <v>58</v>
      </c>
      <c r="J5" s="34"/>
      <c r="K5" s="34"/>
      <c r="L5" s="34"/>
    </row>
    <row r="6" spans="1:12" x14ac:dyDescent="0.25">
      <c r="A6" s="37" t="s">
        <v>60</v>
      </c>
      <c r="B6" s="65" t="s">
        <v>61</v>
      </c>
      <c r="C6" s="66"/>
      <c r="D6" s="66"/>
      <c r="E6" s="67"/>
      <c r="H6" s="38" t="s">
        <v>62</v>
      </c>
      <c r="I6" s="39" t="s">
        <v>61</v>
      </c>
      <c r="J6" s="39"/>
      <c r="K6" s="39"/>
      <c r="L6" s="39"/>
    </row>
    <row r="7" spans="1:12" x14ac:dyDescent="0.25">
      <c r="A7" s="40"/>
      <c r="B7" s="68"/>
      <c r="C7" s="69"/>
      <c r="D7" s="69"/>
      <c r="E7" s="70"/>
      <c r="H7" s="38"/>
      <c r="I7" s="39"/>
      <c r="J7" s="39"/>
      <c r="K7" s="39"/>
      <c r="L7" s="39"/>
    </row>
    <row r="8" spans="1:12" x14ac:dyDescent="0.25">
      <c r="A8" s="41"/>
      <c r="B8" s="71"/>
      <c r="C8" s="72"/>
      <c r="D8" s="72"/>
      <c r="E8" s="73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100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63</v>
      </c>
    </row>
    <row r="21" spans="1:19" ht="18" x14ac:dyDescent="0.35">
      <c r="B21" s="9" t="s">
        <v>64</v>
      </c>
      <c r="C21" s="3">
        <v>0</v>
      </c>
      <c r="D21" s="6"/>
    </row>
    <row r="22" spans="1:19" ht="18" customHeight="1" x14ac:dyDescent="0.35">
      <c r="B22" s="9" t="s">
        <v>65</v>
      </c>
      <c r="C22" s="3">
        <v>50</v>
      </c>
      <c r="D22" s="4" t="s">
        <v>12</v>
      </c>
      <c r="P22" s="50" t="s">
        <v>76</v>
      </c>
      <c r="Q22" s="8">
        <f>K37</f>
        <v>10.82183889077338</v>
      </c>
      <c r="R22" s="8">
        <f>V37</f>
        <v>14.305690823563745</v>
      </c>
      <c r="S22" s="52" t="s">
        <v>85</v>
      </c>
    </row>
    <row r="23" spans="1:19" ht="18" customHeight="1" x14ac:dyDescent="0.35">
      <c r="B23" s="9" t="s">
        <v>66</v>
      </c>
      <c r="C23" s="3">
        <v>30</v>
      </c>
      <c r="D23" s="4" t="s">
        <v>15</v>
      </c>
      <c r="P23" s="50" t="s">
        <v>75</v>
      </c>
      <c r="Q23" s="3">
        <v>10</v>
      </c>
      <c r="R23" s="3">
        <v>15</v>
      </c>
      <c r="S23" s="52" t="s">
        <v>86</v>
      </c>
    </row>
    <row r="24" spans="1:19" ht="15" customHeight="1" x14ac:dyDescent="0.25">
      <c r="A24" s="1" t="s">
        <v>20</v>
      </c>
      <c r="P24" s="50" t="s">
        <v>77</v>
      </c>
      <c r="Q24" s="8">
        <f>(Q22-Q23)^2</f>
        <v>0.67541916238761968</v>
      </c>
      <c r="R24" s="8">
        <f>(R22-R23)^2</f>
        <v>0.48206523248359007</v>
      </c>
      <c r="S24" s="52" t="s">
        <v>77</v>
      </c>
    </row>
    <row r="25" spans="1:19" ht="15.75" customHeight="1" x14ac:dyDescent="0.3">
      <c r="B25" s="9" t="s">
        <v>21</v>
      </c>
      <c r="C25" s="3">
        <v>500</v>
      </c>
      <c r="D25" s="6" t="s">
        <v>22</v>
      </c>
      <c r="P25" s="50" t="s">
        <v>78</v>
      </c>
      <c r="Q25" s="58">
        <v>0</v>
      </c>
      <c r="R25" s="59"/>
      <c r="S25" s="52" t="s">
        <v>78</v>
      </c>
    </row>
    <row r="26" spans="1:19" ht="18" customHeight="1" x14ac:dyDescent="0.35">
      <c r="B26" s="9" t="s">
        <v>44</v>
      </c>
      <c r="C26" s="3">
        <v>0</v>
      </c>
      <c r="D26" s="6" t="s">
        <v>45</v>
      </c>
      <c r="F26" s="60" t="s">
        <v>67</v>
      </c>
      <c r="G26" s="61"/>
      <c r="H26" s="3">
        <v>0</v>
      </c>
      <c r="P26" s="50" t="s">
        <v>79</v>
      </c>
      <c r="Q26" s="58">
        <v>1500</v>
      </c>
      <c r="R26" s="59"/>
      <c r="S26" s="52" t="s">
        <v>79</v>
      </c>
    </row>
    <row r="27" spans="1:19" ht="15.75" customHeight="1" x14ac:dyDescent="0.3">
      <c r="B27" s="9" t="s">
        <v>23</v>
      </c>
      <c r="C27" s="3">
        <v>50</v>
      </c>
      <c r="D27" s="4" t="s">
        <v>24</v>
      </c>
      <c r="F27" s="60" t="s">
        <v>68</v>
      </c>
      <c r="G27" s="61"/>
      <c r="H27" s="3">
        <v>0</v>
      </c>
      <c r="P27" s="50" t="s">
        <v>80</v>
      </c>
      <c r="Q27" s="54">
        <v>990.83832644798042</v>
      </c>
      <c r="R27" s="55"/>
      <c r="S27" s="52" t="s">
        <v>80</v>
      </c>
    </row>
    <row r="28" spans="1:19" ht="15" customHeight="1" x14ac:dyDescent="0.25">
      <c r="A28" s="47" t="s">
        <v>25</v>
      </c>
      <c r="B28" s="10"/>
      <c r="F28" s="60" t="s">
        <v>69</v>
      </c>
      <c r="G28" s="61"/>
      <c r="H28" s="3">
        <v>0</v>
      </c>
      <c r="P28" s="51" t="s">
        <v>81</v>
      </c>
      <c r="Q28" s="54">
        <v>562.68763218767413</v>
      </c>
      <c r="R28" s="55"/>
      <c r="S28" s="53" t="s">
        <v>81</v>
      </c>
    </row>
    <row r="29" spans="1:19" ht="15" customHeight="1" x14ac:dyDescent="0.25">
      <c r="B29" s="9" t="s">
        <v>28</v>
      </c>
      <c r="C29" s="5">
        <f>R23</f>
        <v>15</v>
      </c>
      <c r="D29" s="6" t="s">
        <v>12</v>
      </c>
      <c r="F29" s="60" t="s">
        <v>70</v>
      </c>
      <c r="G29" s="61"/>
      <c r="H29" s="3">
        <v>0</v>
      </c>
      <c r="P29" s="51" t="s">
        <v>82</v>
      </c>
      <c r="Q29" s="56">
        <f>Q28-Q27</f>
        <v>-428.1506942603063</v>
      </c>
      <c r="R29" s="57"/>
      <c r="S29" s="53" t="s">
        <v>82</v>
      </c>
    </row>
    <row r="30" spans="1:19" x14ac:dyDescent="0.25">
      <c r="B30" s="9" t="s">
        <v>29</v>
      </c>
      <c r="C30" s="8">
        <f>Q23</f>
        <v>10</v>
      </c>
      <c r="D30" s="6" t="s">
        <v>12</v>
      </c>
      <c r="F30" s="74" t="s">
        <v>71</v>
      </c>
      <c r="G30" s="74"/>
    </row>
    <row r="31" spans="1:19" ht="15" customHeight="1" x14ac:dyDescent="0.25">
      <c r="B31" s="9" t="s">
        <v>30</v>
      </c>
      <c r="C31" s="5">
        <v>25</v>
      </c>
      <c r="D31" s="6" t="s">
        <v>31</v>
      </c>
      <c r="F31" s="60" t="s">
        <v>72</v>
      </c>
      <c r="G31" s="61"/>
      <c r="H31" s="3">
        <v>1</v>
      </c>
    </row>
    <row r="32" spans="1:19" ht="15" customHeight="1" x14ac:dyDescent="0.25">
      <c r="B32" s="9" t="s">
        <v>32</v>
      </c>
      <c r="C32" s="5">
        <v>20</v>
      </c>
      <c r="D32" s="6" t="s">
        <v>31</v>
      </c>
      <c r="F32" s="60" t="s">
        <v>73</v>
      </c>
      <c r="G32" s="61"/>
      <c r="H32" s="3">
        <v>1</v>
      </c>
    </row>
    <row r="34" spans="1:30" x14ac:dyDescent="0.25">
      <c r="B34" s="11" t="s">
        <v>33</v>
      </c>
      <c r="C34" s="12" t="str">
        <f>[1]!PVT_encode_string(gamma_gas_,gamma_oil_,gamma_wat_,Rsb_,Rp_,Pb_,Tres_,Bob_,muob_,PVT_corr_,Ksep,Psep,Tsep,gas_only_)</f>
        <v>{"gamma_gas":0.8,"gamma_oil":0.87,"gamma_wat":1,"rsb_m3m3":80,"rp_m3m3":100,"pb_atma":120,"t_res_C":100,"bob_m3m3":1.2,"muob_cP":1,"PVTcorr":0,"ksep_fr":0,"p_ksep_atma":50,"t_ksep_C":30}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30" x14ac:dyDescent="0.25">
      <c r="A36" s="48" t="s">
        <v>34</v>
      </c>
      <c r="B36" s="49"/>
      <c r="C36" s="49"/>
      <c r="D36" s="49"/>
      <c r="F36" s="13" t="s">
        <v>47</v>
      </c>
      <c r="G36" s="14"/>
      <c r="H36" s="14"/>
      <c r="K36" t="s">
        <v>83</v>
      </c>
      <c r="V36" t="s">
        <v>84</v>
      </c>
    </row>
    <row r="37" spans="1:30" x14ac:dyDescent="0.25">
      <c r="K37" s="32">
        <f t="array" ref="K37:S59">[1]!MF_p_pipeline_atma(P0,T0,E47:F54,inclinometry,H47:I53,qliq_,fw_,Qgas_free,PVTstr_,calc_flow_direction_,Hydr_corr_,temp_model)</f>
        <v>10.82183889077338</v>
      </c>
      <c r="L37" s="23">
        <v>20.337171096710073</v>
      </c>
      <c r="M37" s="23">
        <v>15</v>
      </c>
      <c r="N37" s="23">
        <v>25</v>
      </c>
      <c r="O37" s="23">
        <v>10.82183889077338</v>
      </c>
      <c r="P37" s="23">
        <v>20.337171096710073</v>
      </c>
      <c r="Q37" s="23">
        <v>1</v>
      </c>
      <c r="R37" s="23">
        <v>1</v>
      </c>
      <c r="S37" s="24">
        <v>25000</v>
      </c>
      <c r="T37" s="14"/>
      <c r="V37">
        <f t="array" ref="V37:AD59">[1]!MF_p_pipeline_atma(P1_,T1_,E47:F54,inclinometry,H47:I53,qliq_,fw_,Qgas_free,PVTstr_,calc_flow_direction1_,Hydr_corr_,temp_model)</f>
        <v>14.305690823563745</v>
      </c>
      <c r="W37">
        <v>20</v>
      </c>
      <c r="X37">
        <v>14.305690823563745</v>
      </c>
      <c r="Y37">
        <v>20</v>
      </c>
      <c r="Z37">
        <v>10</v>
      </c>
      <c r="AA37">
        <v>20</v>
      </c>
      <c r="AB37">
        <v>1</v>
      </c>
      <c r="AC37">
        <v>1</v>
      </c>
      <c r="AD37">
        <v>25000</v>
      </c>
    </row>
    <row r="38" spans="1:30" ht="18" customHeight="1" x14ac:dyDescent="0.25">
      <c r="F38" s="44"/>
      <c r="G38" s="45" t="s">
        <v>43</v>
      </c>
      <c r="H38" s="3">
        <v>2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V38" t="str">
        <v>p_result_atma</v>
      </c>
      <c r="W38" t="str">
        <v>t_result_C</v>
      </c>
      <c r="X38" t="str">
        <v>p_1, atma</v>
      </c>
      <c r="Y38" t="str">
        <v>t_1, C</v>
      </c>
      <c r="Z38" t="str">
        <v>p_2, atma</v>
      </c>
      <c r="AA38" t="str">
        <v>t_2, C</v>
      </c>
      <c r="AB38" t="str">
        <v>c_calibr_grav</v>
      </c>
      <c r="AC38" t="str">
        <v>c_calibr_fric</v>
      </c>
      <c r="AD38" t="str">
        <v>q_gas_sm3day</v>
      </c>
    </row>
    <row r="39" spans="1:30" ht="18" customHeight="1" x14ac:dyDescent="0.25">
      <c r="F39" s="44"/>
      <c r="G39" s="45" t="s">
        <v>41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2"/>
      <c r="V39" t="str">
        <v>num</v>
      </c>
      <c r="W39" t="str">
        <v>h,m</v>
      </c>
      <c r="X39" t="str">
        <v>hvert,m</v>
      </c>
      <c r="Y39" t="str">
        <v>p,atma</v>
      </c>
      <c r="Z39" t="str">
        <v>t,C</v>
      </c>
      <c r="AA39" t="str">
        <v>Hl</v>
      </c>
      <c r="AB39" t="str">
        <v>fpat</v>
      </c>
      <c r="AC39" t="str">
        <v>t_amb, C</v>
      </c>
      <c r="AD39" t="str">
        <v>diam, m</v>
      </c>
    </row>
    <row r="40" spans="1:30" ht="18" customHeight="1" x14ac:dyDescent="0.25">
      <c r="F40" s="44"/>
      <c r="G40" s="45" t="s">
        <v>42</v>
      </c>
      <c r="H40" s="3">
        <v>1</v>
      </c>
      <c r="I40" s="3">
        <v>0</v>
      </c>
      <c r="K40" s="25">
        <v>1</v>
      </c>
      <c r="L40" s="28">
        <v>0</v>
      </c>
      <c r="M40" s="28">
        <v>-1</v>
      </c>
      <c r="N40" s="28">
        <v>15</v>
      </c>
      <c r="O40" s="28">
        <v>25</v>
      </c>
      <c r="P40" s="28">
        <v>0.53103022423350354</v>
      </c>
      <c r="Q40" s="28">
        <v>3</v>
      </c>
      <c r="R40" s="28">
        <v>20</v>
      </c>
      <c r="S40" s="27">
        <v>0.2</v>
      </c>
      <c r="T40" s="43"/>
      <c r="V40">
        <v>1</v>
      </c>
      <c r="W40">
        <v>0</v>
      </c>
      <c r="X40">
        <v>-1</v>
      </c>
      <c r="Y40">
        <v>14.305690823563745</v>
      </c>
      <c r="Z40">
        <v>20</v>
      </c>
      <c r="AA40">
        <v>0.52192625014863114</v>
      </c>
      <c r="AB40">
        <v>3</v>
      </c>
      <c r="AC40">
        <v>20</v>
      </c>
      <c r="AD40">
        <v>0.2</v>
      </c>
    </row>
    <row r="41" spans="1:30" ht="18" customHeight="1" x14ac:dyDescent="0.25">
      <c r="F41" s="44"/>
      <c r="G41" s="46" t="s">
        <v>74</v>
      </c>
      <c r="H41" s="5">
        <v>11</v>
      </c>
      <c r="I41" s="5">
        <v>1</v>
      </c>
      <c r="K41" s="25">
        <v>2</v>
      </c>
      <c r="L41" s="28">
        <v>1052.6315789473683</v>
      </c>
      <c r="M41" s="28">
        <v>-10.105263157894736</v>
      </c>
      <c r="N41" s="28">
        <v>14.499395815008722</v>
      </c>
      <c r="O41" s="28">
        <v>24.303244933522826</v>
      </c>
      <c r="P41" s="28">
        <v>0.50911545465814645</v>
      </c>
      <c r="Q41" s="28">
        <v>3</v>
      </c>
      <c r="R41" s="28">
        <v>20</v>
      </c>
      <c r="S41" s="27">
        <v>0.2</v>
      </c>
      <c r="T41" s="43"/>
      <c r="V41">
        <v>2</v>
      </c>
      <c r="W41">
        <v>1052.6315789473683</v>
      </c>
      <c r="X41">
        <v>-10.105263157894736</v>
      </c>
      <c r="Y41">
        <v>13.80770490037577</v>
      </c>
      <c r="Z41">
        <v>20</v>
      </c>
      <c r="AA41">
        <v>0.49901313527829266</v>
      </c>
      <c r="AB41">
        <v>3</v>
      </c>
      <c r="AC41">
        <v>20</v>
      </c>
      <c r="AD41">
        <v>0.2</v>
      </c>
    </row>
    <row r="42" spans="1:30" x14ac:dyDescent="0.25">
      <c r="G42" s="10"/>
      <c r="K42" s="25">
        <v>3</v>
      </c>
      <c r="L42" s="28">
        <v>2105.2631578947367</v>
      </c>
      <c r="M42" s="28">
        <v>-12.210526315789473</v>
      </c>
      <c r="N42" s="28">
        <v>14.320474892304121</v>
      </c>
      <c r="O42" s="28">
        <v>23.721541413838402</v>
      </c>
      <c r="P42" s="28">
        <v>0.50595202661929983</v>
      </c>
      <c r="Q42" s="28">
        <v>3</v>
      </c>
      <c r="R42" s="28">
        <v>20</v>
      </c>
      <c r="S42" s="27">
        <v>0.2</v>
      </c>
      <c r="T42" s="43"/>
      <c r="V42">
        <v>3</v>
      </c>
      <c r="W42">
        <v>2105.2631578947367</v>
      </c>
      <c r="X42">
        <v>-12.210526315789473</v>
      </c>
      <c r="Y42">
        <v>13.626428563660086</v>
      </c>
      <c r="Z42">
        <v>20</v>
      </c>
      <c r="AA42">
        <v>0.49500934815337694</v>
      </c>
      <c r="AB42">
        <v>3</v>
      </c>
      <c r="AC42">
        <v>20</v>
      </c>
      <c r="AD42">
        <v>0.2</v>
      </c>
    </row>
    <row r="43" spans="1:30" x14ac:dyDescent="0.25">
      <c r="G43" s="10"/>
      <c r="K43" s="25">
        <v>4</v>
      </c>
      <c r="L43" s="28">
        <v>3157.894736842105</v>
      </c>
      <c r="M43" s="28">
        <v>-14.315789473684211</v>
      </c>
      <c r="N43" s="28">
        <v>14.141231380261473</v>
      </c>
      <c r="O43" s="28">
        <v>23.217336524086839</v>
      </c>
      <c r="P43" s="28">
        <v>0.50266293990183941</v>
      </c>
      <c r="Q43" s="28">
        <v>3</v>
      </c>
      <c r="R43" s="28">
        <v>20</v>
      </c>
      <c r="S43" s="27">
        <v>0.2</v>
      </c>
      <c r="T43" s="43"/>
      <c r="V43">
        <v>4</v>
      </c>
      <c r="W43">
        <v>3157.894736842105</v>
      </c>
      <c r="X43">
        <v>-14.315789473684211</v>
      </c>
      <c r="Y43">
        <v>13.444991958756182</v>
      </c>
      <c r="Z43">
        <v>20</v>
      </c>
      <c r="AA43">
        <v>0.49097552841991465</v>
      </c>
      <c r="AB43">
        <v>3</v>
      </c>
      <c r="AC43">
        <v>20</v>
      </c>
      <c r="AD43">
        <v>0.2</v>
      </c>
    </row>
    <row r="44" spans="1:30" x14ac:dyDescent="0.25">
      <c r="B44" s="49" t="s">
        <v>36</v>
      </c>
      <c r="C44" s="49"/>
      <c r="E44" t="s">
        <v>48</v>
      </c>
      <c r="G44" s="10"/>
      <c r="H44" t="s">
        <v>46</v>
      </c>
      <c r="I44" s="10"/>
      <c r="K44" s="25">
        <v>5</v>
      </c>
      <c r="L44" s="28">
        <v>4210.5263157894733</v>
      </c>
      <c r="M44" s="28">
        <v>-16.421052631578945</v>
      </c>
      <c r="N44" s="28">
        <v>13.961675273716921</v>
      </c>
      <c r="O44" s="28">
        <v>22.780136545153642</v>
      </c>
      <c r="P44" s="28">
        <v>0.49926073802822202</v>
      </c>
      <c r="Q44" s="28">
        <v>3</v>
      </c>
      <c r="R44" s="28">
        <v>20</v>
      </c>
      <c r="S44" s="27">
        <v>0.2</v>
      </c>
      <c r="T44" s="43"/>
      <c r="V44">
        <v>5</v>
      </c>
      <c r="W44">
        <v>4210.5263157894733</v>
      </c>
      <c r="X44">
        <v>-16.421052631578945</v>
      </c>
      <c r="Y44">
        <v>13.263377534804283</v>
      </c>
      <c r="Z44">
        <v>20</v>
      </c>
      <c r="AA44">
        <v>0.48691087004854333</v>
      </c>
      <c r="AB44">
        <v>3</v>
      </c>
      <c r="AC44">
        <v>20</v>
      </c>
      <c r="AD44">
        <v>0.2</v>
      </c>
    </row>
    <row r="45" spans="1:30" ht="18" x14ac:dyDescent="0.35">
      <c r="B45" s="17" t="s">
        <v>37</v>
      </c>
      <c r="C45" s="17" t="s">
        <v>38</v>
      </c>
      <c r="E45" s="17" t="s">
        <v>38</v>
      </c>
      <c r="F45" s="17" t="s">
        <v>39</v>
      </c>
      <c r="G45" s="10"/>
      <c r="H45" s="17" t="s">
        <v>37</v>
      </c>
      <c r="I45" s="15" t="s">
        <v>40</v>
      </c>
      <c r="K45" s="25">
        <v>6</v>
      </c>
      <c r="L45" s="28">
        <v>5263.1578947368416</v>
      </c>
      <c r="M45" s="28">
        <v>-18.526315789473685</v>
      </c>
      <c r="N45" s="28">
        <v>13.781811858591162</v>
      </c>
      <c r="O45" s="28">
        <v>22.401223336690482</v>
      </c>
      <c r="P45" s="28">
        <v>0.49575561664351986</v>
      </c>
      <c r="Q45" s="28">
        <v>3</v>
      </c>
      <c r="R45" s="28">
        <v>20</v>
      </c>
      <c r="S45" s="27">
        <v>0.2</v>
      </c>
      <c r="T45" s="43"/>
      <c r="V45">
        <v>6</v>
      </c>
      <c r="W45">
        <v>5263.1578947368416</v>
      </c>
      <c r="X45">
        <v>-18.526315789473685</v>
      </c>
      <c r="Y45">
        <v>13.081565759639544</v>
      </c>
      <c r="Z45">
        <v>20</v>
      </c>
      <c r="AA45">
        <v>0.48281433045209288</v>
      </c>
      <c r="AB45">
        <v>3</v>
      </c>
      <c r="AC45">
        <v>20</v>
      </c>
      <c r="AD45">
        <v>0.2</v>
      </c>
    </row>
    <row r="46" spans="1:30" x14ac:dyDescent="0.25">
      <c r="B46" s="17" t="s">
        <v>26</v>
      </c>
      <c r="C46" s="17" t="s">
        <v>26</v>
      </c>
      <c r="E46" s="17" t="s">
        <v>26</v>
      </c>
      <c r="F46" s="17" t="s">
        <v>35</v>
      </c>
      <c r="G46" s="10"/>
      <c r="H46" s="17" t="s">
        <v>26</v>
      </c>
      <c r="I46" s="17" t="s">
        <v>27</v>
      </c>
      <c r="K46" s="25">
        <v>7</v>
      </c>
      <c r="L46" s="28">
        <v>6315.78947368421</v>
      </c>
      <c r="M46" s="28">
        <v>-24.73684210526315</v>
      </c>
      <c r="N46" s="28">
        <v>13.377621438935707</v>
      </c>
      <c r="O46" s="28">
        <v>22.055857785593656</v>
      </c>
      <c r="P46" s="28">
        <v>0.50888104604982898</v>
      </c>
      <c r="Q46" s="28">
        <v>3</v>
      </c>
      <c r="R46" s="28">
        <v>20</v>
      </c>
      <c r="S46" s="27">
        <v>0.2</v>
      </c>
      <c r="T46" s="43"/>
      <c r="V46">
        <v>7</v>
      </c>
      <c r="W46">
        <v>6315.78947368421</v>
      </c>
      <c r="X46">
        <v>-24.73684210526315</v>
      </c>
      <c r="Y46">
        <v>12.68127498503609</v>
      </c>
      <c r="Z46">
        <v>20</v>
      </c>
      <c r="AA46">
        <v>0.49494300966181148</v>
      </c>
      <c r="AB46">
        <v>3</v>
      </c>
      <c r="AC46">
        <v>20</v>
      </c>
      <c r="AD46">
        <v>0.2</v>
      </c>
    </row>
    <row r="47" spans="1:30" x14ac:dyDescent="0.25">
      <c r="B47" s="16">
        <v>0</v>
      </c>
      <c r="C47" s="16">
        <v>-1</v>
      </c>
      <c r="E47" s="18">
        <v>0</v>
      </c>
      <c r="F47" s="18">
        <v>20</v>
      </c>
      <c r="G47" s="10"/>
      <c r="H47" s="18">
        <v>0</v>
      </c>
      <c r="I47" s="19">
        <v>200</v>
      </c>
      <c r="K47" s="25">
        <v>8</v>
      </c>
      <c r="L47" s="28">
        <v>7368.4210526315783</v>
      </c>
      <c r="M47" s="28">
        <v>-42.368421052631568</v>
      </c>
      <c r="N47" s="28">
        <v>12.466385733333578</v>
      </c>
      <c r="O47" s="28">
        <v>21.719817433047602</v>
      </c>
      <c r="P47" s="28">
        <v>0.49600657060785719</v>
      </c>
      <c r="Q47" s="28">
        <v>3</v>
      </c>
      <c r="R47" s="28">
        <v>20</v>
      </c>
      <c r="S47" s="27">
        <v>0.2</v>
      </c>
      <c r="T47" s="43"/>
      <c r="V47">
        <v>8</v>
      </c>
      <c r="W47">
        <v>7368.4210526315783</v>
      </c>
      <c r="X47">
        <v>-42.368421052631568</v>
      </c>
      <c r="Y47">
        <v>11.788123498570323</v>
      </c>
      <c r="Z47">
        <v>20</v>
      </c>
      <c r="AA47">
        <v>0.48123814455150549</v>
      </c>
      <c r="AB47">
        <v>3</v>
      </c>
      <c r="AC47">
        <v>20</v>
      </c>
      <c r="AD47">
        <v>0.2</v>
      </c>
    </row>
    <row r="48" spans="1:30" x14ac:dyDescent="0.25">
      <c r="B48" s="16">
        <v>1000</v>
      </c>
      <c r="C48" s="16">
        <v>-10</v>
      </c>
      <c r="E48" s="18">
        <v>100</v>
      </c>
      <c r="F48" s="18">
        <v>20</v>
      </c>
      <c r="G48" s="10"/>
      <c r="H48" s="18">
        <v>10000</v>
      </c>
      <c r="I48" s="19">
        <v>200</v>
      </c>
      <c r="K48" s="25">
        <v>9</v>
      </c>
      <c r="L48" s="28">
        <v>8421.0526315789466</v>
      </c>
      <c r="M48" s="28">
        <v>-59.210526315789465</v>
      </c>
      <c r="N48" s="28">
        <v>11.650642470779784</v>
      </c>
      <c r="O48" s="28">
        <v>21.435023328171088</v>
      </c>
      <c r="P48" s="28">
        <v>0.46062591865268093</v>
      </c>
      <c r="Q48" s="28">
        <v>3</v>
      </c>
      <c r="R48" s="28">
        <v>20</v>
      </c>
      <c r="S48" s="27">
        <v>0.2</v>
      </c>
      <c r="T48" s="43"/>
      <c r="V48">
        <v>9</v>
      </c>
      <c r="W48">
        <v>8421.0526315789466</v>
      </c>
      <c r="X48">
        <v>-59.210526315789465</v>
      </c>
      <c r="Y48">
        <v>10.989001880956884</v>
      </c>
      <c r="Z48">
        <v>20</v>
      </c>
      <c r="AA48">
        <v>0.44570777219335789</v>
      </c>
      <c r="AB48">
        <v>3</v>
      </c>
      <c r="AC48">
        <v>20</v>
      </c>
      <c r="AD48">
        <v>0.2</v>
      </c>
    </row>
    <row r="49" spans="2:30" x14ac:dyDescent="0.25">
      <c r="B49" s="16">
        <v>2000</v>
      </c>
      <c r="C49" s="16">
        <v>-12</v>
      </c>
      <c r="E49" s="18"/>
      <c r="F49" s="18"/>
      <c r="G49" s="10"/>
      <c r="H49" s="18"/>
      <c r="I49" s="19"/>
      <c r="K49" s="25">
        <v>10</v>
      </c>
      <c r="L49" s="28">
        <v>9473.6842105263149</v>
      </c>
      <c r="M49" s="28">
        <v>-69.73684210526315</v>
      </c>
      <c r="N49" s="28">
        <v>11.11336249417244</v>
      </c>
      <c r="O49" s="28">
        <v>21.207376274070299</v>
      </c>
      <c r="P49" s="28">
        <v>0.44760965318014734</v>
      </c>
      <c r="Q49" s="28">
        <v>3</v>
      </c>
      <c r="R49" s="28">
        <v>20</v>
      </c>
      <c r="S49" s="27">
        <v>0.2</v>
      </c>
      <c r="T49" s="43"/>
      <c r="V49">
        <v>10</v>
      </c>
      <c r="W49">
        <v>9473.6842105263149</v>
      </c>
      <c r="X49">
        <v>-69.73684210526315</v>
      </c>
      <c r="Y49">
        <v>10.460311485010434</v>
      </c>
      <c r="Z49">
        <v>20</v>
      </c>
      <c r="AA49">
        <v>0.43224689238838143</v>
      </c>
      <c r="AB49">
        <v>3</v>
      </c>
      <c r="AC49">
        <v>20</v>
      </c>
      <c r="AD49">
        <v>0.2</v>
      </c>
    </row>
    <row r="50" spans="2:30" x14ac:dyDescent="0.25">
      <c r="B50" s="16">
        <v>3000</v>
      </c>
      <c r="C50" s="16">
        <v>-14</v>
      </c>
      <c r="E50" s="18"/>
      <c r="F50" s="18"/>
      <c r="G50" s="10"/>
      <c r="H50" s="18"/>
      <c r="I50" s="18"/>
      <c r="K50" s="25">
        <v>11</v>
      </c>
      <c r="L50" s="28">
        <v>10526.315789473683</v>
      </c>
      <c r="M50" s="28">
        <v>-85.526315789473671</v>
      </c>
      <c r="N50" s="28">
        <v>10.340674022882173</v>
      </c>
      <c r="O50" s="28">
        <v>20.990450167835963</v>
      </c>
      <c r="P50" s="28">
        <v>0.44287329554745775</v>
      </c>
      <c r="Q50" s="28">
        <v>3</v>
      </c>
      <c r="R50" s="28">
        <v>20</v>
      </c>
      <c r="S50" s="27">
        <v>0.2</v>
      </c>
      <c r="T50" s="43"/>
      <c r="V50">
        <v>11</v>
      </c>
      <c r="W50">
        <v>10526.315789473683</v>
      </c>
      <c r="X50">
        <v>-85.526315789473671</v>
      </c>
      <c r="Y50">
        <v>9.7042384063852776</v>
      </c>
      <c r="Z50">
        <v>20</v>
      </c>
      <c r="AA50">
        <v>0.42658978155735811</v>
      </c>
      <c r="AB50">
        <v>3</v>
      </c>
      <c r="AC50">
        <v>20</v>
      </c>
      <c r="AD50">
        <v>0.2</v>
      </c>
    </row>
    <row r="51" spans="2:30" x14ac:dyDescent="0.25">
      <c r="B51" s="16">
        <v>4000</v>
      </c>
      <c r="C51" s="16">
        <v>-16</v>
      </c>
      <c r="E51" s="18"/>
      <c r="F51" s="18"/>
      <c r="G51" s="10"/>
      <c r="H51" s="18"/>
      <c r="I51" s="18"/>
      <c r="K51" s="25">
        <v>12</v>
      </c>
      <c r="L51" s="28">
        <v>11578.947368421052</v>
      </c>
      <c r="M51" s="28">
        <v>-83.421052631578974</v>
      </c>
      <c r="N51" s="28">
        <v>10.305736494444702</v>
      </c>
      <c r="O51" s="28">
        <v>20.871689537558687</v>
      </c>
      <c r="P51" s="28">
        <v>0.38342708803938697</v>
      </c>
      <c r="Q51" s="28">
        <v>3</v>
      </c>
      <c r="R51" s="28">
        <v>20</v>
      </c>
      <c r="S51" s="27">
        <v>0.2</v>
      </c>
      <c r="T51" s="43"/>
      <c r="V51">
        <v>12</v>
      </c>
      <c r="W51">
        <v>11578.947368421052</v>
      </c>
      <c r="X51">
        <v>-83.421052631578974</v>
      </c>
      <c r="Y51">
        <v>9.6566823759977112</v>
      </c>
      <c r="Z51">
        <v>20</v>
      </c>
      <c r="AA51">
        <v>0.3687128395823393</v>
      </c>
      <c r="AB51">
        <v>3</v>
      </c>
      <c r="AC51">
        <v>20</v>
      </c>
      <c r="AD51">
        <v>0.2</v>
      </c>
    </row>
    <row r="52" spans="2:30" x14ac:dyDescent="0.25">
      <c r="B52" s="16">
        <v>5000</v>
      </c>
      <c r="C52" s="16">
        <v>-18</v>
      </c>
      <c r="E52" s="18"/>
      <c r="F52" s="18"/>
      <c r="G52" s="10"/>
      <c r="H52" s="18"/>
      <c r="I52" s="18"/>
      <c r="K52" s="25">
        <v>13</v>
      </c>
      <c r="L52" s="28">
        <v>12631.57894736842</v>
      </c>
      <c r="M52" s="28">
        <v>-68.684210526315795</v>
      </c>
      <c r="N52" s="28">
        <v>10.677579538487683</v>
      </c>
      <c r="O52" s="28">
        <v>20.799317266424719</v>
      </c>
      <c r="P52" s="28">
        <v>0.40710640042120055</v>
      </c>
      <c r="Q52" s="28">
        <v>3</v>
      </c>
      <c r="R52" s="28">
        <v>20</v>
      </c>
      <c r="S52" s="27">
        <v>0.2</v>
      </c>
      <c r="T52" s="43"/>
      <c r="V52">
        <v>13</v>
      </c>
      <c r="W52">
        <v>12631.57894736842</v>
      </c>
      <c r="X52">
        <v>-68.684210526315795</v>
      </c>
      <c r="Y52">
        <v>9.9965322491685917</v>
      </c>
      <c r="Z52">
        <v>20</v>
      </c>
      <c r="AA52">
        <v>0.39128426991522275</v>
      </c>
      <c r="AB52">
        <v>3</v>
      </c>
      <c r="AC52">
        <v>20</v>
      </c>
      <c r="AD52">
        <v>0.2</v>
      </c>
    </row>
    <row r="53" spans="2:30" x14ac:dyDescent="0.25">
      <c r="B53" s="16">
        <v>6000</v>
      </c>
      <c r="C53" s="16">
        <v>-20</v>
      </c>
      <c r="E53" s="18"/>
      <c r="F53" s="18"/>
      <c r="G53" s="10"/>
      <c r="H53" s="18"/>
      <c r="I53" s="18"/>
      <c r="K53" s="25">
        <v>14</v>
      </c>
      <c r="L53" s="28">
        <v>13684.210526315788</v>
      </c>
      <c r="M53" s="28">
        <v>-61.578947368421062</v>
      </c>
      <c r="N53" s="28">
        <v>10.806250545759438</v>
      </c>
      <c r="O53" s="28">
        <v>20.713188187771923</v>
      </c>
      <c r="P53" s="28">
        <v>0.41778694102251573</v>
      </c>
      <c r="Q53" s="28">
        <v>3</v>
      </c>
      <c r="R53" s="28">
        <v>20</v>
      </c>
      <c r="S53" s="27">
        <v>0.2</v>
      </c>
      <c r="T53" s="43"/>
      <c r="V53">
        <v>14</v>
      </c>
      <c r="W53">
        <v>13684.210526315788</v>
      </c>
      <c r="X53">
        <v>-61.578947368421062</v>
      </c>
      <c r="Y53">
        <v>10.101398387399387</v>
      </c>
      <c r="Z53">
        <v>20</v>
      </c>
      <c r="AA53">
        <v>0.4011268497244912</v>
      </c>
      <c r="AB53">
        <v>3</v>
      </c>
      <c r="AC53">
        <v>20</v>
      </c>
      <c r="AD53">
        <v>0.2</v>
      </c>
    </row>
    <row r="54" spans="2:30" x14ac:dyDescent="0.25">
      <c r="B54" s="16">
        <v>7000</v>
      </c>
      <c r="C54" s="16">
        <v>-35</v>
      </c>
      <c r="E54" s="18"/>
      <c r="F54" s="18"/>
      <c r="G54" s="10"/>
      <c r="H54" s="18"/>
      <c r="I54" s="18"/>
      <c r="K54" s="25">
        <v>15</v>
      </c>
      <c r="L54" s="28">
        <v>14736.842105263157</v>
      </c>
      <c r="M54" s="28">
        <v>-56.31578947368422</v>
      </c>
      <c r="N54" s="28">
        <v>10.881546027924138</v>
      </c>
      <c r="O54" s="28">
        <v>20.633691573472792</v>
      </c>
      <c r="P54" s="28">
        <v>0.41968017551106218</v>
      </c>
      <c r="Q54" s="28">
        <v>3</v>
      </c>
      <c r="R54" s="28">
        <v>20</v>
      </c>
      <c r="S54" s="27">
        <v>0.2</v>
      </c>
      <c r="T54" s="43"/>
      <c r="V54">
        <v>15</v>
      </c>
      <c r="W54">
        <v>14736.842105263157</v>
      </c>
      <c r="X54">
        <v>-56.31578947368422</v>
      </c>
      <c r="Y54">
        <v>10.154930254065926</v>
      </c>
      <c r="Z54">
        <v>20</v>
      </c>
      <c r="AA54">
        <v>0.40246121328420886</v>
      </c>
      <c r="AB54">
        <v>3</v>
      </c>
      <c r="AC54">
        <v>20</v>
      </c>
      <c r="AD54">
        <v>0.2</v>
      </c>
    </row>
    <row r="55" spans="2:30" x14ac:dyDescent="0.25">
      <c r="B55" s="16">
        <v>8000</v>
      </c>
      <c r="C55" s="16">
        <v>-55</v>
      </c>
      <c r="E55" s="18"/>
      <c r="F55" s="18"/>
      <c r="G55" s="10"/>
      <c r="H55" s="18"/>
      <c r="I55" s="18"/>
      <c r="K55" s="25">
        <v>16</v>
      </c>
      <c r="L55" s="28">
        <v>15789.473684210525</v>
      </c>
      <c r="M55" s="28">
        <v>-51.052631578947377</v>
      </c>
      <c r="N55" s="28">
        <v>10.959091919514025</v>
      </c>
      <c r="O55" s="28">
        <v>20.564821492599762</v>
      </c>
      <c r="P55" s="28">
        <v>0.42161262959246115</v>
      </c>
      <c r="Q55" s="28">
        <v>3</v>
      </c>
      <c r="R55" s="28">
        <v>20</v>
      </c>
      <c r="S55" s="27">
        <v>0.2</v>
      </c>
      <c r="T55" s="43"/>
      <c r="V55">
        <v>16</v>
      </c>
      <c r="W55">
        <v>15789.473684210525</v>
      </c>
      <c r="X55">
        <v>-51.052631578947377</v>
      </c>
      <c r="Y55">
        <v>10.210228848859671</v>
      </c>
      <c r="Z55">
        <v>20</v>
      </c>
      <c r="AA55">
        <v>0.40383640850459618</v>
      </c>
      <c r="AB55">
        <v>3</v>
      </c>
      <c r="AC55">
        <v>20</v>
      </c>
      <c r="AD55">
        <v>0.2</v>
      </c>
    </row>
    <row r="56" spans="2:30" x14ac:dyDescent="0.25">
      <c r="B56" s="16">
        <v>9000</v>
      </c>
      <c r="C56" s="16">
        <v>-65</v>
      </c>
      <c r="E56" s="18"/>
      <c r="F56" s="18"/>
      <c r="G56" s="10"/>
      <c r="H56" s="18"/>
      <c r="I56" s="18"/>
      <c r="K56" s="25">
        <v>17</v>
      </c>
      <c r="L56" s="28">
        <v>16842.105263157893</v>
      </c>
      <c r="M56" s="28">
        <v>-48.315789473684212</v>
      </c>
      <c r="N56" s="28">
        <v>10.939281960052408</v>
      </c>
      <c r="O56" s="28">
        <v>20.496363259363125</v>
      </c>
      <c r="P56" s="28">
        <v>0.42575262371586947</v>
      </c>
      <c r="Q56" s="28">
        <v>3</v>
      </c>
      <c r="R56" s="28">
        <v>20</v>
      </c>
      <c r="S56" s="27">
        <v>0.2</v>
      </c>
      <c r="T56" s="43"/>
      <c r="V56">
        <v>17</v>
      </c>
      <c r="W56">
        <v>16842.105263157893</v>
      </c>
      <c r="X56">
        <v>-48.315789473684212</v>
      </c>
      <c r="Y56">
        <v>10.172407793451736</v>
      </c>
      <c r="Z56">
        <v>20</v>
      </c>
      <c r="AA56">
        <v>0.40727288846664311</v>
      </c>
      <c r="AB56">
        <v>3</v>
      </c>
      <c r="AC56">
        <v>20</v>
      </c>
      <c r="AD56">
        <v>0.2</v>
      </c>
    </row>
    <row r="57" spans="2:30" x14ac:dyDescent="0.25">
      <c r="B57" s="16">
        <v>10000</v>
      </c>
      <c r="C57" s="16">
        <v>-75</v>
      </c>
      <c r="E57" s="18"/>
      <c r="F57" s="18"/>
      <c r="G57" s="10"/>
      <c r="H57" s="18"/>
      <c r="I57" s="18"/>
      <c r="K57" s="25">
        <v>18</v>
      </c>
      <c r="L57" s="28">
        <v>17894.73684210526</v>
      </c>
      <c r="M57" s="28">
        <v>-46.21052631578948</v>
      </c>
      <c r="N57" s="28">
        <v>10.900961447435975</v>
      </c>
      <c r="O57" s="28">
        <v>20.435546081050205</v>
      </c>
      <c r="P57" s="28">
        <v>0.42487906889687022</v>
      </c>
      <c r="Q57" s="28">
        <v>3</v>
      </c>
      <c r="R57" s="28">
        <v>20</v>
      </c>
      <c r="S57" s="27">
        <v>0.2</v>
      </c>
      <c r="T57" s="43"/>
      <c r="V57">
        <v>18</v>
      </c>
      <c r="W57">
        <v>17894.73684210526</v>
      </c>
      <c r="X57">
        <v>-46.21052631578948</v>
      </c>
      <c r="Y57">
        <v>10.116365991966923</v>
      </c>
      <c r="Z57">
        <v>20</v>
      </c>
      <c r="AA57">
        <v>0.4058630128367412</v>
      </c>
      <c r="AB57">
        <v>3</v>
      </c>
      <c r="AC57">
        <v>20</v>
      </c>
      <c r="AD57">
        <v>0.2</v>
      </c>
    </row>
    <row r="58" spans="2:30" x14ac:dyDescent="0.25">
      <c r="B58" s="16">
        <v>11000</v>
      </c>
      <c r="C58" s="16">
        <v>-95</v>
      </c>
      <c r="E58" s="18"/>
      <c r="F58" s="18"/>
      <c r="G58" s="10"/>
      <c r="H58" s="18"/>
      <c r="I58" s="18"/>
      <c r="K58" s="25">
        <v>19</v>
      </c>
      <c r="L58" s="28">
        <v>18947.36842105263</v>
      </c>
      <c r="M58" s="28">
        <v>-44.10526315789474</v>
      </c>
      <c r="N58" s="28">
        <v>10.861821169708996</v>
      </c>
      <c r="O58" s="28">
        <v>20.382852337213119</v>
      </c>
      <c r="P58" s="28">
        <v>0.42397605811075151</v>
      </c>
      <c r="Q58" s="28">
        <v>3</v>
      </c>
      <c r="R58" s="28">
        <v>20</v>
      </c>
      <c r="S58" s="27">
        <v>0.2</v>
      </c>
      <c r="T58" s="43"/>
      <c r="V58">
        <v>19</v>
      </c>
      <c r="W58">
        <v>18947.36842105263</v>
      </c>
      <c r="X58">
        <v>-44.10526315789474</v>
      </c>
      <c r="Y58">
        <v>10.058912336453385</v>
      </c>
      <c r="Z58">
        <v>20</v>
      </c>
      <c r="AA58">
        <v>0.40441400911139658</v>
      </c>
      <c r="AB58">
        <v>3</v>
      </c>
      <c r="AC58">
        <v>20</v>
      </c>
      <c r="AD58">
        <v>0.2</v>
      </c>
    </row>
    <row r="59" spans="2:30" x14ac:dyDescent="0.25">
      <c r="B59" s="16">
        <v>12000</v>
      </c>
      <c r="C59" s="16">
        <v>-75</v>
      </c>
      <c r="E59" s="18"/>
      <c r="F59" s="18"/>
      <c r="G59" s="10"/>
      <c r="H59" s="18"/>
      <c r="I59" s="18"/>
      <c r="K59" s="29">
        <v>20</v>
      </c>
      <c r="L59" s="30">
        <v>20000</v>
      </c>
      <c r="M59" s="30">
        <v>-42</v>
      </c>
      <c r="N59" s="30">
        <v>10.82183889077338</v>
      </c>
      <c r="O59" s="30">
        <v>20.337171096710073</v>
      </c>
      <c r="P59" s="30">
        <v>0.42304404579164506</v>
      </c>
      <c r="Q59" s="30">
        <v>3</v>
      </c>
      <c r="R59" s="30">
        <v>20</v>
      </c>
      <c r="S59" s="31">
        <v>0.2</v>
      </c>
      <c r="T59" s="43"/>
      <c r="V59">
        <v>20</v>
      </c>
      <c r="W59">
        <v>20000</v>
      </c>
      <c r="X59">
        <v>-42</v>
      </c>
      <c r="Y59">
        <v>10</v>
      </c>
      <c r="Z59">
        <v>20</v>
      </c>
      <c r="AA59">
        <v>0.40292441113770311</v>
      </c>
      <c r="AB59">
        <v>3</v>
      </c>
      <c r="AC59">
        <v>20</v>
      </c>
      <c r="AD59">
        <v>0.2</v>
      </c>
    </row>
    <row r="60" spans="2:30" x14ac:dyDescent="0.25">
      <c r="B60" s="16">
        <v>13000</v>
      </c>
      <c r="C60" s="16">
        <v>-65</v>
      </c>
      <c r="E60" s="18"/>
      <c r="F60" s="18"/>
      <c r="G60" s="10"/>
      <c r="H60" s="18"/>
      <c r="I60" s="18"/>
    </row>
    <row r="61" spans="2:30" x14ac:dyDescent="0.25">
      <c r="B61" s="16">
        <v>14000</v>
      </c>
      <c r="C61" s="16">
        <v>-60</v>
      </c>
      <c r="E61" s="18"/>
      <c r="F61" s="18"/>
      <c r="G61" s="10"/>
      <c r="H61" s="18"/>
      <c r="I61" s="18"/>
    </row>
    <row r="62" spans="2:30" x14ac:dyDescent="0.25">
      <c r="B62" s="16">
        <v>15000</v>
      </c>
      <c r="C62" s="16">
        <v>-55</v>
      </c>
      <c r="E62" s="18"/>
      <c r="F62" s="18"/>
      <c r="G62" s="10"/>
      <c r="H62" s="18"/>
      <c r="I62" s="18"/>
    </row>
    <row r="63" spans="2:30" x14ac:dyDescent="0.25">
      <c r="B63" s="16">
        <v>16000</v>
      </c>
      <c r="C63" s="16">
        <v>-50</v>
      </c>
      <c r="E63" s="18"/>
      <c r="F63" s="18"/>
      <c r="G63" s="10"/>
      <c r="H63" s="18"/>
      <c r="I63" s="18"/>
    </row>
    <row r="64" spans="2:30" x14ac:dyDescent="0.25">
      <c r="B64" s="16">
        <v>17000</v>
      </c>
      <c r="C64" s="16">
        <v>-48</v>
      </c>
      <c r="E64" s="18"/>
      <c r="F64" s="18"/>
      <c r="G64" s="10"/>
      <c r="H64" s="18"/>
      <c r="I64" s="18"/>
    </row>
    <row r="65" spans="2:16" x14ac:dyDescent="0.25">
      <c r="B65" s="16">
        <v>18000</v>
      </c>
      <c r="C65" s="16">
        <v>-46</v>
      </c>
      <c r="E65" s="18"/>
      <c r="F65" s="18"/>
      <c r="G65" s="10"/>
      <c r="H65" s="18"/>
      <c r="I65" s="18"/>
    </row>
    <row r="66" spans="2:16" x14ac:dyDescent="0.25">
      <c r="B66" s="16">
        <v>19000</v>
      </c>
      <c r="C66" s="16">
        <v>-44</v>
      </c>
      <c r="E66" s="18"/>
      <c r="F66" s="18"/>
      <c r="G66" s="10"/>
      <c r="H66" s="18"/>
      <c r="I66" s="18"/>
    </row>
    <row r="67" spans="2:16" x14ac:dyDescent="0.25">
      <c r="B67" s="16">
        <v>20000</v>
      </c>
      <c r="C67" s="16">
        <v>-42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</sheetData>
  <mergeCells count="16">
    <mergeCell ref="F28:G28"/>
    <mergeCell ref="F29:G29"/>
    <mergeCell ref="F30:G30"/>
    <mergeCell ref="F31:G31"/>
    <mergeCell ref="F32:G32"/>
    <mergeCell ref="F27:G27"/>
    <mergeCell ref="B3:E3"/>
    <mergeCell ref="B4:E4"/>
    <mergeCell ref="B5:E5"/>
    <mergeCell ref="B6:E8"/>
    <mergeCell ref="F26:G26"/>
    <mergeCell ref="Q27:R27"/>
    <mergeCell ref="Q28:R28"/>
    <mergeCell ref="Q29:R29"/>
    <mergeCell ref="Q25:R25"/>
    <mergeCell ref="Q26:R2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Кнопка3_Щелчок">
                <anchor moveWithCells="1" sizeWithCells="1">
                  <from>
                    <xdr:col>11</xdr:col>
                    <xdr:colOff>381000</xdr:colOff>
                    <xdr:row>14</xdr:row>
                    <xdr:rowOff>200025</xdr:rowOff>
                  </from>
                  <to>
                    <xdr:col>16</xdr:col>
                    <xdr:colOff>514350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Кнопка4_Щелчок">
                <anchor moveWithCells="1" sizeWithCells="1">
                  <from>
                    <xdr:col>17</xdr:col>
                    <xdr:colOff>0</xdr:colOff>
                    <xdr:row>14</xdr:row>
                    <xdr:rowOff>200025</xdr:rowOff>
                  </from>
                  <to>
                    <xdr:col>22</xdr:col>
                    <xdr:colOff>123825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qliq_new</vt:lpstr>
      <vt:lpstr>qliq_old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2020-07-15T16:50:26Z</dcterms:modified>
</cp:coreProperties>
</file>