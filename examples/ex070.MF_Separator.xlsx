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E:\unifloc\unifloc_vba\examples\"/>
    </mc:Choice>
  </mc:AlternateContent>
  <xr:revisionPtr revIDLastSave="0" documentId="13_ncr:1_{27C87DD6-BEF1-416C-B46F-1C94358EE37A}" xr6:coauthVersionLast="47" xr6:coauthVersionMax="47" xr10:uidLastSave="{00000000-0000-0000-0000-000000000000}"/>
  <bookViews>
    <workbookView xWindow="-120" yWindow="-120" windowWidth="38640" windowHeight="21390" xr2:uid="{E2E84BD7-C2A2-4E24-A35E-70B40629F858}"/>
  </bookViews>
  <sheets>
    <sheet name="Общая сепарация на скважине" sheetId="2" r:id="rId1"/>
    <sheet name="Газосепараторы" sheetId="3" r:id="rId2"/>
    <sheet name="Натуральная сепарация" sheetId="4" r:id="rId3"/>
  </sheets>
  <externalReferences>
    <externalReference r:id="rId4"/>
  </externalReferences>
  <definedNames>
    <definedName name="feed_json">#REF!</definedName>
    <definedName name="feed_json_1">'Общая сепарация на скважине'!$C$17</definedName>
    <definedName name="gas_separation_json">'Общая сепарация на скважине'!$F$19</definedName>
    <definedName name="ksep_full">'Общая сепарация на скважине'!$F$40</definedName>
    <definedName name="PVT_json">#REF!</definedName>
    <definedName name="PVT_json_1">'Общая сепарация на скважине'!$C$12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2" l="1" a="1"/>
  <c r="T26" i="2" a="1"/>
  <c r="T14" i="2" a="1"/>
  <c r="T15" i="2" a="1"/>
  <c r="T21" i="2" a="1"/>
  <c r="T27" i="2" a="1"/>
  <c r="T24" i="2" a="1"/>
  <c r="T25" i="2" a="1"/>
  <c r="T20" i="2" a="1"/>
  <c r="T16" i="2" a="1"/>
  <c r="T22" i="2" a="1"/>
  <c r="T28" i="2" a="1"/>
  <c r="T12" i="2" a="1"/>
  <c r="T19" i="2" a="1"/>
  <c r="T11" i="2" a="1"/>
  <c r="T17" i="2" a="1"/>
  <c r="T23" i="2" a="1"/>
  <c r="T18" i="2" a="1"/>
  <c r="T30" i="2" a="1"/>
  <c r="T13" i="2" a="1"/>
  <c r="T10" i="2" a="1"/>
  <c r="C13" i="3"/>
  <c r="B16" i="3" a="1"/>
  <c r="I9" i="2"/>
  <c r="F19" i="2"/>
  <c r="C12" i="2"/>
  <c r="C8" i="3"/>
  <c r="H10" i="2" a="1"/>
  <c r="C17" i="2"/>
  <c r="C4" i="4"/>
  <c r="B17" i="4" s="1" a="1"/>
  <c r="C5" i="4"/>
  <c r="C14" i="3"/>
  <c r="D16" i="3" s="1" a="1"/>
  <c r="C15" i="4"/>
  <c r="C17" i="4" a="1"/>
  <c r="D17" i="4" a="1"/>
  <c r="T13" i="2" l="1"/>
  <c r="T30" i="2"/>
  <c r="T18" i="2"/>
  <c r="T23" i="2"/>
  <c r="T17" i="2"/>
  <c r="T11" i="2"/>
  <c r="T19" i="2"/>
  <c r="T12" i="2"/>
  <c r="T28" i="2"/>
  <c r="T22" i="2"/>
  <c r="T16" i="2"/>
  <c r="T20" i="2"/>
  <c r="T25" i="2"/>
  <c r="T24" i="2"/>
  <c r="T27" i="2"/>
  <c r="T21" i="2"/>
  <c r="T15" i="2"/>
  <c r="T14" i="2"/>
  <c r="T26" i="2"/>
  <c r="T29" i="2"/>
  <c r="T10" i="2"/>
  <c r="D18" i="4"/>
  <c r="D23" i="4"/>
  <c r="D20" i="4"/>
  <c r="D35" i="4"/>
  <c r="D26" i="4"/>
  <c r="D31" i="4"/>
  <c r="D34" i="4"/>
  <c r="D24" i="4"/>
  <c r="D32" i="4"/>
  <c r="D29" i="4"/>
  <c r="D19" i="4"/>
  <c r="D22" i="4"/>
  <c r="D27" i="4"/>
  <c r="D17" i="4"/>
  <c r="D25" i="4"/>
  <c r="D21" i="4"/>
  <c r="D33" i="4"/>
  <c r="D36" i="4"/>
  <c r="D37" i="4"/>
  <c r="D30" i="4"/>
  <c r="D28" i="4"/>
  <c r="C36" i="4"/>
  <c r="C31" i="4"/>
  <c r="C19" i="4"/>
  <c r="C25" i="4"/>
  <c r="C20" i="4"/>
  <c r="C37" i="4"/>
  <c r="C24" i="4"/>
  <c r="C27" i="4"/>
  <c r="C32" i="4"/>
  <c r="C35" i="4"/>
  <c r="C28" i="4"/>
  <c r="C17" i="4"/>
  <c r="C23" i="4"/>
  <c r="C33" i="4"/>
  <c r="C22" i="4"/>
  <c r="C29" i="4"/>
  <c r="C34" i="4"/>
  <c r="C21" i="4"/>
  <c r="C18" i="4"/>
  <c r="C26" i="4"/>
  <c r="C30" i="4"/>
  <c r="D22" i="3"/>
  <c r="D21" i="3"/>
  <c r="D16" i="3"/>
  <c r="D29" i="3"/>
  <c r="D27" i="3"/>
  <c r="D32" i="3"/>
  <c r="D30" i="3"/>
  <c r="D19" i="3"/>
  <c r="D17" i="3"/>
  <c r="D18" i="3"/>
  <c r="D26" i="3"/>
  <c r="D25" i="3"/>
  <c r="D31" i="3"/>
  <c r="D33" i="3"/>
  <c r="D34" i="3"/>
  <c r="D20" i="3"/>
  <c r="D28" i="3"/>
  <c r="D23" i="3"/>
  <c r="D35" i="3"/>
  <c r="D24" i="3"/>
  <c r="D36" i="3"/>
  <c r="B24" i="4"/>
  <c r="B19" i="4"/>
  <c r="B21" i="4"/>
  <c r="B30" i="4"/>
  <c r="B32" i="4"/>
  <c r="B27" i="4"/>
  <c r="B29" i="4"/>
  <c r="B36" i="4"/>
  <c r="B35" i="4"/>
  <c r="B22" i="4"/>
  <c r="B17" i="4"/>
  <c r="B20" i="4"/>
  <c r="B25" i="4"/>
  <c r="B28" i="4"/>
  <c r="B26" i="4"/>
  <c r="B33" i="4"/>
  <c r="B37" i="4"/>
  <c r="B18" i="4"/>
  <c r="B23" i="4"/>
  <c r="B31" i="4"/>
  <c r="B34" i="4"/>
  <c r="F36" i="2"/>
  <c r="I5" i="2"/>
  <c r="H19" i="2"/>
  <c r="H23" i="2"/>
  <c r="H18" i="2"/>
  <c r="H26" i="2"/>
  <c r="H21" i="2"/>
  <c r="H14" i="2"/>
  <c r="H16" i="2"/>
  <c r="H30" i="2"/>
  <c r="H13" i="2"/>
  <c r="H12" i="2"/>
  <c r="H17" i="2"/>
  <c r="H20" i="2"/>
  <c r="H24" i="2"/>
  <c r="H10" i="2"/>
  <c r="H28" i="2"/>
  <c r="H25" i="2"/>
  <c r="H15" i="2"/>
  <c r="H27" i="2"/>
  <c r="H29" i="2"/>
  <c r="H11" i="2"/>
  <c r="H22" i="2"/>
  <c r="F37" i="2"/>
  <c r="I6" i="2"/>
  <c r="B22" i="3"/>
  <c r="B28" i="3"/>
  <c r="B31" i="3"/>
  <c r="B17" i="3"/>
  <c r="B36" i="3"/>
  <c r="B25" i="3"/>
  <c r="B21" i="3"/>
  <c r="B27" i="3"/>
  <c r="B34" i="3"/>
  <c r="B30" i="3"/>
  <c r="B24" i="3"/>
  <c r="B32" i="3"/>
  <c r="B29" i="3"/>
  <c r="B18" i="3"/>
  <c r="B23" i="3"/>
  <c r="B35" i="3"/>
  <c r="B26" i="3"/>
  <c r="B16" i="3"/>
  <c r="B19" i="3"/>
  <c r="B33" i="3"/>
  <c r="B20" i="3"/>
  <c r="C32" i="3"/>
  <c r="E19" i="3"/>
  <c r="C18" i="3"/>
  <c r="E18" i="3"/>
  <c r="C31" i="3"/>
  <c r="C23" i="3"/>
  <c r="C17" i="3"/>
  <c r="E36" i="3"/>
  <c r="E26" i="3"/>
  <c r="C35" i="3"/>
  <c r="E25" i="3"/>
  <c r="C36" i="3"/>
  <c r="C26" i="3"/>
  <c r="C20" i="3"/>
  <c r="C28" i="3"/>
  <c r="E22" i="3"/>
  <c r="E31" i="3"/>
  <c r="C25" i="3"/>
  <c r="C16" i="3"/>
  <c r="E21" i="3"/>
  <c r="E33" i="3"/>
  <c r="C21" i="3"/>
  <c r="C19" i="3"/>
  <c r="C34" i="3"/>
  <c r="E27" i="3"/>
  <c r="E17" i="3"/>
  <c r="E16" i="3"/>
  <c r="E34" i="3"/>
  <c r="C27" i="3"/>
  <c r="C33" i="3"/>
  <c r="E29" i="3"/>
  <c r="E20" i="3"/>
  <c r="E28" i="3"/>
  <c r="C30" i="3"/>
  <c r="E32" i="3"/>
  <c r="E23" i="3"/>
  <c r="F40" i="2" a="1"/>
  <c r="C24" i="3"/>
  <c r="E30" i="3"/>
  <c r="E35" i="3"/>
  <c r="E24" i="3"/>
  <c r="I17" i="2"/>
  <c r="J17" i="2" s="1" a="1"/>
  <c r="I15" i="2"/>
  <c r="J15" i="2" s="1" a="1"/>
  <c r="I27" i="2"/>
  <c r="J27" i="2" s="1" a="1"/>
  <c r="I16" i="2"/>
  <c r="J16" i="2" s="1" a="1"/>
  <c r="I28" i="2"/>
  <c r="J28" i="2" s="1" a="1"/>
  <c r="I30" i="2"/>
  <c r="J30" i="2" s="1" a="1"/>
  <c r="I20" i="2"/>
  <c r="J20" i="2" s="1" a="1"/>
  <c r="I21" i="2"/>
  <c r="J21" i="2" s="1" a="1"/>
  <c r="I29" i="2"/>
  <c r="J29" i="2" s="1" a="1"/>
  <c r="I10" i="2"/>
  <c r="J10" i="2" s="1" a="1"/>
  <c r="I22" i="2"/>
  <c r="J22" i="2" s="1" a="1"/>
  <c r="I18" i="2"/>
  <c r="J18" i="2" s="1" a="1"/>
  <c r="I19" i="2"/>
  <c r="J19" i="2" s="1" a="1"/>
  <c r="I11" i="2"/>
  <c r="J11" i="2" s="1" a="1"/>
  <c r="I12" i="2"/>
  <c r="J12" i="2" s="1" a="1"/>
  <c r="I24" i="2"/>
  <c r="J24" i="2" s="1" a="1"/>
  <c r="I13" i="2"/>
  <c r="J13" i="2" s="1" a="1"/>
  <c r="I25" i="2"/>
  <c r="J25" i="2" s="1" a="1"/>
  <c r="I23" i="2"/>
  <c r="J23" i="2" s="1" a="1"/>
  <c r="I14" i="2"/>
  <c r="J14" i="2" s="1" a="1"/>
  <c r="I26" i="2"/>
  <c r="J26" i="2" s="1" a="1"/>
  <c r="C22" i="3"/>
  <c r="C29" i="3"/>
  <c r="L26" i="2" l="1"/>
  <c r="O26" i="2"/>
  <c r="J26" i="2"/>
  <c r="M26" i="2"/>
  <c r="N26" i="2"/>
  <c r="Q26" i="2"/>
  <c r="K26" i="2"/>
  <c r="R26" i="2"/>
  <c r="P26" i="2"/>
  <c r="N14" i="2"/>
  <c r="O14" i="2"/>
  <c r="P14" i="2"/>
  <c r="L14" i="2"/>
  <c r="M14" i="2"/>
  <c r="R14" i="2"/>
  <c r="K14" i="2"/>
  <c r="Q14" i="2"/>
  <c r="J14" i="2"/>
  <c r="Q23" i="2"/>
  <c r="L23" i="2"/>
  <c r="K23" i="2"/>
  <c r="O23" i="2"/>
  <c r="P23" i="2"/>
  <c r="J23" i="2"/>
  <c r="N23" i="2"/>
  <c r="R23" i="2"/>
  <c r="M23" i="2"/>
  <c r="M25" i="2"/>
  <c r="P25" i="2"/>
  <c r="N25" i="2"/>
  <c r="Q25" i="2"/>
  <c r="J25" i="2"/>
  <c r="R25" i="2"/>
  <c r="K25" i="2"/>
  <c r="O25" i="2"/>
  <c r="L25" i="2"/>
  <c r="R13" i="2"/>
  <c r="N13" i="2"/>
  <c r="K13" i="2"/>
  <c r="L13" i="2"/>
  <c r="M13" i="2"/>
  <c r="Q13" i="2"/>
  <c r="O13" i="2"/>
  <c r="P13" i="2"/>
  <c r="J13" i="2"/>
  <c r="J24" i="2"/>
  <c r="L24" i="2"/>
  <c r="O24" i="2"/>
  <c r="R24" i="2"/>
  <c r="P24" i="2"/>
  <c r="Q24" i="2"/>
  <c r="M24" i="2"/>
  <c r="K24" i="2"/>
  <c r="N24" i="2"/>
  <c r="Q12" i="2"/>
  <c r="M12" i="2"/>
  <c r="P12" i="2"/>
  <c r="O12" i="2"/>
  <c r="L12" i="2"/>
  <c r="K12" i="2"/>
  <c r="J12" i="2"/>
  <c r="R12" i="2"/>
  <c r="N12" i="2"/>
  <c r="P11" i="2"/>
  <c r="Q11" i="2"/>
  <c r="M11" i="2"/>
  <c r="N11" i="2"/>
  <c r="L11" i="2"/>
  <c r="O11" i="2"/>
  <c r="K11" i="2"/>
  <c r="J11" i="2"/>
  <c r="R11" i="2"/>
  <c r="P19" i="2"/>
  <c r="J19" i="2"/>
  <c r="O19" i="2"/>
  <c r="N19" i="2"/>
  <c r="K19" i="2"/>
  <c r="L19" i="2"/>
  <c r="M19" i="2"/>
  <c r="R19" i="2"/>
  <c r="Q19" i="2"/>
  <c r="P18" i="2"/>
  <c r="O18" i="2"/>
  <c r="Q18" i="2"/>
  <c r="M18" i="2"/>
  <c r="J18" i="2"/>
  <c r="R18" i="2"/>
  <c r="K18" i="2"/>
  <c r="N18" i="2"/>
  <c r="L18" i="2"/>
  <c r="N22" i="2"/>
  <c r="K22" i="2"/>
  <c r="R22" i="2"/>
  <c r="Q22" i="2"/>
  <c r="J22" i="2"/>
  <c r="O22" i="2"/>
  <c r="L22" i="2"/>
  <c r="M22" i="2"/>
  <c r="P22" i="2"/>
  <c r="O10" i="2"/>
  <c r="R10" i="2"/>
  <c r="M10" i="2"/>
  <c r="J10" i="2"/>
  <c r="P10" i="2"/>
  <c r="Q10" i="2"/>
  <c r="N10" i="2"/>
  <c r="K10" i="2"/>
  <c r="L10" i="2"/>
  <c r="R29" i="2"/>
  <c r="M29" i="2"/>
  <c r="J29" i="2"/>
  <c r="K29" i="2"/>
  <c r="P29" i="2"/>
  <c r="L29" i="2"/>
  <c r="N29" i="2"/>
  <c r="O29" i="2"/>
  <c r="Q29" i="2"/>
  <c r="K21" i="2"/>
  <c r="P21" i="2"/>
  <c r="L21" i="2"/>
  <c r="Q21" i="2"/>
  <c r="M21" i="2"/>
  <c r="R21" i="2"/>
  <c r="N21" i="2"/>
  <c r="J21" i="2"/>
  <c r="O21" i="2"/>
  <c r="Q20" i="2"/>
  <c r="O20" i="2"/>
  <c r="L20" i="2"/>
  <c r="M20" i="2"/>
  <c r="R20" i="2"/>
  <c r="N20" i="2"/>
  <c r="J20" i="2"/>
  <c r="P20" i="2"/>
  <c r="K20" i="2"/>
  <c r="J31" i="2"/>
  <c r="R31" i="2"/>
  <c r="P31" i="2"/>
  <c r="L31" i="2"/>
  <c r="O30" i="2"/>
  <c r="J30" i="2"/>
  <c r="K31" i="2"/>
  <c r="P30" i="2"/>
  <c r="M30" i="2"/>
  <c r="L30" i="2"/>
  <c r="K30" i="2"/>
  <c r="N30" i="2"/>
  <c r="N31" i="2"/>
  <c r="Q31" i="2"/>
  <c r="Q30" i="2"/>
  <c r="M31" i="2"/>
  <c r="R30" i="2"/>
  <c r="O31" i="2"/>
  <c r="M28" i="2"/>
  <c r="N28" i="2"/>
  <c r="P28" i="2"/>
  <c r="J28" i="2"/>
  <c r="L28" i="2"/>
  <c r="O28" i="2"/>
  <c r="Q28" i="2"/>
  <c r="K28" i="2"/>
  <c r="R28" i="2"/>
  <c r="J16" i="2"/>
  <c r="R16" i="2"/>
  <c r="P16" i="2"/>
  <c r="O16" i="2"/>
  <c r="Q16" i="2"/>
  <c r="K16" i="2"/>
  <c r="L16" i="2"/>
  <c r="M16" i="2"/>
  <c r="N16" i="2"/>
  <c r="P27" i="2"/>
  <c r="Q27" i="2"/>
  <c r="M27" i="2"/>
  <c r="L27" i="2"/>
  <c r="O27" i="2"/>
  <c r="N27" i="2"/>
  <c r="J27" i="2"/>
  <c r="R27" i="2"/>
  <c r="K27" i="2"/>
  <c r="M15" i="2"/>
  <c r="P15" i="2"/>
  <c r="O15" i="2"/>
  <c r="L15" i="2"/>
  <c r="Q15" i="2"/>
  <c r="R15" i="2"/>
  <c r="J15" i="2"/>
  <c r="N15" i="2"/>
  <c r="K15" i="2"/>
  <c r="P17" i="2"/>
  <c r="Q17" i="2"/>
  <c r="N17" i="2"/>
  <c r="J17" i="2"/>
  <c r="R17" i="2"/>
  <c r="M17" i="2"/>
  <c r="O17" i="2"/>
  <c r="K17" i="2"/>
  <c r="L17" i="2"/>
  <c r="F40" i="2"/>
  <c r="G41" i="2"/>
  <c r="J41" i="2"/>
  <c r="N40" i="2"/>
  <c r="I40" i="2"/>
  <c r="M41" i="2"/>
  <c r="J40" i="2"/>
  <c r="K41" i="2"/>
  <c r="K40" i="2"/>
  <c r="G40" i="2"/>
  <c r="L40" i="2"/>
  <c r="F41" i="2"/>
  <c r="L41" i="2"/>
  <c r="N41" i="2"/>
  <c r="H41" i="2"/>
  <c r="I41" i="2"/>
  <c r="H40" i="2"/>
  <c r="M40" i="2"/>
  <c r="U23" i="2" a="1"/>
  <c r="V13" i="2" a="1"/>
  <c r="V24" i="2" a="1"/>
  <c r="V29" i="2" a="1"/>
  <c r="V23" i="2" a="1"/>
  <c r="U13" i="2" a="1"/>
  <c r="V12" i="2" a="1"/>
  <c r="V17" i="2" a="1"/>
  <c r="U19" i="2" a="1"/>
  <c r="U21" i="2" a="1"/>
  <c r="U26" i="2" a="1"/>
  <c r="U18" i="2" a="1"/>
  <c r="V10" i="2" a="1"/>
  <c r="V25" i="2" a="1"/>
  <c r="U25" i="2" a="1"/>
  <c r="U24" i="2" a="1"/>
  <c r="V28" i="2" a="1"/>
  <c r="V15" i="2" a="1"/>
  <c r="U15" i="2" a="1"/>
  <c r="U11" i="2" a="1"/>
  <c r="U22" i="2" a="1"/>
  <c r="U29" i="2" a="1"/>
  <c r="V22" i="2" a="1"/>
  <c r="U14" i="2" a="1"/>
  <c r="U28" i="2" a="1"/>
  <c r="V26" i="2" a="1"/>
  <c r="V19" i="2" a="1"/>
  <c r="V30" i="2" a="1"/>
  <c r="V16" i="2" a="1"/>
  <c r="U27" i="2" a="1"/>
  <c r="U10" i="2" a="1"/>
  <c r="V20" i="2" a="1"/>
  <c r="V27" i="2" a="1"/>
  <c r="V11" i="2" a="1"/>
  <c r="U20" i="2" a="1"/>
  <c r="U17" i="2" a="1"/>
  <c r="V14" i="2" a="1"/>
  <c r="U12" i="2" a="1"/>
  <c r="V18" i="2" a="1"/>
  <c r="V21" i="2" a="1"/>
  <c r="U30" i="2" a="1"/>
  <c r="U16" i="2" a="1"/>
  <c r="U16" i="2" l="1"/>
  <c r="U30" i="2"/>
  <c r="V21" i="2"/>
  <c r="V18" i="2"/>
  <c r="U12" i="2"/>
  <c r="V14" i="2"/>
  <c r="U17" i="2"/>
  <c r="U20" i="2"/>
  <c r="V11" i="2"/>
  <c r="V27" i="2"/>
  <c r="V20" i="2"/>
  <c r="U10" i="2"/>
  <c r="U27" i="2"/>
  <c r="V16" i="2"/>
  <c r="V30" i="2"/>
  <c r="V19" i="2"/>
  <c r="V26" i="2"/>
  <c r="U28" i="2"/>
  <c r="U14" i="2"/>
  <c r="V22" i="2"/>
  <c r="U29" i="2"/>
  <c r="U22" i="2"/>
  <c r="U11" i="2"/>
  <c r="U15" i="2"/>
  <c r="V15" i="2"/>
  <c r="V28" i="2"/>
  <c r="U24" i="2"/>
  <c r="U25" i="2"/>
  <c r="V25" i="2"/>
  <c r="V10" i="2"/>
  <c r="U18" i="2"/>
  <c r="U26" i="2"/>
  <c r="U21" i="2"/>
  <c r="U19" i="2"/>
  <c r="V17" i="2"/>
  <c r="V12" i="2"/>
  <c r="U13" i="2"/>
  <c r="V23" i="2"/>
  <c r="V29" i="2"/>
  <c r="V24" i="2"/>
  <c r="V13" i="2"/>
  <c r="U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rnt</author>
  </authors>
  <commentList>
    <comment ref="C3" authorId="0" shapeId="0" xr:uid="{0AEBF375-08FF-4D71-9833-CED2A55792F3}">
      <text>
        <r>
          <rPr>
            <sz val="9"/>
            <color indexed="81"/>
            <rFont val="Tahoma"/>
            <family val="2"/>
            <charset val="204"/>
          </rPr>
          <t>Удельная плотность газа по воздуху</t>
        </r>
      </text>
    </comment>
    <comment ref="F3" authorId="0" shapeId="0" xr:uid="{7233294D-BC67-4A02-B5C5-62029F22C4E7}">
      <text>
        <r>
          <rPr>
            <sz val="9"/>
            <color indexed="81"/>
            <rFont val="Tahoma"/>
            <family val="2"/>
            <charset val="204"/>
          </rPr>
          <t>режим расчета сепарации0 - byCorrealation,1 - pressureManual, 2 - valueManual,2 - fullyManual</t>
        </r>
      </text>
    </comment>
    <comment ref="I3" authorId="0" shapeId="0" xr:uid="{32353085-B983-4214-8FEC-4572714C2BD3}">
      <text>
        <r>
          <rPr>
            <sz val="9"/>
            <color indexed="81"/>
            <rFont val="Tahoma"/>
            <family val="2"/>
            <charset val="204"/>
          </rPr>
          <t>Давление сепарации, атма</t>
        </r>
      </text>
    </comment>
    <comment ref="C4" authorId="0" shapeId="0" xr:uid="{85FCD436-1EE2-4CAC-B515-36E744DB572B}">
      <text>
        <r>
          <rPr>
            <sz val="9"/>
            <color indexed="81"/>
            <rFont val="Tahoma"/>
            <family val="2"/>
            <charset val="204"/>
          </rPr>
          <t>Удельная плотность нефти по воде</t>
        </r>
      </text>
    </comment>
    <comment ref="F4" authorId="0" shapeId="0" xr:uid="{5D39F49E-6957-4D71-A44A-08F9F7C90E5F}">
      <text>
        <r>
          <rPr>
            <sz val="9"/>
            <color indexed="81"/>
            <rFont val="Tahoma"/>
            <family val="2"/>
            <charset val="204"/>
          </rPr>
          <t xml:space="preserve">давление для расчетакоэффициента сепарации заданного вручную </t>
        </r>
      </text>
    </comment>
    <comment ref="I4" authorId="0" shapeId="0" xr:uid="{AD1E18AD-D2D2-4EC6-A632-5FA59DF78638}">
      <text>
        <r>
          <rPr>
            <sz val="9"/>
            <color indexed="81"/>
            <rFont val="Tahoma"/>
            <family val="2"/>
            <charset val="204"/>
          </rPr>
          <t>Температура сепарации, С</t>
        </r>
      </text>
    </comment>
    <comment ref="C5" authorId="0" shapeId="0" xr:uid="{315E7B28-295C-46BB-A976-AE0BC2719368}">
      <text>
        <r>
          <rPr>
            <sz val="9"/>
            <color indexed="81"/>
            <rFont val="Tahoma"/>
            <family val="2"/>
            <charset val="204"/>
          </rPr>
          <t>Удельная плотность воды (по воде)</t>
        </r>
      </text>
    </comment>
    <comment ref="F5" authorId="0" shapeId="0" xr:uid="{C57E5ABE-1363-40E9-ABD8-3C20BDB06B8F}">
      <text>
        <r>
          <rPr>
            <sz val="9"/>
            <color indexed="81"/>
            <rFont val="Tahoma"/>
            <family val="2"/>
            <charset val="204"/>
          </rPr>
          <t xml:space="preserve">температура для расчета коэффициента сепарации заданного вручную  </t>
        </r>
      </text>
    </comment>
    <comment ref="I5" authorId="0" shapeId="0" xr:uid="{58589464-65EF-4525-9F51-3F034CBE5594}">
      <text>
        <r>
          <rPr>
            <sz val="9"/>
            <color indexed="81"/>
            <rFont val="Tahoma"/>
            <family val="2"/>
            <charset val="204"/>
          </rPr>
          <t>Поток для сепарации. Используйте encode_feed</t>
        </r>
      </text>
    </comment>
    <comment ref="C6" authorId="0" shapeId="0" xr:uid="{294C6DC4-97DC-4C19-A7EA-4E9C2DED3852}">
      <text>
        <r>
          <rPr>
            <sz val="9"/>
            <color indexed="81"/>
            <rFont val="Tahoma"/>
            <family val="2"/>
            <charset val="204"/>
          </rPr>
          <t>Газосодержание при давлении насыщения, м3/м3</t>
        </r>
      </text>
    </comment>
    <comment ref="F6" authorId="0" shapeId="0" xr:uid="{9F3613F1-2A82-45D9-9DC4-EF91897BD48D}">
      <text>
        <r>
          <rPr>
            <sz val="9"/>
            <color indexed="81"/>
            <rFont val="Tahoma"/>
            <family val="2"/>
            <charset val="204"/>
          </rPr>
          <t>модель расчета естественной сепарации:0 - упрощенная Маркеса, 1 - механистическая Маркеса2 - ЭЦН ниже перфорации механистическая</t>
        </r>
      </text>
    </comment>
    <comment ref="I6" authorId="0" shapeId="0" xr:uid="{6286BDE6-3F94-4853-8693-0E06357AB91B}">
      <text>
        <r>
          <rPr>
            <sz val="9"/>
            <color indexed="81"/>
            <rFont val="Tahoma"/>
            <family val="2"/>
            <charset val="204"/>
          </rPr>
          <t>Параметры сепарации газа. Используйте encode_ESP_separation</t>
        </r>
      </text>
    </comment>
    <comment ref="C7" authorId="0" shapeId="0" xr:uid="{DA86F116-CFF3-4847-9864-03D35074BE8C}">
      <text>
        <r>
          <rPr>
            <sz val="9"/>
            <color indexed="81"/>
            <rFont val="Tahoma"/>
            <family val="2"/>
            <charset val="204"/>
          </rPr>
          <t>Давление насыщения при заданной температуре, атма</t>
        </r>
      </text>
    </comment>
    <comment ref="F7" authorId="0" shapeId="0" xr:uid="{D6C36E71-E31E-4437-9E6E-C5C24F05130B}">
      <text>
        <r>
          <rPr>
            <sz val="9"/>
            <color indexed="81"/>
            <rFont val="Tahoma"/>
            <family val="2"/>
            <charset val="204"/>
          </rPr>
          <t>диаметр приемной сетки ЭЦН/габарит ЭЦН</t>
        </r>
      </text>
    </comment>
    <comment ref="I7" authorId="0" shapeId="0" xr:uid="{0AC72548-B10A-4095-BC53-ED808FCCFDE0}">
      <text>
        <r>
          <rPr>
            <sz val="9"/>
            <color indexed="81"/>
            <rFont val="Tahoma"/>
            <family val="2"/>
            <charset val="204"/>
          </rPr>
          <t>Частота для расчета роторного газосепаратора</t>
        </r>
      </text>
    </comment>
    <comment ref="C8" authorId="0" shapeId="0" xr:uid="{A7DA1282-4572-4BBB-B6DF-7E1E79C07498}">
      <text>
        <r>
          <rPr>
            <sz val="9"/>
            <color indexed="81"/>
            <rFont val="Tahoma"/>
            <family val="2"/>
            <charset val="204"/>
          </rPr>
          <t>Температура пласта, при которой определено давление насыщения, С</t>
        </r>
      </text>
    </comment>
    <comment ref="F8" authorId="0" shapeId="0" xr:uid="{0AB14BFF-8567-4278-A7B2-F5C7E9254585}">
      <text>
        <r>
          <rPr>
            <sz val="9"/>
            <color indexed="81"/>
            <rFont val="Tahoma"/>
            <family val="2"/>
            <charset val="204"/>
          </rPr>
          <t>диаметр эксплуатационной колонны</t>
        </r>
      </text>
    </comment>
    <comment ref="I8" authorId="0" shapeId="0" xr:uid="{ECFE0592-5EB7-4657-B374-0DF75FA5735E}">
      <text>
        <r>
          <rPr>
            <sz val="9"/>
            <color indexed="81"/>
            <rFont val="Tahoma"/>
            <family val="2"/>
            <charset val="204"/>
          </rPr>
          <t>Диапазон настройки графика по x</t>
        </r>
      </text>
    </comment>
    <comment ref="C9" authorId="0" shapeId="0" xr:uid="{B4BEAE5A-96CD-49CD-87E4-0452E4E8819F}">
      <text>
        <r>
          <rPr>
            <sz val="9"/>
            <color indexed="81"/>
            <rFont val="Tahoma"/>
            <family val="2"/>
            <charset val="204"/>
          </rPr>
          <t>Объемный коэффициент нефти при давлении насыщения и пластовой температуре, м3/м3</t>
        </r>
      </text>
    </comment>
    <comment ref="F9" authorId="0" shapeId="0" xr:uid="{2DB3A725-7447-4E0B-B78D-973CB43964E1}">
      <text>
        <r>
          <rPr>
            <sz val="9"/>
            <color indexed="81"/>
            <rFont val="Tahoma"/>
            <family val="2"/>
            <charset val="204"/>
          </rPr>
          <t>диаметр НКТ</t>
        </r>
      </text>
    </comment>
    <comment ref="C10" authorId="0" shapeId="0" xr:uid="{924C29AF-6FD5-4831-9FCE-1BD15BDEA40D}">
      <text>
        <r>
          <rPr>
            <sz val="9"/>
            <color indexed="81"/>
            <rFont val="Tahoma"/>
            <family val="2"/>
            <charset val="204"/>
          </rPr>
          <t>Вязкость нефти при давлении насыщения и пластовой температуре, сП</t>
        </r>
      </text>
    </comment>
    <comment ref="F10" authorId="0" shapeId="0" xr:uid="{D74007AD-346E-451D-A5A4-77BD0221610E}">
      <text>
        <r>
          <rPr>
            <sz val="9"/>
            <color indexed="81"/>
            <rFont val="Tahoma"/>
            <family val="2"/>
            <charset val="204"/>
          </rPr>
          <t>для ПКВ режима отношение времени работы к общему времени цикла.Если задано значение от 0 до 1 будет расчет ПКВ</t>
        </r>
      </text>
    </comment>
    <comment ref="C11" authorId="0" shapeId="0" xr:uid="{16D33B1B-D10F-467C-B418-599C1BCE4F60}">
      <text>
        <r>
          <rPr>
            <sz val="9"/>
            <color indexed="81"/>
            <rFont val="Tahoma"/>
            <family val="2"/>
            <charset val="204"/>
          </rPr>
          <t>Набор PVT корреляций. 0 - на основе корреляции Стендинга для газосодержания, 1 - на основе корреляции Веларда Маккейна для газосодержания</t>
        </r>
      </text>
    </comment>
    <comment ref="F11" authorId="0" shapeId="0" xr:uid="{91919201-4B11-4538-8535-990FA85A0F7A}">
      <text>
        <r>
          <rPr>
            <sz val="9"/>
            <color indexed="81"/>
            <rFont val="Tahoma"/>
            <family val="2"/>
            <charset val="204"/>
          </rPr>
          <t xml:space="preserve">коэффициент сепарации ГС заданный вручную   </t>
        </r>
      </text>
    </comment>
    <comment ref="F12" authorId="0" shapeId="0" xr:uid="{DE04EB40-40C2-48AD-81EC-6BB1949CBFC8}">
      <text>
        <r>
          <rPr>
            <sz val="9"/>
            <color indexed="81"/>
            <rFont val="Tahoma"/>
            <family val="2"/>
            <charset val="204"/>
          </rPr>
          <t xml:space="preserve">коэффициент сепарации натуральной заданный вручную  </t>
        </r>
      </text>
    </comment>
    <comment ref="C13" authorId="0" shapeId="0" xr:uid="{4AE2907E-D457-4449-8AAF-935D6F9EBE16}">
      <text>
        <r>
          <rPr>
            <sz val="9"/>
            <color indexed="81"/>
            <rFont val="Tahoma"/>
            <family val="2"/>
            <charset val="204"/>
          </rPr>
          <t>Дебит жидкости в стандартных условиях</t>
        </r>
      </text>
    </comment>
    <comment ref="F13" authorId="0" shapeId="0" xr:uid="{6BA5C391-6A98-4148-BD0F-E09C51D161FD}">
      <text>
        <r>
          <rPr>
            <sz val="9"/>
            <color indexed="81"/>
            <rFont val="Tahoma"/>
            <family val="2"/>
            <charset val="204"/>
          </rPr>
          <t>пока нигде не используется</t>
        </r>
      </text>
    </comment>
    <comment ref="C14" authorId="0" shapeId="0" xr:uid="{E0F9AE16-A36D-493B-AAED-9B604CC72F23}">
      <text>
        <r>
          <rPr>
            <sz val="9"/>
            <color indexed="81"/>
            <rFont val="Tahoma"/>
            <family val="2"/>
            <charset val="204"/>
          </rPr>
          <t>Обводненность, %</t>
        </r>
      </text>
    </comment>
    <comment ref="F14" authorId="0" shapeId="0" xr:uid="{F09B1DA4-57AF-448E-8634-83079A772823}">
      <text>
        <r>
          <rPr>
            <sz val="9"/>
            <color indexed="81"/>
            <rFont val="Tahoma"/>
            <family val="2"/>
            <charset val="204"/>
          </rPr>
          <t>высота приемного модуля ЭЦН. Влияет на механистическую корреляцию Маркеса</t>
        </r>
      </text>
    </comment>
    <comment ref="C15" authorId="0" shapeId="0" xr:uid="{725A5439-F4C1-44A1-8A2B-7B335C452A88}">
      <text>
        <r>
          <rPr>
            <sz val="9"/>
            <color indexed="81"/>
            <rFont val="Tahoma"/>
            <family val="2"/>
            <charset val="204"/>
          </rPr>
          <t>Газовый фактор, м3/м3</t>
        </r>
      </text>
    </comment>
    <comment ref="F15" authorId="0" shapeId="0" xr:uid="{6B4706D0-5FE6-479E-95BA-66DD516EA434}">
      <text>
        <r>
          <rPr>
            <sz val="9"/>
            <color indexed="81"/>
            <rFont val="Tahoma"/>
            <family val="2"/>
            <charset val="204"/>
          </rPr>
          <t>высота интервала перфорации. Влияет на сепарацию с ЭЦН ниже перфорации</t>
        </r>
      </text>
    </comment>
    <comment ref="C16" authorId="0" shapeId="0" xr:uid="{BAD5E42F-4CF1-44D6-A5F4-BCFA19F9ED87}">
      <text>
        <r>
          <rPr>
            <sz val="9"/>
            <color indexed="81"/>
            <rFont val="Tahoma"/>
            <family val="2"/>
            <charset val="204"/>
          </rPr>
          <t>Дебит свободного газа в потоке ст.м3/сут. Свободный газ в потоке дополняет газ выделившийся из нефти.</t>
        </r>
      </text>
    </comment>
    <comment ref="F16" authorId="0" shapeId="0" xr:uid="{6AD1EE7D-47C8-4EB1-A3D5-5267EE37F8D1}">
      <text>
        <r>
          <rPr>
            <sz val="9"/>
            <color indexed="81"/>
            <rFont val="Tahoma"/>
            <family val="2"/>
            <charset val="204"/>
          </rPr>
          <t>тип газосепаратора: -1 или нет значения - газосепаратор не рассчитывается, 0 - упрощенная модель, 1 - номер ГС из базы испытаний (от 1 до 29)</t>
        </r>
      </text>
    </comment>
    <comment ref="F17" authorId="0" shapeId="0" xr:uid="{150C47E3-64A1-4A10-A35E-D2B54977B2ED}">
      <text>
        <r>
          <rPr>
            <sz val="9"/>
            <color indexed="81"/>
            <rFont val="Tahoma"/>
            <family val="2"/>
            <charset val="204"/>
          </rPr>
          <t xml:space="preserve">номинальная подача ГС для упрощенной модели.В упрощенной модели Ксеп(0) = 1, Ксеп(q_ном) = 0.5 зависимость линейная </t>
        </r>
      </text>
    </comment>
    <comment ref="F18" authorId="0" shapeId="0" xr:uid="{9CF045B1-6284-466B-825B-47A68E15E65B}">
      <text>
        <r>
          <rPr>
            <sz val="9"/>
            <color indexed="81"/>
            <rFont val="Tahoma"/>
            <family val="2"/>
            <charset val="204"/>
          </rPr>
          <t>дополнительные параметры в виде json словаря</t>
        </r>
      </text>
    </comment>
    <comment ref="F34" authorId="0" shapeId="0" xr:uid="{0541471D-E270-4D0A-B30C-D56CEA427C9A}">
      <text>
        <r>
          <rPr>
            <sz val="9"/>
            <color indexed="81"/>
            <rFont val="Tahoma"/>
            <family val="2"/>
            <charset val="204"/>
          </rPr>
          <t>Давление сепарации, атма</t>
        </r>
      </text>
    </comment>
    <comment ref="F35" authorId="0" shapeId="0" xr:uid="{3D97E12A-F726-4653-9269-10DADE57E7BB}">
      <text>
        <r>
          <rPr>
            <sz val="9"/>
            <color indexed="81"/>
            <rFont val="Tahoma"/>
            <family val="2"/>
            <charset val="204"/>
          </rPr>
          <t>Температура сепарации, С</t>
        </r>
      </text>
    </comment>
    <comment ref="F36" authorId="0" shapeId="0" xr:uid="{C984D40E-8F50-4AEA-AF00-19ED59C59401}">
      <text>
        <r>
          <rPr>
            <sz val="9"/>
            <color indexed="81"/>
            <rFont val="Tahoma"/>
            <family val="2"/>
            <charset val="204"/>
          </rPr>
          <t>Поток для сепарации. Используйте encode_feed</t>
        </r>
      </text>
    </comment>
    <comment ref="F37" authorId="0" shapeId="0" xr:uid="{AFCFCCC5-8D11-47F5-81CD-D893FBD95797}">
      <text>
        <r>
          <rPr>
            <sz val="9"/>
            <color indexed="81"/>
            <rFont val="Tahoma"/>
            <family val="2"/>
            <charset val="204"/>
          </rPr>
          <t>Параметры сепарации газа. Используйте encode_ESP_separation</t>
        </r>
      </text>
    </comment>
    <comment ref="F38" authorId="0" shapeId="0" xr:uid="{203E11AD-FF70-4124-BB62-A3183EDF9492}">
      <text>
        <r>
          <rPr>
            <sz val="9"/>
            <color indexed="81"/>
            <rFont val="Tahoma"/>
            <family val="2"/>
            <charset val="204"/>
          </rPr>
          <t>Частота для расчета роторного газосепаратора</t>
        </r>
      </text>
    </comment>
    <comment ref="F39" authorId="0" shapeId="0" xr:uid="{6E3E2E70-0CE2-4666-A4EA-D9FCACA1C3EF}">
      <text>
        <r>
          <rPr>
            <sz val="9"/>
            <color indexed="81"/>
            <rFont val="Tahoma"/>
            <family val="2"/>
            <charset val="204"/>
          </rPr>
          <t>Настройка вывода результатов - массив или словарь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<sst xmlns="http://schemas.openxmlformats.org/spreadsheetml/2006/main" count="130" uniqueCount="62">
  <si>
    <t>gamma_gas</t>
  </si>
  <si>
    <t>gamma_oil</t>
  </si>
  <si>
    <t>gamma_wat</t>
  </si>
  <si>
    <t>rsb_m3m3</t>
  </si>
  <si>
    <t>pb_atma</t>
  </si>
  <si>
    <t>t_res_C</t>
  </si>
  <si>
    <t>bob_m3m3</t>
  </si>
  <si>
    <t>muob_cP</t>
  </si>
  <si>
    <t>pvt_corr_set</t>
  </si>
  <si>
    <t>PVT</t>
  </si>
  <si>
    <t>q_liq_sm3day</t>
  </si>
  <si>
    <t>fw_perc</t>
  </si>
  <si>
    <t>rp_m3m3</t>
  </si>
  <si>
    <t>q_gas_free_sm3day</t>
  </si>
  <si>
    <t>feed</t>
  </si>
  <si>
    <t>calc_mode</t>
  </si>
  <si>
    <t>p_sep_atma</t>
  </si>
  <si>
    <t>t_sep_C</t>
  </si>
  <si>
    <t>natsep_model</t>
  </si>
  <si>
    <t>d_intake_od_mm</t>
  </si>
  <si>
    <t>d_cas_id_mm</t>
  </si>
  <si>
    <t>d_tub_od_mm</t>
  </si>
  <si>
    <t>pkv_prod_period_ratio</t>
  </si>
  <si>
    <t>ksep_gassep_man_d</t>
  </si>
  <si>
    <t>ksep_nat_man_d</t>
  </si>
  <si>
    <t>ksep_liquid_man_d</t>
  </si>
  <si>
    <t>h_intake_m</t>
  </si>
  <si>
    <t>h_perf_m</t>
  </si>
  <si>
    <t>gassep_type</t>
  </si>
  <si>
    <t>gassep_qnom_sm3day</t>
  </si>
  <si>
    <t>param</t>
  </si>
  <si>
    <t>separation json</t>
  </si>
  <si>
    <t>gassep_json</t>
  </si>
  <si>
    <t>f_Hz</t>
  </si>
  <si>
    <t>q_max</t>
  </si>
  <si>
    <t>q_liq_list</t>
  </si>
  <si>
    <t>gas_fraction</t>
  </si>
  <si>
    <t>freq_Hz</t>
  </si>
  <si>
    <t>gassep_name</t>
  </si>
  <si>
    <t>q_liq_min</t>
  </si>
  <si>
    <t>q_liq_max</t>
  </si>
  <si>
    <t>gas_fraction_min</t>
  </si>
  <si>
    <t>gas_fraction_max</t>
  </si>
  <si>
    <t>gas_frac_list</t>
  </si>
  <si>
    <t>qliq</t>
  </si>
  <si>
    <t>ksep gassep</t>
  </si>
  <si>
    <t>gas frac</t>
  </si>
  <si>
    <t>q_list</t>
  </si>
  <si>
    <t>p_intake_atma</t>
  </si>
  <si>
    <t>t_intake_C</t>
  </si>
  <si>
    <t>d_intake_mm</t>
  </si>
  <si>
    <t>d_casing_mm</t>
  </si>
  <si>
    <t>model</t>
  </si>
  <si>
    <t>{"show_array":1,"gas_goes_into_solution":1,"calibr_li":2}</t>
  </si>
  <si>
    <t>ksep_nat</t>
  </si>
  <si>
    <t>feed in pump</t>
  </si>
  <si>
    <t>out</t>
  </si>
  <si>
    <t>well_ksep_full_d</t>
  </si>
  <si>
    <t xml:space="preserve"> </t>
  </si>
  <si>
    <t>gas fraction feed</t>
  </si>
  <si>
    <t>gas fraction in pump</t>
  </si>
  <si>
    <t>gas fraction in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</si>
</sst>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FAFA"/>
        <bgColor indexed="64"/>
      </patternFill>
    </fill>
    <fill>
      <patternFill patternType="solid">
        <fgColor rgb="FFDCFAA0"/>
        <bgColor indexed="64"/>
      </patternFill>
    </fill>
    <fill>
      <patternFill patternType="solid">
        <fgColor rgb="FFE1C8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separation efficiencies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full separation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скважине'!$J$10:$J$30</c:f>
              <c:numCache>
                <c:formatCode>General</c:formatCode>
                <c:ptCount val="21"/>
                <c:pt idx="0">
                  <c:v>0.997</c:v>
                </c:pt>
                <c:pt idx="1">
                  <c:v>0.97299999999999998</c:v>
                </c:pt>
                <c:pt idx="2">
                  <c:v>0.94099999999999995</c:v>
                </c:pt>
                <c:pt idx="3">
                  <c:v>0.90200000000000002</c:v>
                </c:pt>
                <c:pt idx="4">
                  <c:v>0.86499999999999999</c:v>
                </c:pt>
                <c:pt idx="5">
                  <c:v>0.81699999999999995</c:v>
                </c:pt>
                <c:pt idx="6">
                  <c:v>0.73599999999999999</c:v>
                </c:pt>
                <c:pt idx="7">
                  <c:v>0.629</c:v>
                </c:pt>
                <c:pt idx="8">
                  <c:v>0.53100000000000003</c:v>
                </c:pt>
                <c:pt idx="9">
                  <c:v>0.45100000000000001</c:v>
                </c:pt>
                <c:pt idx="10">
                  <c:v>0.39200000000000002</c:v>
                </c:pt>
                <c:pt idx="11">
                  <c:v>0.373</c:v>
                </c:pt>
                <c:pt idx="12">
                  <c:v>0.35599999999999998</c:v>
                </c:pt>
                <c:pt idx="13">
                  <c:v>0.34200000000000003</c:v>
                </c:pt>
                <c:pt idx="14">
                  <c:v>0.33</c:v>
                </c:pt>
                <c:pt idx="15">
                  <c:v>0.32</c:v>
                </c:pt>
                <c:pt idx="16">
                  <c:v>0.311</c:v>
                </c:pt>
                <c:pt idx="17">
                  <c:v>0.30399999999999999</c:v>
                </c:pt>
                <c:pt idx="18">
                  <c:v>0.29799999999999999</c:v>
                </c:pt>
                <c:pt idx="19">
                  <c:v>0.29199999999999998</c:v>
                </c:pt>
                <c:pt idx="20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6-44C1-B194-A39E66AC9368}"/>
            </c:ext>
          </c:extLst>
        </c:ser>
        <c:ser>
          <c:idx val="1"/>
          <c:order val="1"/>
          <c:tx>
            <c:v>natural separator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скважине'!$K$10:$K$30</c:f>
              <c:numCache>
                <c:formatCode>General</c:formatCode>
                <c:ptCount val="21"/>
                <c:pt idx="0">
                  <c:v>0.97299999999999998</c:v>
                </c:pt>
                <c:pt idx="1">
                  <c:v>0.83699999999999997</c:v>
                </c:pt>
                <c:pt idx="2">
                  <c:v>0.73799999999999999</c:v>
                </c:pt>
                <c:pt idx="3">
                  <c:v>0.65900000000000003</c:v>
                </c:pt>
                <c:pt idx="4">
                  <c:v>0.61299999999999999</c:v>
                </c:pt>
                <c:pt idx="5">
                  <c:v>0.56000000000000005</c:v>
                </c:pt>
                <c:pt idx="6">
                  <c:v>0.51500000000000001</c:v>
                </c:pt>
                <c:pt idx="7">
                  <c:v>0.47599999999999998</c:v>
                </c:pt>
                <c:pt idx="8">
                  <c:v>0.44400000000000001</c:v>
                </c:pt>
                <c:pt idx="9">
                  <c:v>0.41599999999999998</c:v>
                </c:pt>
                <c:pt idx="10">
                  <c:v>0.39200000000000002</c:v>
                </c:pt>
                <c:pt idx="11">
                  <c:v>0.373</c:v>
                </c:pt>
                <c:pt idx="12">
                  <c:v>0.35599999999999998</c:v>
                </c:pt>
                <c:pt idx="13">
                  <c:v>0.34200000000000003</c:v>
                </c:pt>
                <c:pt idx="14">
                  <c:v>0.33</c:v>
                </c:pt>
                <c:pt idx="15">
                  <c:v>0.32</c:v>
                </c:pt>
                <c:pt idx="16">
                  <c:v>0.311</c:v>
                </c:pt>
                <c:pt idx="17">
                  <c:v>0.30399999999999999</c:v>
                </c:pt>
                <c:pt idx="18">
                  <c:v>0.29799999999999999</c:v>
                </c:pt>
                <c:pt idx="19">
                  <c:v>0.29199999999999998</c:v>
                </c:pt>
                <c:pt idx="20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D6-44C1-B194-A39E66AC9368}"/>
            </c:ext>
          </c:extLst>
        </c:ser>
        <c:ser>
          <c:idx val="2"/>
          <c:order val="2"/>
          <c:tx>
            <c:v>gas separator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скважине'!$L$10:$L$30</c:f>
              <c:numCache>
                <c:formatCode>General</c:formatCode>
                <c:ptCount val="21"/>
                <c:pt idx="0">
                  <c:v>0.88600000000000001</c:v>
                </c:pt>
                <c:pt idx="1">
                  <c:v>0.83399999999999996</c:v>
                </c:pt>
                <c:pt idx="2">
                  <c:v>0.77500000000000002</c:v>
                </c:pt>
                <c:pt idx="3">
                  <c:v>0.71299999999999997</c:v>
                </c:pt>
                <c:pt idx="4">
                  <c:v>0.65100000000000002</c:v>
                </c:pt>
                <c:pt idx="5">
                  <c:v>0.58499999999999996</c:v>
                </c:pt>
                <c:pt idx="6">
                  <c:v>0.45500000000000002</c:v>
                </c:pt>
                <c:pt idx="7">
                  <c:v>0.29099999999999998</c:v>
                </c:pt>
                <c:pt idx="8">
                  <c:v>0.158</c:v>
                </c:pt>
                <c:pt idx="9">
                  <c:v>0.06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D6-44C1-B194-A39E66AC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7775"/>
        <c:axId val="1409269215"/>
      </c:scatterChart>
      <c:valAx>
        <c:axId val="140926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9215"/>
        <c:crosses val="autoZero"/>
        <c:crossBetween val="midCat"/>
      </c:valAx>
      <c:valAx>
        <c:axId val="14092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rate to annulus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 gas to annulus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скважине'!$P$10:$P$30</c:f>
              <c:numCache>
                <c:formatCode>General</c:formatCode>
                <c:ptCount val="21"/>
                <c:pt idx="0">
                  <c:v>66.156000000000006</c:v>
                </c:pt>
                <c:pt idx="1">
                  <c:v>708.28599999999994</c:v>
                </c:pt>
                <c:pt idx="2">
                  <c:v>1307.8050000000001</c:v>
                </c:pt>
                <c:pt idx="3">
                  <c:v>1849.6010000000001</c:v>
                </c:pt>
                <c:pt idx="4">
                  <c:v>2342.6129999999998</c:v>
                </c:pt>
                <c:pt idx="5">
                  <c:v>2749.76</c:v>
                </c:pt>
                <c:pt idx="6">
                  <c:v>2747.19</c:v>
                </c:pt>
                <c:pt idx="7">
                  <c:v>2032.7190000000001</c:v>
                </c:pt>
                <c:pt idx="8">
                  <c:v>815.03</c:v>
                </c:pt>
                <c:pt idx="9">
                  <c:v>-808.11300000000006</c:v>
                </c:pt>
                <c:pt idx="10">
                  <c:v>-3480.7289999999998</c:v>
                </c:pt>
                <c:pt idx="11">
                  <c:v>-3973.998</c:v>
                </c:pt>
                <c:pt idx="12">
                  <c:v>-4469.0510000000004</c:v>
                </c:pt>
                <c:pt idx="13">
                  <c:v>-4963.6130000000003</c:v>
                </c:pt>
                <c:pt idx="14">
                  <c:v>-6435.6469999999999</c:v>
                </c:pt>
                <c:pt idx="15">
                  <c:v>-6862.799</c:v>
                </c:pt>
                <c:pt idx="16">
                  <c:v>-7409.66</c:v>
                </c:pt>
                <c:pt idx="17">
                  <c:v>-7953.0540000000001</c:v>
                </c:pt>
                <c:pt idx="18">
                  <c:v>-8493.4290000000001</c:v>
                </c:pt>
                <c:pt idx="19">
                  <c:v>-9031.607</c:v>
                </c:pt>
                <c:pt idx="20">
                  <c:v>-9568.7350000000006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C-4A60-8E07-1A4E47D9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4895"/>
        <c:axId val="1409247615"/>
      </c:scatterChart>
      <c:valAx>
        <c:axId val="14092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47615"/>
        <c:crosses val="autoZero"/>
        <c:crossBetween val="midCat"/>
      </c:valAx>
      <c:valAx>
        <c:axId val="140924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Qgas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balance to annulus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volume balance to annulus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скважине'!$Q$10:$Q$30</c:f>
              <c:numCache>
                <c:formatCode>General</c:formatCode>
                <c:ptCount val="21"/>
                <c:pt idx="0">
                  <c:v>0.23300000000000001</c:v>
                </c:pt>
                <c:pt idx="1">
                  <c:v>2.2410000000000001</c:v>
                </c:pt>
                <c:pt idx="2">
                  <c:v>3.4159999999999999</c:v>
                </c:pt>
                <c:pt idx="3">
                  <c:v>3.4630000000000001</c:v>
                </c:pt>
                <c:pt idx="4">
                  <c:v>2.5569999999999999</c:v>
                </c:pt>
                <c:pt idx="5">
                  <c:v>-2.8000000000000001E-2</c:v>
                </c:pt>
                <c:pt idx="6">
                  <c:v>-10.619</c:v>
                </c:pt>
                <c:pt idx="7">
                  <c:v>-35.122999999999998</c:v>
                </c:pt>
                <c:pt idx="8">
                  <c:v>-69.463999999999999</c:v>
                </c:pt>
                <c:pt idx="9">
                  <c:v>-167.85499999999999</c:v>
                </c:pt>
                <c:pt idx="10">
                  <c:v>-225.976</c:v>
                </c:pt>
                <c:pt idx="11">
                  <c:v>-248.34899999999999</c:v>
                </c:pt>
                <c:pt idx="12">
                  <c:v>-270.72199999999998</c:v>
                </c:pt>
                <c:pt idx="13">
                  <c:v>-293.09399999999999</c:v>
                </c:pt>
                <c:pt idx="14">
                  <c:v>-332.255</c:v>
                </c:pt>
                <c:pt idx="15">
                  <c:v>-355.81799999999998</c:v>
                </c:pt>
                <c:pt idx="16">
                  <c:v>-379.38099999999997</c:v>
                </c:pt>
                <c:pt idx="17">
                  <c:v>-402.94499999999999</c:v>
                </c:pt>
                <c:pt idx="18">
                  <c:v>-426.50799999999998</c:v>
                </c:pt>
                <c:pt idx="19">
                  <c:v>-450.07100000000003</c:v>
                </c:pt>
                <c:pt idx="20">
                  <c:v>-473.63499999999999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17-44A1-A7DA-1E98A740E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5375"/>
        <c:axId val="1409269695"/>
      </c:scatterChart>
      <c:valAx>
        <c:axId val="140926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9695"/>
        <c:crosses val="autoZero"/>
        <c:crossBetween val="midCat"/>
      </c:valAx>
      <c:valAx>
        <c:axId val="14092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q_ann 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5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fraction in pump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'Общая сепарация на скважине'!$T$9</c:f>
              <c:strCache>
                <c:ptCount val="1"/>
                <c:pt idx="0">
                  <c:v>gas fraction feed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скважине'!$T$10:$T$30</c:f>
              <c:numCache>
                <c:formatCode>General</c:formatCode>
                <c:ptCount val="21"/>
                <c:pt idx="0">
                  <c:v>0.55350477167798007</c:v>
                </c:pt>
                <c:pt idx="1">
                  <c:v>0.55350477167798007</c:v>
                </c:pt>
                <c:pt idx="2">
                  <c:v>0.55350477167798007</c:v>
                </c:pt>
                <c:pt idx="3">
                  <c:v>0.55350477167798007</c:v>
                </c:pt>
                <c:pt idx="4">
                  <c:v>0.55350477167798007</c:v>
                </c:pt>
                <c:pt idx="5">
                  <c:v>0.55350477167798007</c:v>
                </c:pt>
                <c:pt idx="6">
                  <c:v>0.55350477167798007</c:v>
                </c:pt>
                <c:pt idx="7">
                  <c:v>0.55350477167797996</c:v>
                </c:pt>
                <c:pt idx="8">
                  <c:v>0.55350477167798007</c:v>
                </c:pt>
                <c:pt idx="9">
                  <c:v>0.55350477167798007</c:v>
                </c:pt>
                <c:pt idx="10">
                  <c:v>0.55350477167798007</c:v>
                </c:pt>
                <c:pt idx="11">
                  <c:v>0.55350477167798007</c:v>
                </c:pt>
                <c:pt idx="12">
                  <c:v>0.55350477167798007</c:v>
                </c:pt>
                <c:pt idx="13">
                  <c:v>0.55350477167798007</c:v>
                </c:pt>
                <c:pt idx="14">
                  <c:v>0.55350477167798007</c:v>
                </c:pt>
                <c:pt idx="15">
                  <c:v>0.55350477167798007</c:v>
                </c:pt>
                <c:pt idx="16">
                  <c:v>0.55350477167798007</c:v>
                </c:pt>
                <c:pt idx="17">
                  <c:v>0.55350477167797996</c:v>
                </c:pt>
                <c:pt idx="18">
                  <c:v>0.55350477167798007</c:v>
                </c:pt>
                <c:pt idx="19">
                  <c:v>0.55350477167798007</c:v>
                </c:pt>
                <c:pt idx="20">
                  <c:v>0.55350477167798007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C-4AC8-8A27-0664B7A6FE28}"/>
            </c:ext>
          </c:extLst>
        </c:ser>
        <c:ser>
          <c:idx val="1"/>
          <c:order val="1"/>
          <c:tx>
            <c:strRef>
              <c:f>'Общая сепарация на скважине'!$U$9</c:f>
              <c:strCache>
                <c:ptCount val="1"/>
                <c:pt idx="0">
                  <c:v>gas fraction in pump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скважине'!$U$10:$U$30</c:f>
              <c:numCache>
                <c:formatCode>General</c:formatCode>
                <c:ptCount val="21"/>
                <c:pt idx="0">
                  <c:v>9.7236563602478912E-3</c:v>
                </c:pt>
                <c:pt idx="1">
                  <c:v>2.2845064602382593E-2</c:v>
                </c:pt>
                <c:pt idx="2">
                  <c:v>4.1094197807267863E-2</c:v>
                </c:pt>
                <c:pt idx="3">
                  <c:v>6.2777248767335814E-2</c:v>
                </c:pt>
                <c:pt idx="4">
                  <c:v>8.2885857814671157E-2</c:v>
                </c:pt>
                <c:pt idx="5">
                  <c:v>0.10732774085061607</c:v>
                </c:pt>
                <c:pt idx="6">
                  <c:v>0.16843619621973591</c:v>
                </c:pt>
                <c:pt idx="7">
                  <c:v>0.26179777427701612</c:v>
                </c:pt>
                <c:pt idx="8">
                  <c:v>0.34511980621007499</c:v>
                </c:pt>
                <c:pt idx="9">
                  <c:v>0.41273119641773265</c:v>
                </c:pt>
                <c:pt idx="10">
                  <c:v>0.48442215735325556</c:v>
                </c:pt>
                <c:pt idx="11">
                  <c:v>0.48771028188520732</c:v>
                </c:pt>
                <c:pt idx="12">
                  <c:v>0.49044918942208804</c:v>
                </c:pt>
                <c:pt idx="13">
                  <c:v>0.49272556975681142</c:v>
                </c:pt>
                <c:pt idx="14">
                  <c:v>0.51076729949079169</c:v>
                </c:pt>
                <c:pt idx="15">
                  <c:v>0.51016877555079976</c:v>
                </c:pt>
                <c:pt idx="16">
                  <c:v>0.51140404733152833</c:v>
                </c:pt>
                <c:pt idx="17">
                  <c:v>0.512508622496747</c:v>
                </c:pt>
                <c:pt idx="18">
                  <c:v>0.513450629685963</c:v>
                </c:pt>
                <c:pt idx="19">
                  <c:v>0.51419031206811949</c:v>
                </c:pt>
                <c:pt idx="20">
                  <c:v>0.51490847339588086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C-4AC8-8A27-0664B7A6FE28}"/>
            </c:ext>
          </c:extLst>
        </c:ser>
        <c:ser>
          <c:idx val="2"/>
          <c:order val="2"/>
          <c:tx>
            <c:strRef>
              <c:f>'Общая сепарация на скважине'!$V$9</c:f>
              <c:strCache>
                <c:ptCount val="1"/>
                <c:pt idx="0">
                  <c:v>gas fraction in gs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'Общая сепарация на скважине'!$H$10:$H$30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'Общая сепарация на скважине'!$V$10:$V$30</c:f>
              <c:numCache>
                <c:formatCode>General</c:formatCode>
                <c:ptCount val="21"/>
                <c:pt idx="0">
                  <c:v>2.5533933853236015E-2</c:v>
                </c:pt>
                <c:pt idx="1">
                  <c:v>9.9050458581768572E-2</c:v>
                </c:pt>
                <c:pt idx="2">
                  <c:v>0.14583284377950637</c:v>
                </c:pt>
                <c:pt idx="3">
                  <c:v>0.1794397586713847</c:v>
                </c:pt>
                <c:pt idx="4">
                  <c:v>0.19772138038641024</c:v>
                </c:pt>
                <c:pt idx="5">
                  <c:v>0.21797774972556341</c:v>
                </c:pt>
                <c:pt idx="6">
                  <c:v>0.26653454983912028</c:v>
                </c:pt>
                <c:pt idx="7">
                  <c:v>0.33024790287712152</c:v>
                </c:pt>
                <c:pt idx="8">
                  <c:v>0.3819379134772044</c:v>
                </c:pt>
                <c:pt idx="9">
                  <c:v>0.42503786661386767</c:v>
                </c:pt>
                <c:pt idx="10">
                  <c:v>0.48442215735325556</c:v>
                </c:pt>
                <c:pt idx="11">
                  <c:v>0.48771028188520732</c:v>
                </c:pt>
                <c:pt idx="12">
                  <c:v>0.49044918942208804</c:v>
                </c:pt>
                <c:pt idx="13">
                  <c:v>0.49272556975681142</c:v>
                </c:pt>
                <c:pt idx="14">
                  <c:v>0.50860666940773758</c:v>
                </c:pt>
                <c:pt idx="15">
                  <c:v>0.51016877555079976</c:v>
                </c:pt>
                <c:pt idx="16">
                  <c:v>0.51140404733152833</c:v>
                </c:pt>
                <c:pt idx="17">
                  <c:v>0.512508622496747</c:v>
                </c:pt>
                <c:pt idx="18">
                  <c:v>0.513450629685963</c:v>
                </c:pt>
                <c:pt idx="19">
                  <c:v>0.51419031206811949</c:v>
                </c:pt>
                <c:pt idx="20">
                  <c:v>0.51490847339588086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3C-4AC8-8A27-0664B7A6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7775"/>
        <c:axId val="1409269215"/>
      </c:scatterChart>
      <c:valAx>
        <c:axId val="140926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9215"/>
        <c:crosses val="autoZero"/>
        <c:crossBetween val="midCat"/>
      </c:valAx>
      <c:valAx>
        <c:axId val="14092692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gassep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Газосепараторы!$B$16:$B$36</c:f>
              <c:numCache>
                <c:formatCode>General</c:formatCode>
                <c:ptCount val="21"/>
                <c:pt idx="0">
                  <c:v>1</c:v>
                </c:pt>
                <c:pt idx="1">
                  <c:v>25.95</c:v>
                </c:pt>
                <c:pt idx="2">
                  <c:v>50.9</c:v>
                </c:pt>
                <c:pt idx="3">
                  <c:v>75.849999999999994</c:v>
                </c:pt>
                <c:pt idx="4">
                  <c:v>100.8</c:v>
                </c:pt>
                <c:pt idx="5">
                  <c:v>125.75</c:v>
                </c:pt>
                <c:pt idx="6">
                  <c:v>150.69999999999999</c:v>
                </c:pt>
                <c:pt idx="7">
                  <c:v>175.65</c:v>
                </c:pt>
                <c:pt idx="8">
                  <c:v>200.6</c:v>
                </c:pt>
                <c:pt idx="9">
                  <c:v>225.55</c:v>
                </c:pt>
                <c:pt idx="10">
                  <c:v>250.5</c:v>
                </c:pt>
                <c:pt idx="11">
                  <c:v>275.45</c:v>
                </c:pt>
                <c:pt idx="12">
                  <c:v>300.39999999999998</c:v>
                </c:pt>
                <c:pt idx="13">
                  <c:v>325.35000000000002</c:v>
                </c:pt>
                <c:pt idx="14">
                  <c:v>350.3</c:v>
                </c:pt>
                <c:pt idx="15">
                  <c:v>375.25</c:v>
                </c:pt>
                <c:pt idx="16">
                  <c:v>400.2</c:v>
                </c:pt>
                <c:pt idx="17">
                  <c:v>425.15</c:v>
                </c:pt>
                <c:pt idx="18">
                  <c:v>450.1</c:v>
                </c:pt>
                <c:pt idx="19">
                  <c:v>475.05</c:v>
                </c:pt>
                <c:pt idx="20">
                  <c:v>500</c:v>
                </c:pt>
              </c:numCache>
            </c:numRef>
          </c:xVal>
          <c:yVal>
            <c:numRef>
              <c:f>Газосепараторы!$C$16:$C$36</c:f>
              <c:numCache>
                <c:formatCode>General</c:formatCode>
                <c:ptCount val="21"/>
                <c:pt idx="0">
                  <c:v>0.87729593517583992</c:v>
                </c:pt>
                <c:pt idx="1">
                  <c:v>0.88428193099891061</c:v>
                </c:pt>
                <c:pt idx="2">
                  <c:v>0.87615094196922993</c:v>
                </c:pt>
                <c:pt idx="3">
                  <c:v>0.85841925945936748</c:v>
                </c:pt>
                <c:pt idx="4">
                  <c:v>0.83587912237352002</c:v>
                </c:pt>
                <c:pt idx="5">
                  <c:v>0.80853053071168746</c:v>
                </c:pt>
                <c:pt idx="6">
                  <c:v>0.77637348447387</c:v>
                </c:pt>
                <c:pt idx="7">
                  <c:v>0.73940798366006744</c:v>
                </c:pt>
                <c:pt idx="8">
                  <c:v>0.6975761453613416</c:v>
                </c:pt>
                <c:pt idx="9">
                  <c:v>0.54609020813120079</c:v>
                </c:pt>
                <c:pt idx="10">
                  <c:v>0.18961661898312512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5-45ED-9ED9-A9DD776B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5855"/>
        <c:axId val="1409250495"/>
      </c:scatterChart>
      <c:valAx>
        <c:axId val="140926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50495"/>
        <c:crosses val="autoZero"/>
        <c:crossBetween val="midCat"/>
      </c:valAx>
      <c:valAx>
        <c:axId val="14092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5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gassep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Газосепараторы!$D$16:$D$36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Газосепараторы!$E$16:$E$36</c:f>
              <c:numCache>
                <c:formatCode>General</c:formatCode>
                <c:ptCount val="21"/>
                <c:pt idx="0">
                  <c:v>0</c:v>
                </c:pt>
                <c:pt idx="1">
                  <c:v>0.6298457675247221</c:v>
                </c:pt>
                <c:pt idx="2">
                  <c:v>0.68898442009600003</c:v>
                </c:pt>
                <c:pt idx="3">
                  <c:v>0.73791840316599999</c:v>
                </c:pt>
                <c:pt idx="4">
                  <c:v>0.78649188018600003</c:v>
                </c:pt>
                <c:pt idx="5">
                  <c:v>0.82869092890600005</c:v>
                </c:pt>
                <c:pt idx="6">
                  <c:v>0.85982152207599993</c:v>
                </c:pt>
                <c:pt idx="7">
                  <c:v>0.87650952744600008</c:v>
                </c:pt>
                <c:pt idx="8">
                  <c:v>0.87670070776599995</c:v>
                </c:pt>
                <c:pt idx="9">
                  <c:v>0.85966072078600009</c:v>
                </c:pt>
                <c:pt idx="10">
                  <c:v>0.82597511925599998</c:v>
                </c:pt>
                <c:pt idx="11">
                  <c:v>0.77754935092600019</c:v>
                </c:pt>
                <c:pt idx="12">
                  <c:v>0.71760875854600004</c:v>
                </c:pt>
                <c:pt idx="13">
                  <c:v>0.6506985798660001</c:v>
                </c:pt>
                <c:pt idx="14">
                  <c:v>0.58268394763600018</c:v>
                </c:pt>
                <c:pt idx="15">
                  <c:v>0.52074988960600022</c:v>
                </c:pt>
                <c:pt idx="16">
                  <c:v>0.47340132852600031</c:v>
                </c:pt>
                <c:pt idx="17">
                  <c:v>0.42574987164025058</c:v>
                </c:pt>
                <c:pt idx="18">
                  <c:v>0.3317016299906379</c:v>
                </c:pt>
                <c:pt idx="19">
                  <c:v>0.18978500611055438</c:v>
                </c:pt>
                <c:pt idx="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3-4562-A57A-D35DC9542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66815"/>
        <c:axId val="1409267295"/>
      </c:scatterChart>
      <c:valAx>
        <c:axId val="140926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7295"/>
        <c:crosses val="autoZero"/>
        <c:crossBetween val="midCat"/>
      </c:valAx>
      <c:valAx>
        <c:axId val="140926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6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gassep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'Натуральная сепарация'!$B$17:$B$37</c:f>
              <c:numCache>
                <c:formatCode>General</c:formatCode>
                <c:ptCount val="21"/>
                <c:pt idx="0">
                  <c:v>1</c:v>
                </c:pt>
                <c:pt idx="1">
                  <c:v>10.95</c:v>
                </c:pt>
                <c:pt idx="2">
                  <c:v>20.9</c:v>
                </c:pt>
                <c:pt idx="3">
                  <c:v>30.85</c:v>
                </c:pt>
                <c:pt idx="4">
                  <c:v>40.799999999999997</c:v>
                </c:pt>
                <c:pt idx="5">
                  <c:v>50.75</c:v>
                </c:pt>
                <c:pt idx="6">
                  <c:v>60.7</c:v>
                </c:pt>
                <c:pt idx="7">
                  <c:v>70.650000000000006</c:v>
                </c:pt>
                <c:pt idx="8">
                  <c:v>80.599999999999994</c:v>
                </c:pt>
                <c:pt idx="9">
                  <c:v>90.55</c:v>
                </c:pt>
                <c:pt idx="10">
                  <c:v>100.5</c:v>
                </c:pt>
                <c:pt idx="11">
                  <c:v>110.45</c:v>
                </c:pt>
                <c:pt idx="12">
                  <c:v>120.4</c:v>
                </c:pt>
                <c:pt idx="13">
                  <c:v>130.35</c:v>
                </c:pt>
                <c:pt idx="14">
                  <c:v>140.30000000000001</c:v>
                </c:pt>
                <c:pt idx="15">
                  <c:v>150.25</c:v>
                </c:pt>
                <c:pt idx="16">
                  <c:v>160.19999999999999</c:v>
                </c:pt>
                <c:pt idx="17">
                  <c:v>170.15</c:v>
                </c:pt>
                <c:pt idx="18">
                  <c:v>180.1</c:v>
                </c:pt>
                <c:pt idx="19">
                  <c:v>190.05</c:v>
                </c:pt>
                <c:pt idx="20">
                  <c:v>200</c:v>
                </c:pt>
              </c:numCache>
            </c:numRef>
          </c:xVal>
          <c:yVal>
            <c:numRef>
              <c:f>'Натуральная сепарация'!$C$17:$C$37</c:f>
              <c:numCache>
                <c:formatCode>General</c:formatCode>
                <c:ptCount val="21"/>
                <c:pt idx="0">
                  <c:v>0.98146999999999995</c:v>
                </c:pt>
                <c:pt idx="1">
                  <c:v>0.90276999999999996</c:v>
                </c:pt>
                <c:pt idx="2">
                  <c:v>0.83982999999999997</c:v>
                </c:pt>
                <c:pt idx="3">
                  <c:v>0.78552</c:v>
                </c:pt>
                <c:pt idx="4">
                  <c:v>0.73758000000000001</c:v>
                </c:pt>
                <c:pt idx="5">
                  <c:v>0.69476000000000004</c:v>
                </c:pt>
                <c:pt idx="6">
                  <c:v>0.65622000000000003</c:v>
                </c:pt>
                <c:pt idx="7">
                  <c:v>0.64034999999999997</c:v>
                </c:pt>
                <c:pt idx="8">
                  <c:v>0.60948000000000002</c:v>
                </c:pt>
                <c:pt idx="9">
                  <c:v>0.58123000000000002</c:v>
                </c:pt>
                <c:pt idx="10">
                  <c:v>0.55532000000000004</c:v>
                </c:pt>
                <c:pt idx="11">
                  <c:v>0.53154000000000001</c:v>
                </c:pt>
                <c:pt idx="12">
                  <c:v>0.50968999999999998</c:v>
                </c:pt>
                <c:pt idx="13">
                  <c:v>0.48959999999999998</c:v>
                </c:pt>
                <c:pt idx="14">
                  <c:v>0.47112999999999999</c:v>
                </c:pt>
                <c:pt idx="15">
                  <c:v>0.45413999999999999</c:v>
                </c:pt>
                <c:pt idx="16">
                  <c:v>0.43851000000000001</c:v>
                </c:pt>
                <c:pt idx="17">
                  <c:v>0.42414000000000002</c:v>
                </c:pt>
                <c:pt idx="18">
                  <c:v>0.41093000000000002</c:v>
                </c:pt>
                <c:pt idx="19">
                  <c:v>0.39878999999999998</c:v>
                </c:pt>
                <c:pt idx="20">
                  <c:v>0.38763999999999998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30-402B-875B-92F9C82F1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78335"/>
        <c:axId val="1409278815"/>
      </c:scatterChart>
      <c:valAx>
        <c:axId val="140927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Qliq, sm3/day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78815"/>
        <c:crosses val="autoZero"/>
        <c:crossBetween val="midCat"/>
      </c:valAx>
      <c:valAx>
        <c:axId val="14092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27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5</xdr:row>
      <xdr:rowOff>180975</xdr:rowOff>
    </xdr:from>
    <xdr:to>
      <xdr:col>16</xdr:col>
      <xdr:colOff>504824</xdr:colOff>
      <xdr:row>28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840579-F59A-4D1E-3806-076E4BBE7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249011</xdr:colOff>
      <xdr:row>5</xdr:row>
      <xdr:rowOff>160564</xdr:rowOff>
    </xdr:from>
    <xdr:to>
      <xdr:col>32</xdr:col>
      <xdr:colOff>0</xdr:colOff>
      <xdr:row>28</xdr:row>
      <xdr:rowOff>108857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DA4849-268D-9DF0-E406-2652A320E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608240</xdr:colOff>
      <xdr:row>5</xdr:row>
      <xdr:rowOff>119743</xdr:rowOff>
    </xdr:from>
    <xdr:to>
      <xdr:col>39</xdr:col>
      <xdr:colOff>149678</xdr:colOff>
      <xdr:row>28</xdr:row>
      <xdr:rowOff>122464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9C85EC3-B0A0-1CEC-F03D-BA6DAD225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544286</xdr:colOff>
      <xdr:row>4</xdr:row>
      <xdr:rowOff>93306</xdr:rowOff>
    </xdr:from>
    <xdr:to>
      <xdr:col>8</xdr:col>
      <xdr:colOff>1</xdr:colOff>
      <xdr:row>16</xdr:row>
      <xdr:rowOff>108857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A3FD4922-C08D-4A80-9621-FC59158AC96C}"/>
            </a:ext>
          </a:extLst>
        </xdr:cNvPr>
        <xdr:cNvCxnSpPr/>
      </xdr:nvCxnSpPr>
      <xdr:spPr>
        <a:xfrm flipH="1">
          <a:off x="2643673" y="839755"/>
          <a:ext cx="4089919" cy="2254898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38878</xdr:colOff>
      <xdr:row>5</xdr:row>
      <xdr:rowOff>124408</xdr:rowOff>
    </xdr:from>
    <xdr:to>
      <xdr:col>7</xdr:col>
      <xdr:colOff>637592</xdr:colOff>
      <xdr:row>17</xdr:row>
      <xdr:rowOff>178836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0E75CF3E-F0C7-DB04-6AF5-FB1F8CB6E394}"/>
            </a:ext>
          </a:extLst>
        </xdr:cNvPr>
        <xdr:cNvCxnSpPr/>
      </xdr:nvCxnSpPr>
      <xdr:spPr>
        <a:xfrm flipH="1">
          <a:off x="5466184" y="1057469"/>
          <a:ext cx="1251857" cy="2293776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396552</xdr:colOff>
      <xdr:row>19</xdr:row>
      <xdr:rowOff>15551</xdr:rowOff>
    </xdr:from>
    <xdr:to>
      <xdr:col>5</xdr:col>
      <xdr:colOff>528735</xdr:colOff>
      <xdr:row>36</xdr:row>
      <xdr:rowOff>38877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37AFFCBE-8080-FFAC-967D-6F3EDFA701EB}"/>
            </a:ext>
          </a:extLst>
        </xdr:cNvPr>
        <xdr:cNvCxnSpPr/>
      </xdr:nvCxnSpPr>
      <xdr:spPr>
        <a:xfrm>
          <a:off x="5170715" y="3561184"/>
          <a:ext cx="132183" cy="3195734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497633</xdr:colOff>
      <xdr:row>17</xdr:row>
      <xdr:rowOff>7775</xdr:rowOff>
    </xdr:from>
    <xdr:to>
      <xdr:col>5</xdr:col>
      <xdr:colOff>147735</xdr:colOff>
      <xdr:row>35</xdr:row>
      <xdr:rowOff>147734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857CC73A-C69D-8266-3490-DA270632CDBB}"/>
            </a:ext>
          </a:extLst>
        </xdr:cNvPr>
        <xdr:cNvCxnSpPr/>
      </xdr:nvCxnSpPr>
      <xdr:spPr>
        <a:xfrm>
          <a:off x="2597020" y="3180184"/>
          <a:ext cx="2324878" cy="3498979"/>
        </a:xfrm>
        <a:prstGeom prst="straightConnector1">
          <a:avLst/>
        </a:prstGeom>
        <a:ln w="1905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514350</xdr:colOff>
      <xdr:row>5</xdr:row>
      <xdr:rowOff>161925</xdr:rowOff>
    </xdr:from>
    <xdr:to>
      <xdr:col>24</xdr:col>
      <xdr:colOff>180975</xdr:colOff>
      <xdr:row>28</xdr:row>
      <xdr:rowOff>123825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808BA77-6645-452E-B01E-8834CA657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212912</xdr:colOff>
      <xdr:row>20</xdr:row>
      <xdr:rowOff>67235</xdr:rowOff>
    </xdr:from>
    <xdr:to>
      <xdr:col>2</xdr:col>
      <xdr:colOff>393854</xdr:colOff>
      <xdr:row>38</xdr:row>
      <xdr:rowOff>33617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17D3D48-11B4-4014-AA9F-6928BC84C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20" t="9968" r="37389" b="9714"/>
        <a:stretch/>
      </xdr:blipFill>
      <xdr:spPr>
        <a:xfrm>
          <a:off x="212912" y="3877235"/>
          <a:ext cx="2153177" cy="3395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27</xdr:row>
      <xdr:rowOff>185056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C3D1F58-AF7A-306B-D56E-C7D11C6CC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0</xdr:colOff>
      <xdr:row>27</xdr:row>
      <xdr:rowOff>185056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995F5B4-F6E5-02BB-FFA5-E90DF1287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</xdr:row>
      <xdr:rowOff>161925</xdr:rowOff>
    </xdr:from>
    <xdr:to>
      <xdr:col>12</xdr:col>
      <xdr:colOff>504825</xdr:colOff>
      <xdr:row>26</xdr:row>
      <xdr:rowOff>156481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790D5FA-7031-6AC9-66E6-0A1593AED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unifloc\unifloc_vba\UniflocVBA_7.xlam" TargetMode="External"/><Relationship Id="rId1" Type="http://schemas.openxmlformats.org/officeDocument/2006/relationships/externalLinkPath" Target="/unifloc/unifloc_vba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</sheetNames>
    <definedNames>
      <definedName name="decode_json"/>
      <definedName name="encode_ESP_separation"/>
      <definedName name="encode_feed"/>
      <definedName name="encode_feed_list"/>
      <definedName name="encode_linspace"/>
      <definedName name="encode_PVT"/>
      <definedName name="ESP_gassep_ksep_d"/>
      <definedName name="ESP_gassep_name"/>
      <definedName name="feed_gas_fraction_d"/>
      <definedName name="well_ksep_full_d"/>
      <definedName name="well_ksep_natural_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FA60-36E6-4C76-B5E9-D55899FFF512}">
  <sheetPr codeName="Лист1"/>
  <dimension ref="B3:V41"/>
  <sheetViews>
    <sheetView tabSelected="1" zoomScale="85" zoomScaleNormal="85" workbookViewId="0">
      <selection activeCell="E46" sqref="E46"/>
    </sheetView>
  </sheetViews>
  <sheetFormatPr defaultRowHeight="15" x14ac:dyDescent="0.25"/>
  <cols>
    <col min="2" max="2" width="20.42578125" customWidth="1"/>
    <col min="5" max="5" width="19.42578125" customWidth="1"/>
  </cols>
  <sheetData>
    <row r="3" spans="2:22" x14ac:dyDescent="0.25">
      <c r="B3" s="1" t="s">
        <v>0</v>
      </c>
      <c r="C3" s="2">
        <v>0.6</v>
      </c>
      <c r="E3" s="1" t="s">
        <v>15</v>
      </c>
      <c r="F3" s="2">
        <v>0</v>
      </c>
      <c r="H3" s="1" t="s">
        <v>16</v>
      </c>
      <c r="I3" s="2">
        <v>50</v>
      </c>
      <c r="J3" t="s">
        <v>58</v>
      </c>
    </row>
    <row r="4" spans="2:22" x14ac:dyDescent="0.25">
      <c r="B4" s="1" t="s">
        <v>1</v>
      </c>
      <c r="C4" s="2">
        <v>0.86</v>
      </c>
      <c r="E4" s="1" t="s">
        <v>16</v>
      </c>
      <c r="F4" s="2">
        <v>40</v>
      </c>
      <c r="H4" s="1" t="s">
        <v>17</v>
      </c>
      <c r="I4" s="2">
        <v>40</v>
      </c>
      <c r="J4" t="s">
        <v>58</v>
      </c>
    </row>
    <row r="5" spans="2:22" x14ac:dyDescent="0.25">
      <c r="B5" s="1" t="s">
        <v>2</v>
      </c>
      <c r="C5" s="2">
        <v>1.1000000000000001</v>
      </c>
      <c r="E5" s="1" t="s">
        <v>17</v>
      </c>
      <c r="F5" s="2">
        <v>60</v>
      </c>
      <c r="H5" s="1" t="s">
        <v>14</v>
      </c>
      <c r="I5" s="2" t="str">
        <f>feed_json_1</f>
        <v>{"gamma_gas":0.6,"gamma_oil":0.86,"gamma_wat":1.1,"rsb_m3m3":120,"pb_atma":130,"t_res_C":80,"bob_m3m3":1.2,"muob_cP":0.6,"PVT_corr_set":0,"q_liq_sm3day":30,"fw_perc":10,"rp_m3m3":120}</v>
      </c>
      <c r="J5" t="s">
        <v>58</v>
      </c>
    </row>
    <row r="6" spans="2:22" x14ac:dyDescent="0.25">
      <c r="B6" s="1" t="s">
        <v>3</v>
      </c>
      <c r="C6" s="2">
        <v>120</v>
      </c>
      <c r="E6" s="1" t="s">
        <v>18</v>
      </c>
      <c r="F6" s="2">
        <v>0</v>
      </c>
      <c r="H6" s="1" t="s">
        <v>32</v>
      </c>
      <c r="I6" s="2" t="str">
        <f>gas_separation_json</f>
        <v>{"calc_mode":"by_correlation","natsep_model":0,"d_intake_mm":92,"d_cas_mm":125,"d_tub_mm":72,"pkv_period_ratio":0.5,"gassep_type":-1,"gassep_qnom_sm3day":200,"param":{"show_array":1,"gas_goes_into_solution":1,"calibr_li":2}}</v>
      </c>
      <c r="J6" t="s">
        <v>58</v>
      </c>
    </row>
    <row r="7" spans="2:22" x14ac:dyDescent="0.25">
      <c r="B7" s="1" t="s">
        <v>4</v>
      </c>
      <c r="C7" s="2">
        <v>130</v>
      </c>
      <c r="E7" s="1" t="s">
        <v>19</v>
      </c>
      <c r="F7" s="2">
        <v>92</v>
      </c>
      <c r="H7" s="1" t="s">
        <v>33</v>
      </c>
      <c r="I7" s="2">
        <v>50</v>
      </c>
      <c r="J7" t="s">
        <v>58</v>
      </c>
    </row>
    <row r="8" spans="2:22" x14ac:dyDescent="0.25">
      <c r="B8" s="1" t="s">
        <v>5</v>
      </c>
      <c r="C8" s="2">
        <v>80</v>
      </c>
      <c r="E8" s="1" t="s">
        <v>20</v>
      </c>
      <c r="F8" s="2">
        <v>125</v>
      </c>
      <c r="H8" s="1" t="s">
        <v>34</v>
      </c>
      <c r="I8" s="2">
        <v>200</v>
      </c>
      <c r="J8" t="s">
        <v>58</v>
      </c>
    </row>
    <row r="9" spans="2:22" x14ac:dyDescent="0.25">
      <c r="B9" s="1" t="s">
        <v>6</v>
      </c>
      <c r="C9" s="2">
        <v>1.2</v>
      </c>
      <c r="E9" s="1" t="s">
        <v>21</v>
      </c>
      <c r="F9" s="2">
        <v>72</v>
      </c>
      <c r="H9" s="1" t="s">
        <v>35</v>
      </c>
      <c r="I9" s="4" t="str">
        <f>[1]!encode_linspace(1,I8,20)</f>
        <v>[1,10.95,20.9,30.85,40.8,50.75,60.7,70.65,80.6,90.55,100.5,110.45,120.4,130.35,140.3,150.25,160.2,170.15,180.1,190.05,200]</v>
      </c>
      <c r="J9" t="s">
        <v>58</v>
      </c>
      <c r="T9" t="s">
        <v>59</v>
      </c>
      <c r="U9" t="s">
        <v>60</v>
      </c>
      <c r="V9" t="s">
        <v>61</v>
      </c>
    </row>
    <row r="10" spans="2:22" x14ac:dyDescent="0.25">
      <c r="B10" s="1" t="s">
        <v>7</v>
      </c>
      <c r="C10" s="2">
        <v>0.6</v>
      </c>
      <c r="E10" s="1" t="s">
        <v>22</v>
      </c>
      <c r="F10" s="2">
        <v>0.5</v>
      </c>
      <c r="H10" s="5">
        <f t="array" ref="H10:H30">[1]!decode_json(I9)</f>
        <v>1</v>
      </c>
      <c r="I10" s="5" t="str">
        <f>[1]!encode_feed($H$10,,,,$I$5)</f>
        <v>{"gamma_gas":0.6,"gamma_oil":0.86,"gamma_wat":1.1,"rsb_m3m3":120,"pb_atma":130,"t_res_C":80,"bob_m3m3":1.2,"muob_cP":0.6,"PVT_corr_set":0,"q_liq_sm3day":1,"fw_perc":10,"rp_m3m3":120}</v>
      </c>
      <c r="J10" s="5">
        <f t="array" ref="J10:R10">[1]!well_ksep_full_d($I$3,$I$4,$I$10,$I$6,$I$7)</f>
        <v>0.997</v>
      </c>
      <c r="K10" s="5">
        <v>0.97299999999999998</v>
      </c>
      <c r="L10" s="5">
        <v>0.88600000000000001</v>
      </c>
      <c r="M10" s="5" t="str">
        <v>{"gamma_gas":0.6,"gamma_oil":0.86,"gamma_wat":1.1,"rsb_m3m3":120,"pb_atma":130,"t_res_C":80,"bob_m3m3":1.2,"muob_cP":0.6,"PVT_corr_set":0,"q_liq_sm3day":1,"fw_perc":10,"rp_m3m3":120}</v>
      </c>
      <c r="N10" s="5" t="str">
        <v>{"gamma_gas":0.6,"gamma_oil":0.86,"gamma_wat":1.1,"rsb_m3m3":45.279,"pb_atma":58.563,"t_res_C":80,"bob_m3m3":1.091,"muob_cP":1.031,"PVT_corr_set":0,"q_liq_sm3day":2,"fw_perc":10,"rp_m3m3":45.279}</v>
      </c>
      <c r="O10" s="5" t="str">
        <v>{"gamma_gas":0.6,"gamma_oil":0.86,"gamma_wat":1.1,"rsb_m3m3":6.526,"pb_atma":11.571,"t_res_C":80,"bob_m3m3":1.04,"muob_cP":2.111,"PVT_corr_set":0,"q_liq_sm3day":0,"fw_perc":0,"rp_m3m3":7.661,"q_gas_free_sm3day":66.156}</v>
      </c>
      <c r="P10" s="5">
        <v>66.156000000000006</v>
      </c>
      <c r="Q10" s="5">
        <v>0.23300000000000001</v>
      </c>
      <c r="R10" s="5" t="str">
        <v>{"gamma_gas":0.6,"gamma_oil":0.86,"gamma_wat":1.1,"rsb_m3m3":46.677,"pb_atma":59.605,"t_res_C":80,"bob_m3m3":1.093,"muob_cP":1.031,"PVT_corr_set":0,"q_liq_sm3day":2,"fw_perc":10,"rp_m3m3":46.677}</v>
      </c>
      <c r="S10" t="s">
        <v>58</v>
      </c>
      <c r="T10" cm="1">
        <f t="array" ref="T10">[1]!feed_gas_fraction_d($I$3,$I$4,I10)</f>
        <v>0.55350477167798007</v>
      </c>
      <c r="U10" cm="1">
        <f t="array" ref="U10">[1]!feed_gas_fraction_d($I$3,$I$4,N10)</f>
        <v>9.7236563602478912E-3</v>
      </c>
      <c r="V10" cm="1">
        <f t="array" ref="V10">[1]!feed_gas_fraction_d($I$3,$I$4,R10)</f>
        <v>2.5533933853236015E-2</v>
      </c>
    </row>
    <row r="11" spans="2:22" x14ac:dyDescent="0.25">
      <c r="B11" s="1" t="s">
        <v>8</v>
      </c>
      <c r="C11" s="2">
        <v>0</v>
      </c>
      <c r="E11" s="1" t="s">
        <v>23</v>
      </c>
      <c r="F11" s="2"/>
      <c r="H11" s="5">
        <v>10.95</v>
      </c>
      <c r="I11" s="5" t="str">
        <f>[1]!encode_feed($H$11,,,,$I$5)</f>
        <v>{"gamma_gas":0.6,"gamma_oil":0.86,"gamma_wat":1.1,"rsb_m3m3":120,"pb_atma":130,"t_res_C":80,"bob_m3m3":1.2,"muob_cP":0.6,"PVT_corr_set":0,"q_liq_sm3day":10.95,"fw_perc":10,"rp_m3m3":120}</v>
      </c>
      <c r="J11" s="5">
        <f t="array" ref="J11:R11">[1]!well_ksep_full_d($I$3,$I$4,$I$11,$I$6,$I$7)</f>
        <v>0.97299999999999998</v>
      </c>
      <c r="K11" s="5">
        <v>0.83699999999999997</v>
      </c>
      <c r="L11" s="5">
        <v>0.83399999999999996</v>
      </c>
      <c r="M11" s="5" t="str">
        <v>{"gamma_gas":0.6,"gamma_oil":0.86,"gamma_wat":1.1,"rsb_m3m3":120,"pb_atma":130,"t_res_C":80,"bob_m3m3":1.2,"muob_cP":0.6,"PVT_corr_set":0,"q_liq_sm3day":10.95,"fw_perc":10,"rp_m3m3":120}</v>
      </c>
      <c r="N11" s="5" t="str">
        <v>{"gamma_gas":0.6,"gamma_oil":0.86,"gamma_wat":1.1,"rsb_m3m3":46.236,"pb_atma":59.434,"t_res_C":80,"bob_m3m3":1.093,"muob_cP":1.034,"PVT_corr_set":0,"q_liq_sm3day":21.9,"fw_perc":10,"rp_m3m3":46.236}</v>
      </c>
      <c r="O11" s="5" t="str">
        <v>{"gamma_gas":0.6,"gamma_oil":0.86,"gamma_wat":1.1,"rsb_m3m3":6.526,"pb_atma":11.571,"t_res_C":80,"bob_m3m3":1.04,"muob_cP":2.111,"PVT_corr_set":0,"q_liq_sm3day":0,"fw_perc":0,"rp_m3m3":7.661,"q_gas_free_sm3day":708.286}</v>
      </c>
      <c r="P11" s="5">
        <v>708.28599999999994</v>
      </c>
      <c r="Q11" s="5">
        <v>2.2410000000000001</v>
      </c>
      <c r="R11" s="5" t="str">
        <v>{"gamma_gas":0.6,"gamma_oil":0.86,"gamma_wat":1.1,"rsb_m3m3":51.756,"pb_atma":64.898,"t_res_C":80,"bob_m3m3":1.1,"muob_cP":0.98,"PVT_corr_set":0,"q_liq_sm3day":21.9,"fw_perc":10,"rp_m3m3":51.756}</v>
      </c>
      <c r="S11" t="s">
        <v>58</v>
      </c>
      <c r="T11" cm="1">
        <f t="array" ref="T11">[1]!feed_gas_fraction_d($I$3,$I$4,I11)</f>
        <v>0.55350477167798007</v>
      </c>
      <c r="U11" cm="1">
        <f t="array" ref="U11">[1]!feed_gas_fraction_d($I$3,$I$4,N11)</f>
        <v>2.2845064602382593E-2</v>
      </c>
      <c r="V11" cm="1">
        <f t="array" ref="V11">[1]!feed_gas_fraction_d($I$3,$I$4,R11)</f>
        <v>9.9050458581768572E-2</v>
      </c>
    </row>
    <row r="12" spans="2:22" x14ac:dyDescent="0.25">
      <c r="B12" s="1" t="s">
        <v>9</v>
      </c>
      <c r="C12" s="3" t="str">
        <f>[1]!encode_PVT(C3,C4,C5,C6,C7,C8,C9,C10,C11)</f>
        <v>{"gamma_gas":0.6,"gamma_oil":0.86,"gamma_wat":1.1,"rsb_m3m3":120,"pb_atma":130,"t_res_C":80,"bob_m3m3":1.2,"muob_cP":0.6,"PVT_corr_set":0}</v>
      </c>
      <c r="E12" s="1" t="s">
        <v>24</v>
      </c>
      <c r="F12" s="2"/>
      <c r="H12" s="5">
        <v>20.9</v>
      </c>
      <c r="I12" s="5" t="str">
        <f>[1]!encode_feed($H$12,,,,$I$5)</f>
        <v>{"gamma_gas":0.6,"gamma_oil":0.86,"gamma_wat":1.1,"rsb_m3m3":120,"pb_atma":130,"t_res_C":80,"bob_m3m3":1.2,"muob_cP":0.6,"PVT_corr_set":0,"q_liq_sm3day":20.9,"fw_perc":10,"rp_m3m3":120}</v>
      </c>
      <c r="J12" s="5">
        <f t="array" ref="J12:R12">[1]!well_ksep_full_d($I$3,$I$4,$I$12,$I$6,$I$7)</f>
        <v>0.94099999999999995</v>
      </c>
      <c r="K12" s="5">
        <v>0.73799999999999999</v>
      </c>
      <c r="L12" s="5">
        <v>0.77500000000000002</v>
      </c>
      <c r="M12" s="5" t="str">
        <v>{"gamma_gas":0.6,"gamma_oil":0.86,"gamma_wat":1.1,"rsb_m3m3":120,"pb_atma":130,"t_res_C":80,"bob_m3m3":1.2,"muob_cP":0.6,"PVT_corr_set":0,"q_liq_sm3day":20.9,"fw_perc":10,"rp_m3m3":120}</v>
      </c>
      <c r="N12" s="5" t="str">
        <v>{"gamma_gas":0.6,"gamma_oil":0.86,"gamma_wat":1.1,"rsb_m3m3":47.489,"pb_atma":60.677,"t_res_C":80,"bob_m3m3":1.094,"muob_cP":1.029,"PVT_corr_set":0,"q_liq_sm3day":41.8,"fw_perc":10,"rp_m3m3":47.489}</v>
      </c>
      <c r="O12" s="5" t="str">
        <v>{"gamma_gas":0.6,"gamma_oil":0.86,"gamma_wat":1.1,"rsb_m3m3":6.526,"pb_atma":11.571,"t_res_C":80,"bob_m3m3":1.04,"muob_cP":2.111,"PVT_corr_set":0,"q_liq_sm3day":0,"fw_perc":0,"rp_m3m3":7.661,"q_gas_free_sm3day":1307.805}</v>
      </c>
      <c r="P12" s="5">
        <v>1307.8050000000001</v>
      </c>
      <c r="Q12" s="5">
        <v>3.4159999999999999</v>
      </c>
      <c r="R12" s="5" t="str">
        <v>{"gamma_gas":0.6,"gamma_oil":0.86,"gamma_wat":1.1,"rsb_m3m3":55.464,"pb_atma":68.675,"t_res_C":80,"bob_m3m3":1.105,"muob_cP":0.949,"PVT_corr_set":0,"q_liq_sm3day":41.8,"fw_perc":10,"rp_m3m3":55.464}</v>
      </c>
      <c r="S12" t="s">
        <v>58</v>
      </c>
      <c r="T12" cm="1">
        <f t="array" ref="T12">[1]!feed_gas_fraction_d($I$3,$I$4,I12)</f>
        <v>0.55350477167798007</v>
      </c>
      <c r="U12" cm="1">
        <f t="array" ref="U12">[1]!feed_gas_fraction_d($I$3,$I$4,N12)</f>
        <v>4.1094197807267863E-2</v>
      </c>
      <c r="V12" cm="1">
        <f t="array" ref="V12">[1]!feed_gas_fraction_d($I$3,$I$4,R12)</f>
        <v>0.14583284377950637</v>
      </c>
    </row>
    <row r="13" spans="2:22" x14ac:dyDescent="0.25">
      <c r="B13" s="1" t="s">
        <v>10</v>
      </c>
      <c r="C13" s="2">
        <v>30</v>
      </c>
      <c r="E13" s="1" t="s">
        <v>25</v>
      </c>
      <c r="F13" s="2"/>
      <c r="H13" s="5">
        <v>30.85</v>
      </c>
      <c r="I13" s="5" t="str">
        <f>[1]!encode_feed($H$13,,,,$I$5)</f>
        <v>{"gamma_gas":0.6,"gamma_oil":0.86,"gamma_wat":1.1,"rsb_m3m3":120,"pb_atma":130,"t_res_C":80,"bob_m3m3":1.2,"muob_cP":0.6,"PVT_corr_set":0,"q_liq_sm3day":30.85,"fw_perc":10,"rp_m3m3":120}</v>
      </c>
      <c r="J13" s="5">
        <f t="array" ref="J13:R13">[1]!well_ksep_full_d($I$3,$I$4,$I$13,$I$6,$I$7)</f>
        <v>0.90200000000000002</v>
      </c>
      <c r="K13" s="5">
        <v>0.65900000000000003</v>
      </c>
      <c r="L13" s="5">
        <v>0.71299999999999997</v>
      </c>
      <c r="M13" s="5" t="str">
        <v>{"gamma_gas":0.6,"gamma_oil":0.86,"gamma_wat":1.1,"rsb_m3m3":120,"pb_atma":130,"t_res_C":80,"bob_m3m3":1.2,"muob_cP":0.6,"PVT_corr_set":0,"q_liq_sm3day":30.85,"fw_perc":10,"rp_m3m3":120}</v>
      </c>
      <c r="N13" s="5" t="str">
        <v>{"gamma_gas":0.6,"gamma_oil":0.86,"gamma_wat":1.1,"rsb_m3m3":49.03,"pb_atma":62.208,"t_res_C":80,"bob_m3m3":1.097,"muob_cP":1.02,"PVT_corr_set":0,"q_liq_sm3day":61.7,"fw_perc":10,"rp_m3m3":49.03}</v>
      </c>
      <c r="O13" s="5" t="str">
        <v>{"gamma_gas":0.6,"gamma_oil":0.86,"gamma_wat":1.1,"rsb_m3m3":6.526,"pb_atma":11.571,"t_res_C":80,"bob_m3m3":1.04,"muob_cP":2.111,"PVT_corr_set":0,"q_liq_sm3day":0,"fw_perc":0,"rp_m3m3":7.661,"q_gas_free_sm3day":1849.601}</v>
      </c>
      <c r="P13" s="5">
        <v>1849.6010000000001</v>
      </c>
      <c r="Q13" s="5">
        <v>3.4630000000000001</v>
      </c>
      <c r="R13" s="5" t="str">
        <v>{"gamma_gas":0.6,"gamma_oil":0.86,"gamma_wat":1.1,"rsb_m3m3":58.432,"pb_atma":71.615,"t_res_C":80,"bob_m3m3":1.11,"muob_cP":0.929,"PVT_corr_set":0,"q_liq_sm3day":61.7,"fw_perc":10,"rp_m3m3":58.432}</v>
      </c>
      <c r="S13" t="s">
        <v>58</v>
      </c>
      <c r="T13" cm="1">
        <f t="array" ref="T13">[1]!feed_gas_fraction_d($I$3,$I$4,I13)</f>
        <v>0.55350477167798007</v>
      </c>
      <c r="U13" cm="1">
        <f t="array" ref="U13">[1]!feed_gas_fraction_d($I$3,$I$4,N13)</f>
        <v>6.2777248767335814E-2</v>
      </c>
      <c r="V13" cm="1">
        <f t="array" ref="V13">[1]!feed_gas_fraction_d($I$3,$I$4,R13)</f>
        <v>0.1794397586713847</v>
      </c>
    </row>
    <row r="14" spans="2:22" x14ac:dyDescent="0.25">
      <c r="B14" s="1" t="s">
        <v>11</v>
      </c>
      <c r="C14" s="2">
        <v>10</v>
      </c>
      <c r="E14" s="1" t="s">
        <v>26</v>
      </c>
      <c r="F14" s="2"/>
      <c r="H14" s="5">
        <v>40.799999999999997</v>
      </c>
      <c r="I14" s="5" t="str">
        <f>[1]!encode_feed($H$14,,,,$I$5)</f>
        <v>{"gamma_gas":0.6,"gamma_oil":0.86,"gamma_wat":1.1,"rsb_m3m3":120,"pb_atma":130,"t_res_C":80,"bob_m3m3":1.2,"muob_cP":0.6,"PVT_corr_set":0,"q_liq_sm3day":40.8,"fw_perc":10,"rp_m3m3":120}</v>
      </c>
      <c r="J14" s="5">
        <f t="array" ref="J14:R14">[1]!well_ksep_full_d($I$3,$I$4,$I$14,$I$6,$I$7)</f>
        <v>0.86499999999999999</v>
      </c>
      <c r="K14" s="5">
        <v>0.61299999999999999</v>
      </c>
      <c r="L14" s="5">
        <v>0.65100000000000002</v>
      </c>
      <c r="M14" s="5" t="str">
        <v>{"gamma_gas":0.6,"gamma_oil":0.86,"gamma_wat":1.1,"rsb_m3m3":120,"pb_atma":130,"t_res_C":80,"bob_m3m3":1.2,"muob_cP":0.6,"PVT_corr_set":0,"q_liq_sm3day":40.8,"fw_perc":10,"rp_m3m3":120}</v>
      </c>
      <c r="N14" s="5" t="str">
        <v>{"gamma_gas":0.6,"gamma_oil":0.86,"gamma_wat":1.1,"rsb_m3m3":50.47,"pb_atma":63.685,"t_res_C":80,"bob_m3m3":1.099,"muob_cP":1.008,"PVT_corr_set":0,"q_liq_sm3day":81.6,"fw_perc":10,"rp_m3m3":50.47}</v>
      </c>
      <c r="O14" s="5" t="str">
        <v>{"gamma_gas":0.6,"gamma_oil":0.86,"gamma_wat":1.1,"rsb_m3m3":6.526,"pb_atma":11.571,"t_res_C":80,"bob_m3m3":1.04,"muob_cP":2.111,"PVT_corr_set":0,"q_liq_sm3day":0,"fw_perc":0,"rp_m3m3":7.661,"q_gas_free_sm3day":2342.613}</v>
      </c>
      <c r="P14" s="5">
        <v>2342.6129999999998</v>
      </c>
      <c r="Q14" s="5">
        <v>2.5569999999999999</v>
      </c>
      <c r="R14" s="5" t="str">
        <v>{"gamma_gas":0.6,"gamma_oil":0.86,"gamma_wat":1.1,"rsb_m3m3":60.135,"pb_atma":73.3,"t_res_C":80,"bob_m3m3":1.112,"muob_cP":0.918,"PVT_corr_set":0,"q_liq_sm3day":81.6,"fw_perc":10,"rp_m3m3":60.135}</v>
      </c>
      <c r="S14" t="s">
        <v>58</v>
      </c>
      <c r="T14" cm="1">
        <f t="array" ref="T14">[1]!feed_gas_fraction_d($I$3,$I$4,I14)</f>
        <v>0.55350477167798007</v>
      </c>
      <c r="U14" cm="1">
        <f t="array" ref="U14">[1]!feed_gas_fraction_d($I$3,$I$4,N14)</f>
        <v>8.2885857814671157E-2</v>
      </c>
      <c r="V14" cm="1">
        <f t="array" ref="V14">[1]!feed_gas_fraction_d($I$3,$I$4,R14)</f>
        <v>0.19772138038641024</v>
      </c>
    </row>
    <row r="15" spans="2:22" x14ac:dyDescent="0.25">
      <c r="B15" s="1" t="s">
        <v>12</v>
      </c>
      <c r="C15" s="2">
        <v>120</v>
      </c>
      <c r="E15" s="1" t="s">
        <v>27</v>
      </c>
      <c r="F15" s="2"/>
      <c r="H15" s="5">
        <v>50.75</v>
      </c>
      <c r="I15" s="5" t="str">
        <f>[1]!encode_feed($H$15,,,,$I$5)</f>
        <v>{"gamma_gas":0.6,"gamma_oil":0.86,"gamma_wat":1.1,"rsb_m3m3":120,"pb_atma":130,"t_res_C":80,"bob_m3m3":1.2,"muob_cP":0.6,"PVT_corr_set":0,"q_liq_sm3day":50.75,"fw_perc":10,"rp_m3m3":120}</v>
      </c>
      <c r="J15" s="5">
        <f t="array" ref="J15:R15">[1]!well_ksep_full_d($I$3,$I$4,$I$15,$I$6,$I$7)</f>
        <v>0.81699999999999995</v>
      </c>
      <c r="K15" s="5">
        <v>0.56000000000000005</v>
      </c>
      <c r="L15" s="5">
        <v>0.58499999999999996</v>
      </c>
      <c r="M15" s="5" t="str">
        <v>{"gamma_gas":0.6,"gamma_oil":0.86,"gamma_wat":1.1,"rsb_m3m3":120,"pb_atma":130,"t_res_C":80,"bob_m3m3":1.2,"muob_cP":0.6,"PVT_corr_set":0,"q_liq_sm3day":50.75,"fw_perc":10,"rp_m3m3":120}</v>
      </c>
      <c r="N15" s="5" t="str">
        <v>{"gamma_gas":0.6,"gamma_oil":0.86,"gamma_wat":1.1,"rsb_m3m3":52.31,"pb_atma":65.554,"t_res_C":80,"bob_m3m3":1.101,"muob_cP":0.994,"PVT_corr_set":0,"q_liq_sm3day":101.5,"fw_perc":10,"rp_m3m3":52.31}</v>
      </c>
      <c r="O15" s="5" t="str">
        <v>{"gamma_gas":0.6,"gamma_oil":0.86,"gamma_wat":1.1,"rsb_m3m3":6.526,"pb_atma":11.571,"t_res_C":80,"bob_m3m3":1.04,"muob_cP":2.111,"PVT_corr_set":0,"q_liq_sm3day":0,"fw_perc":0,"rp_m3m3":7.661,"q_gas_free_sm3day":2749.76}</v>
      </c>
      <c r="P15" s="5">
        <v>2749.76</v>
      </c>
      <c r="Q15" s="5">
        <v>-2.8000000000000001E-2</v>
      </c>
      <c r="R15" s="5" t="str">
        <v>{"gamma_gas":0.6,"gamma_oil":0.86,"gamma_wat":1.1,"rsb_m3m3":62.128,"pb_atma":75.248,"t_res_C":80,"bob_m3m3":1.115,"muob_cP":0.906,"PVT_corr_set":0,"q_liq_sm3day":101.5,"fw_perc":10,"rp_m3m3":62.128}</v>
      </c>
      <c r="S15" t="s">
        <v>58</v>
      </c>
      <c r="T15" cm="1">
        <f t="array" ref="T15">[1]!feed_gas_fraction_d($I$3,$I$4,I15)</f>
        <v>0.55350477167798007</v>
      </c>
      <c r="U15" cm="1">
        <f t="array" ref="U15">[1]!feed_gas_fraction_d($I$3,$I$4,N15)</f>
        <v>0.10732774085061607</v>
      </c>
      <c r="V15" cm="1">
        <f t="array" ref="V15">[1]!feed_gas_fraction_d($I$3,$I$4,R15)</f>
        <v>0.21797774972556341</v>
      </c>
    </row>
    <row r="16" spans="2:22" x14ac:dyDescent="0.25">
      <c r="B16" s="1" t="s">
        <v>13</v>
      </c>
      <c r="C16" s="2">
        <v>0</v>
      </c>
      <c r="E16" s="1" t="s">
        <v>28</v>
      </c>
      <c r="F16" s="2">
        <v>-1</v>
      </c>
      <c r="H16" s="5">
        <v>60.7</v>
      </c>
      <c r="I16" s="5" t="str">
        <f>[1]!encode_feed($H$16,,,,$I$5)</f>
        <v>{"gamma_gas":0.6,"gamma_oil":0.86,"gamma_wat":1.1,"rsb_m3m3":120,"pb_atma":130,"t_res_C":80,"bob_m3m3":1.2,"muob_cP":0.6,"PVT_corr_set":0,"q_liq_sm3day":60.7,"fw_perc":10,"rp_m3m3":120}</v>
      </c>
      <c r="J16" s="5">
        <f t="array" ref="J16:R16">[1]!well_ksep_full_d($I$3,$I$4,$I$16,$I$6,$I$7)</f>
        <v>0.73599999999999999</v>
      </c>
      <c r="K16" s="5">
        <v>0.51500000000000001</v>
      </c>
      <c r="L16" s="5">
        <v>0.45500000000000002</v>
      </c>
      <c r="M16" s="5" t="str">
        <v>{"gamma_gas":0.6,"gamma_oil":0.86,"gamma_wat":1.1,"rsb_m3m3":120,"pb_atma":130,"t_res_C":80,"bob_m3m3":1.2,"muob_cP":0.6,"PVT_corr_set":0,"q_liq_sm3day":60.7,"fw_perc":10,"rp_m3m3":120}</v>
      </c>
      <c r="N16" s="5" t="str">
        <v>{"gamma_gas":0.6,"gamma_oil":0.86,"gamma_wat":1.1,"rsb_m3m3":57.173,"pb_atma":70.698,"t_res_C":80,"bob_m3m3":1.108,"muob_cP":0.939,"PVT_corr_set":0,"q_liq_sm3day":121.4,"fw_perc":10,"rp_m3m3":57.173}</v>
      </c>
      <c r="O16" s="5" t="str">
        <v>{"gamma_gas":0.6,"gamma_oil":0.86,"gamma_wat":1.1,"rsb_m3m3":6.526,"pb_atma":11.571,"t_res_C":80,"bob_m3m3":1.04,"muob_cP":2.111,"PVT_corr_set":0,"q_liq_sm3day":0,"fw_perc":0,"rp_m3m3":7.661,"q_gas_free_sm3day":2747.19}</v>
      </c>
      <c r="P16" s="5">
        <v>2747.19</v>
      </c>
      <c r="Q16" s="5">
        <v>-10.619</v>
      </c>
      <c r="R16" s="5" t="str">
        <v>{"gamma_gas":0.6,"gamma_oil":0.86,"gamma_wat":1.1,"rsb_m3m3":67.14,"pb_atma":80.379,"t_res_C":80,"bob_m3m3":1.122,"muob_cP":0.86,"PVT_corr_set":0,"q_liq_sm3day":121.4,"fw_perc":10,"rp_m3m3":67.14}</v>
      </c>
      <c r="S16" t="s">
        <v>58</v>
      </c>
      <c r="T16" cm="1">
        <f t="array" ref="T16">[1]!feed_gas_fraction_d($I$3,$I$4,I16)</f>
        <v>0.55350477167798007</v>
      </c>
      <c r="U16" cm="1">
        <f t="array" ref="U16">[1]!feed_gas_fraction_d($I$3,$I$4,N16)</f>
        <v>0.16843619621973591</v>
      </c>
      <c r="V16" cm="1">
        <f t="array" ref="V16">[1]!feed_gas_fraction_d($I$3,$I$4,R16)</f>
        <v>0.26653454983912028</v>
      </c>
    </row>
    <row r="17" spans="2:22" x14ac:dyDescent="0.25">
      <c r="B17" s="1" t="s">
        <v>14</v>
      </c>
      <c r="C17" s="3" t="str">
        <f>[1]!encode_feed(C13,C14,C15,C16,C12)</f>
        <v>{"gamma_gas":0.6,"gamma_oil":0.86,"gamma_wat":1.1,"rsb_m3m3":120,"pb_atma":130,"t_res_C":80,"bob_m3m3":1.2,"muob_cP":0.6,"PVT_corr_set":0,"q_liq_sm3day":30,"fw_perc":10,"rp_m3m3":120}</v>
      </c>
      <c r="E17" s="1" t="s">
        <v>29</v>
      </c>
      <c r="F17" s="2">
        <v>200</v>
      </c>
      <c r="H17" s="5">
        <v>70.650000000000006</v>
      </c>
      <c r="I17" s="5" t="str">
        <f>[1]!encode_feed($H$17,,,,$I$5)</f>
        <v>{"gamma_gas":0.6,"gamma_oil":0.86,"gamma_wat":1.1,"rsb_m3m3":120,"pb_atma":130,"t_res_C":80,"bob_m3m3":1.2,"muob_cP":0.6,"PVT_corr_set":0,"q_liq_sm3day":70.65,"fw_perc":10,"rp_m3m3":120}</v>
      </c>
      <c r="J17" s="5">
        <f t="array" ref="J17:R17">[1]!well_ksep_full_d($I$3,$I$4,$I$17,$I$6,$I$7)</f>
        <v>0.629</v>
      </c>
      <c r="K17" s="5">
        <v>0.47599999999999998</v>
      </c>
      <c r="L17" s="5">
        <v>0.29099999999999998</v>
      </c>
      <c r="M17" s="5" t="str">
        <v>{"gamma_gas":0.6,"gamma_oil":0.86,"gamma_wat":1.1,"rsb_m3m3":120,"pb_atma":130,"t_res_C":80,"bob_m3m3":1.2,"muob_cP":0.6,"PVT_corr_set":0,"q_liq_sm3day":70.65,"fw_perc":10,"rp_m3m3":120}</v>
      </c>
      <c r="N17" s="5" t="str">
        <v>{"gamma_gas":0.6,"gamma_oil":0.86,"gamma_wat":1.1,"rsb_m3m3":66.169,"pb_atma":80.056,"t_res_C":80,"bob_m3m3":1.121,"muob_cP":0.852,"PVT_corr_set":0,"q_liq_sm3day":141.3,"fw_perc":10,"rp_m3m3":66.169}</v>
      </c>
      <c r="O17" s="5" t="str">
        <v>{"gamma_gas":0.6,"gamma_oil":0.86,"gamma_wat":1.1,"rsb_m3m3":6.526,"pb_atma":11.571,"t_res_C":80,"bob_m3m3":1.04,"muob_cP":2.111,"PVT_corr_set":0,"q_liq_sm3day":0,"fw_perc":0,"rp_m3m3":7.661,"q_gas_free_sm3day":2032.719}</v>
      </c>
      <c r="P17" s="5">
        <v>2032.7190000000001</v>
      </c>
      <c r="Q17" s="5">
        <v>-35.122999999999998</v>
      </c>
      <c r="R17" s="5" t="str">
        <v>{"gamma_gas":0.6,"gamma_oil":0.86,"gamma_wat":1.1,"rsb_m3m3":74.821,"pb_atma":88.148,"t_res_C":80,"bob_m3m3":1.133,"muob_cP":0.799,"PVT_corr_set":0,"q_liq_sm3day":141.3,"fw_perc":10,"rp_m3m3":74.821}</v>
      </c>
      <c r="S17" t="s">
        <v>58</v>
      </c>
      <c r="T17" cm="1">
        <f t="array" ref="T17">[1]!feed_gas_fraction_d($I$3,$I$4,I17)</f>
        <v>0.55350477167797996</v>
      </c>
      <c r="U17" cm="1">
        <f t="array" ref="U17">[1]!feed_gas_fraction_d($I$3,$I$4,N17)</f>
        <v>0.26179777427701612</v>
      </c>
      <c r="V17" cm="1">
        <f t="array" ref="V17">[1]!feed_gas_fraction_d($I$3,$I$4,R17)</f>
        <v>0.33024790287712152</v>
      </c>
    </row>
    <row r="18" spans="2:22" x14ac:dyDescent="0.25">
      <c r="E18" s="1" t="s">
        <v>30</v>
      </c>
      <c r="F18" s="2"/>
      <c r="H18" s="5">
        <v>80.599999999999994</v>
      </c>
      <c r="I18" s="5" t="str">
        <f>[1]!encode_feed($H$18,,,,$I$5)</f>
        <v>{"gamma_gas":0.6,"gamma_oil":0.86,"gamma_wat":1.1,"rsb_m3m3":120,"pb_atma":130,"t_res_C":80,"bob_m3m3":1.2,"muob_cP":0.6,"PVT_corr_set":0,"q_liq_sm3day":80.6,"fw_perc":10,"rp_m3m3":120}</v>
      </c>
      <c r="J18" s="5">
        <f t="array" ref="J18:R18">[1]!well_ksep_full_d($I$3,$I$4,$I$18,$I$6,$I$7)</f>
        <v>0.53100000000000003</v>
      </c>
      <c r="K18" s="5">
        <v>0.44400000000000001</v>
      </c>
      <c r="L18" s="5">
        <v>0.158</v>
      </c>
      <c r="M18" s="5" t="str">
        <v>{"gamma_gas":0.6,"gamma_oil":0.86,"gamma_wat":1.1,"rsb_m3m3":120,"pb_atma":130,"t_res_C":80,"bob_m3m3":1.2,"muob_cP":0.6,"PVT_corr_set":0,"q_liq_sm3day":80.6,"fw_perc":10,"rp_m3m3":120}</v>
      </c>
      <c r="N18" s="5" t="str">
        <v>{"gamma_gas":0.6,"gamma_oil":0.86,"gamma_wat":1.1,"rsb_m3m3":76.421,"pb_atma":90.415,"t_res_C":80,"bob_m3m3":1.135,"muob_cP":0.775,"PVT_corr_set":0,"q_liq_sm3day":161.2,"fw_perc":10,"rp_m3m3":76.421}</v>
      </c>
      <c r="O18" s="5" t="str">
        <v>{"gamma_gas":0.6,"gamma_oil":0.86,"gamma_wat":1.1,"rsb_m3m3":6.526,"pb_atma":11.571,"t_res_C":80,"bob_m3m3":1.04,"muob_cP":2.111,"PVT_corr_set":0,"q_liq_sm3day":0,"fw_perc":0,"rp_m3m3":7.661,"q_gas_free_sm3day":815.03}</v>
      </c>
      <c r="P18" s="5">
        <v>815.03</v>
      </c>
      <c r="Q18" s="5">
        <v>-69.463999999999999</v>
      </c>
      <c r="R18" s="5" t="str">
        <v>{"gamma_gas":0.6,"gamma_oil":0.86,"gamma_wat":1.1,"rsb_m3m3":82.286,"pb_atma":95.488,"t_res_C":80,"bob_m3m3":1.144,"muob_cP":0.752,"PVT_corr_set":0,"q_liq_sm3day":161.2,"fw_perc":10,"rp_m3m3":82.286}</v>
      </c>
      <c r="S18" t="s">
        <v>58</v>
      </c>
      <c r="T18" cm="1">
        <f t="array" ref="T18">[1]!feed_gas_fraction_d($I$3,$I$4,I18)</f>
        <v>0.55350477167798007</v>
      </c>
      <c r="U18" cm="1">
        <f t="array" ref="U18">[1]!feed_gas_fraction_d($I$3,$I$4,N18)</f>
        <v>0.34511980621007499</v>
      </c>
      <c r="V18" cm="1">
        <f t="array" ref="V18">[1]!feed_gas_fraction_d($I$3,$I$4,R18)</f>
        <v>0.3819379134772044</v>
      </c>
    </row>
    <row r="19" spans="2:22" x14ac:dyDescent="0.25">
      <c r="E19" s="1" t="s">
        <v>31</v>
      </c>
      <c r="F19" s="3" t="str">
        <f>[1]!encode_ESP_separation(F3,F4, F5, F6,F7, F8, F9, F10, F11, F12, F13, F14, F15, F16, F17, F18)</f>
        <v>{"calc_mode":"by_correlation","natsep_model":0,"d_intake_mm":92,"d_cas_mm":125,"d_tub_mm":72,"pkv_period_ratio":0.5,"gassep_type":-1,"gassep_qnom_sm3day":200,"param":{"show_array":1,"gas_goes_into_solution":1,"calibr_li":2}}</v>
      </c>
      <c r="H19" s="5">
        <v>90.55</v>
      </c>
      <c r="I19" s="5" t="str">
        <f>[1]!encode_feed($H$19,,,,$I$5)</f>
        <v>{"gamma_gas":0.6,"gamma_oil":0.86,"gamma_wat":1.1,"rsb_m3m3":120,"pb_atma":130,"t_res_C":80,"bob_m3m3":1.2,"muob_cP":0.6,"PVT_corr_set":0,"q_liq_sm3day":90.55,"fw_perc":10,"rp_m3m3":120}</v>
      </c>
      <c r="J19" s="5">
        <f t="array" ref="J19:R19">[1]!well_ksep_full_d($I$3,$I$4,$I$19,$I$6,$I$7)</f>
        <v>0.45100000000000001</v>
      </c>
      <c r="K19" s="5">
        <v>0.41599999999999998</v>
      </c>
      <c r="L19" s="5">
        <v>0.06</v>
      </c>
      <c r="M19" s="5" t="str">
        <v>{"gamma_gas":0.6,"gamma_oil":0.86,"gamma_wat":1.1,"rsb_m3m3":120,"pb_atma":130,"t_res_C":80,"bob_m3m3":1.2,"muob_cP":0.6,"PVT_corr_set":0,"q_liq_sm3day":90.55,"fw_perc":10,"rp_m3m3":120}</v>
      </c>
      <c r="N19" s="5" t="str">
        <v>{"gamma_gas":0.6,"gamma_oil":0.86,"gamma_wat":1.1,"rsb_m3m3":86.919,"pb_atma":100.755,"t_res_C":80,"bob_m3m3":1.15,"muob_cP":0.712,"PVT_corr_set":0,"q_liq_sm3day":181.1,"fw_perc":10,"rp_m3m3":86.919}</v>
      </c>
      <c r="O19" s="5" t="str">
        <v>{"gamma_gas":0.6,"gamma_oil":0.86,"gamma_wat":1.1,"rsb_m3m3":6.526,"pb_atma":11.571,"t_res_C":80,"bob_m3m3":1.04,"muob_cP":2.111,"PVT_corr_set":0,"q_liq_sm3day":0,"fw_perc":0,"rp_m3m3":7.661}</v>
      </c>
      <c r="P19" s="5">
        <v>-808.11300000000006</v>
      </c>
      <c r="Q19" s="5">
        <v>-167.85499999999999</v>
      </c>
      <c r="R19" s="5" t="str">
        <v>{"gamma_gas":0.6,"gamma_oil":0.86,"gamma_wat":1.1,"rsb_m3m3":89.568,"pb_atma":102.474,"t_res_C":80,"bob_m3m3":1.154,"muob_cP":0.715,"PVT_corr_set":0,"q_liq_sm3day":181.1,"fw_perc":10,"rp_m3m3":89.568}</v>
      </c>
      <c r="S19" t="s">
        <v>58</v>
      </c>
      <c r="T19" cm="1">
        <f t="array" ref="T19">[1]!feed_gas_fraction_d($I$3,$I$4,I19)</f>
        <v>0.55350477167798007</v>
      </c>
      <c r="U19" cm="1">
        <f t="array" ref="U19">[1]!feed_gas_fraction_d($I$3,$I$4,N19)</f>
        <v>0.41273119641773265</v>
      </c>
      <c r="V19" cm="1">
        <f t="array" ref="V19">[1]!feed_gas_fraction_d($I$3,$I$4,R19)</f>
        <v>0.42503786661386767</v>
      </c>
    </row>
    <row r="20" spans="2:22" x14ac:dyDescent="0.25">
      <c r="H20" s="5">
        <v>100.5</v>
      </c>
      <c r="I20" s="5" t="str">
        <f>[1]!encode_feed($H$20,,,,$I$5)</f>
        <v>{"gamma_gas":0.6,"gamma_oil":0.86,"gamma_wat":1.1,"rsb_m3m3":120,"pb_atma":130,"t_res_C":80,"bob_m3m3":1.2,"muob_cP":0.6,"PVT_corr_set":0,"q_liq_sm3day":100.5,"fw_perc":10,"rp_m3m3":120}</v>
      </c>
      <c r="J20" s="5">
        <f t="array" ref="J20:R20">[1]!well_ksep_full_d($I$3,$I$4,$I$20,$I$6,$I$7)</f>
        <v>0.39200000000000002</v>
      </c>
      <c r="K20" s="5">
        <v>0.39200000000000002</v>
      </c>
      <c r="L20" s="5">
        <v>0</v>
      </c>
      <c r="M20" s="5" t="str">
        <v>{"gamma_gas":0.6,"gamma_oil":0.86,"gamma_wat":1.1,"rsb_m3m3":120,"pb_atma":130,"t_res_C":80,"bob_m3m3":1.2,"muob_cP":0.6,"PVT_corr_set":0,"q_liq_sm3day":100.5,"fw_perc":10,"rp_m3m3":120}</v>
      </c>
      <c r="N20" s="5" t="str">
        <v>{"gamma_gas":0.6,"gamma_oil":0.86,"gamma_wat":1.1,"rsb_m3m3":101.609,"pb_atma":113.836,"t_res_C":80,"bob_m3m3":1.172,"muob_cP":0.662,"PVT_corr_set":0,"q_liq_sm3day":201,"fw_perc":10,"rp_m3m3":101.609}</v>
      </c>
      <c r="O20" s="5" t="str">
        <v>{"gamma_gas":0.6,"gamma_oil":0.86,"gamma_wat":1.1,"rsb_m3m3":6.526,"pb_atma":11.571,"t_res_C":80,"bob_m3m3":1.04,"muob_cP":2.111,"PVT_corr_set":0,"q_liq_sm3day":0,"fw_perc":0,"rp_m3m3":7.661}</v>
      </c>
      <c r="P20" s="5">
        <v>-3480.7289999999998</v>
      </c>
      <c r="Q20" s="5">
        <v>-225.976</v>
      </c>
      <c r="R20" s="5" t="str">
        <v>{"gamma_gas":0.6,"gamma_oil":0.86,"gamma_wat":1.1,"rsb_m3m3":101.609,"pb_atma":113.836,"t_res_C":80,"bob_m3m3":1.172,"muob_cP":0.662,"PVT_corr_set":0,"q_liq_sm3day":201,"fw_perc":10,"rp_m3m3":101.609}</v>
      </c>
      <c r="S20" t="s">
        <v>58</v>
      </c>
      <c r="T20" cm="1">
        <f t="array" ref="T20">[1]!feed_gas_fraction_d($I$3,$I$4,I20)</f>
        <v>0.55350477167798007</v>
      </c>
      <c r="U20" cm="1">
        <f t="array" ref="U20">[1]!feed_gas_fraction_d($I$3,$I$4,N20)</f>
        <v>0.48442215735325556</v>
      </c>
      <c r="V20" cm="1">
        <f t="array" ref="V20">[1]!feed_gas_fraction_d($I$3,$I$4,R20)</f>
        <v>0.48442215735325556</v>
      </c>
    </row>
    <row r="21" spans="2:22" x14ac:dyDescent="0.25">
      <c r="H21" s="5">
        <v>110.45</v>
      </c>
      <c r="I21" s="5" t="str">
        <f>[1]!encode_feed($H$21,,,,$I$5)</f>
        <v>{"gamma_gas":0.6,"gamma_oil":0.86,"gamma_wat":1.1,"rsb_m3m3":120,"pb_atma":130,"t_res_C":80,"bob_m3m3":1.2,"muob_cP":0.6,"PVT_corr_set":0,"q_liq_sm3day":110.45,"fw_perc":10,"rp_m3m3":120}</v>
      </c>
      <c r="J21" s="5">
        <f t="array" ref="J21:R21">[1]!well_ksep_full_d($I$3,$I$4,$I$21,$I$6,$I$7)</f>
        <v>0.373</v>
      </c>
      <c r="K21" s="5">
        <v>0.373</v>
      </c>
      <c r="L21" s="5">
        <v>0</v>
      </c>
      <c r="M21" s="5" t="str">
        <v>{"gamma_gas":0.6,"gamma_oil":0.86,"gamma_wat":1.1,"rsb_m3m3":120,"pb_atma":130,"t_res_C":80,"bob_m3m3":1.2,"muob_cP":0.6,"PVT_corr_set":0,"q_liq_sm3day":110.45,"fw_perc":10,"rp_m3m3":120}</v>
      </c>
      <c r="N21" s="5" t="str">
        <v>{"gamma_gas":0.6,"gamma_oil":0.86,"gamma_wat":1.1,"rsb_m3m3":102.351,"pb_atma":114.537,"t_res_C":80,"bob_m3m3":1.173,"muob_cP":0.658,"PVT_corr_set":0,"q_liq_sm3day":220.9,"fw_perc":10,"rp_m3m3":102.351}</v>
      </c>
      <c r="O21" s="5" t="str">
        <v>{"gamma_gas":0.6,"gamma_oil":0.86,"gamma_wat":1.1,"rsb_m3m3":6.526,"pb_atma":11.571,"t_res_C":80,"bob_m3m3":1.04,"muob_cP":2.111,"PVT_corr_set":0,"q_liq_sm3day":0,"fw_perc":0,"rp_m3m3":7.661}</v>
      </c>
      <c r="P21" s="5">
        <v>-3973.998</v>
      </c>
      <c r="Q21" s="5">
        <v>-248.34899999999999</v>
      </c>
      <c r="R21" s="5" t="str">
        <v>{"gamma_gas":0.6,"gamma_oil":0.86,"gamma_wat":1.1,"rsb_m3m3":102.351,"pb_atma":114.537,"t_res_C":80,"bob_m3m3":1.173,"muob_cP":0.658,"PVT_corr_set":0,"q_liq_sm3day":220.9,"fw_perc":10,"rp_m3m3":102.351}</v>
      </c>
      <c r="S21" t="s">
        <v>58</v>
      </c>
      <c r="T21" cm="1">
        <f t="array" ref="T21">[1]!feed_gas_fraction_d($I$3,$I$4,I21)</f>
        <v>0.55350477167798007</v>
      </c>
      <c r="U21" cm="1">
        <f t="array" ref="U21">[1]!feed_gas_fraction_d($I$3,$I$4,N21)</f>
        <v>0.48771028188520732</v>
      </c>
      <c r="V21" cm="1">
        <f t="array" ref="V21">[1]!feed_gas_fraction_d($I$3,$I$4,R21)</f>
        <v>0.48771028188520732</v>
      </c>
    </row>
    <row r="22" spans="2:22" x14ac:dyDescent="0.25">
      <c r="H22" s="5">
        <v>120.4</v>
      </c>
      <c r="I22" s="5" t="str">
        <f>[1]!encode_feed($H$22,,,,$I$5)</f>
        <v>{"gamma_gas":0.6,"gamma_oil":0.86,"gamma_wat":1.1,"rsb_m3m3":120,"pb_atma":130,"t_res_C":80,"bob_m3m3":1.2,"muob_cP":0.6,"PVT_corr_set":0,"q_liq_sm3day":120.4,"fw_perc":10,"rp_m3m3":120}</v>
      </c>
      <c r="J22" s="5">
        <f t="array" ref="J22:R22">[1]!well_ksep_full_d($I$3,$I$4,$I$22,$I$6,$I$7)</f>
        <v>0.35599999999999998</v>
      </c>
      <c r="K22" s="5">
        <v>0.35599999999999998</v>
      </c>
      <c r="L22" s="5">
        <v>0</v>
      </c>
      <c r="M22" s="5" t="str">
        <v>{"gamma_gas":0.6,"gamma_oil":0.86,"gamma_wat":1.1,"rsb_m3m3":120,"pb_atma":130,"t_res_C":80,"bob_m3m3":1.2,"muob_cP":0.6,"PVT_corr_set":0,"q_liq_sm3day":120.4,"fw_perc":10,"rp_m3m3":120}</v>
      </c>
      <c r="N22" s="5" t="str">
        <v>{"gamma_gas":0.6,"gamma_oil":0.86,"gamma_wat":1.1,"rsb_m3m3":102.979,"pb_atma":115.13,"t_res_C":80,"bob_m3m3":1.174,"muob_cP":0.656,"PVT_corr_set":0,"q_liq_sm3day":240.8,"fw_perc":10,"rp_m3m3":102.979}</v>
      </c>
      <c r="O22" s="5" t="str">
        <v>{"gamma_gas":0.6,"gamma_oil":0.86,"gamma_wat":1.1,"rsb_m3m3":6.526,"pb_atma":11.571,"t_res_C":80,"bob_m3m3":1.04,"muob_cP":2.111,"PVT_corr_set":0,"q_liq_sm3day":0,"fw_perc":0,"rp_m3m3":7.661}</v>
      </c>
      <c r="P22" s="5">
        <v>-4469.0510000000004</v>
      </c>
      <c r="Q22" s="5">
        <v>-270.72199999999998</v>
      </c>
      <c r="R22" s="5" t="str">
        <v>{"gamma_gas":0.6,"gamma_oil":0.86,"gamma_wat":1.1,"rsb_m3m3":102.979,"pb_atma":115.13,"t_res_C":80,"bob_m3m3":1.174,"muob_cP":0.656,"PVT_corr_set":0,"q_liq_sm3day":240.8,"fw_perc":10,"rp_m3m3":102.979}</v>
      </c>
      <c r="S22" t="s">
        <v>58</v>
      </c>
      <c r="T22" cm="1">
        <f t="array" ref="T22">[1]!feed_gas_fraction_d($I$3,$I$4,I22)</f>
        <v>0.55350477167798007</v>
      </c>
      <c r="U22" cm="1">
        <f t="array" ref="U22">[1]!feed_gas_fraction_d($I$3,$I$4,N22)</f>
        <v>0.49044918942208804</v>
      </c>
      <c r="V22" cm="1">
        <f t="array" ref="V22">[1]!feed_gas_fraction_d($I$3,$I$4,R22)</f>
        <v>0.49044918942208804</v>
      </c>
    </row>
    <row r="23" spans="2:22" x14ac:dyDescent="0.25">
      <c r="H23" s="5">
        <v>130.35</v>
      </c>
      <c r="I23" s="5" t="str">
        <f>[1]!encode_feed($H$23,,,,$I$5)</f>
        <v>{"gamma_gas":0.6,"gamma_oil":0.86,"gamma_wat":1.1,"rsb_m3m3":120,"pb_atma":130,"t_res_C":80,"bob_m3m3":1.2,"muob_cP":0.6,"PVT_corr_set":0,"q_liq_sm3day":130.35,"fw_perc":10,"rp_m3m3":120}</v>
      </c>
      <c r="J23" s="5">
        <f t="array" ref="J23:R23">[1]!well_ksep_full_d($I$3,$I$4,$I$23,$I$6,$I$7)</f>
        <v>0.34200000000000003</v>
      </c>
      <c r="K23" s="5">
        <v>0.34200000000000003</v>
      </c>
      <c r="L23" s="5">
        <v>0</v>
      </c>
      <c r="M23" s="5" t="str">
        <v>{"gamma_gas":0.6,"gamma_oil":0.86,"gamma_wat":1.1,"rsb_m3m3":120,"pb_atma":130,"t_res_C":80,"bob_m3m3":1.2,"muob_cP":0.6,"PVT_corr_set":0,"q_liq_sm3day":130.35,"fw_perc":10,"rp_m3m3":120}</v>
      </c>
      <c r="N23" s="5" t="str">
        <v>{"gamma_gas":0.6,"gamma_oil":0.86,"gamma_wat":1.1,"rsb_m3m3":103.509,"pb_atma":115.63,"t_res_C":80,"bob_m3m3":1.175,"muob_cP":0.653,"PVT_corr_set":0,"q_liq_sm3day":260.7,"fw_perc":10,"rp_m3m3":103.509}</v>
      </c>
      <c r="O23" s="5" t="str">
        <v>{"gamma_gas":0.6,"gamma_oil":0.86,"gamma_wat":1.1,"rsb_m3m3":6.526,"pb_atma":11.571,"t_res_C":80,"bob_m3m3":1.04,"muob_cP":2.111,"PVT_corr_set":0,"q_liq_sm3day":0,"fw_perc":0,"rp_m3m3":7.661}</v>
      </c>
      <c r="P23" s="5">
        <v>-4963.6130000000003</v>
      </c>
      <c r="Q23" s="5">
        <v>-293.09399999999999</v>
      </c>
      <c r="R23" s="5" t="str">
        <v>{"gamma_gas":0.6,"gamma_oil":0.86,"gamma_wat":1.1,"rsb_m3m3":103.509,"pb_atma":115.63,"t_res_C":80,"bob_m3m3":1.175,"muob_cP":0.653,"PVT_corr_set":0,"q_liq_sm3day":260.7,"fw_perc":10,"rp_m3m3":103.509}</v>
      </c>
      <c r="S23" t="s">
        <v>58</v>
      </c>
      <c r="T23" cm="1">
        <f t="array" ref="T23">[1]!feed_gas_fraction_d($I$3,$I$4,I23)</f>
        <v>0.55350477167798007</v>
      </c>
      <c r="U23" cm="1">
        <f t="array" ref="U23">[1]!feed_gas_fraction_d($I$3,$I$4,N23)</f>
        <v>0.49272556975681142</v>
      </c>
      <c r="V23" cm="1">
        <f t="array" ref="V23">[1]!feed_gas_fraction_d($I$3,$I$4,R23)</f>
        <v>0.49272556975681142</v>
      </c>
    </row>
    <row r="24" spans="2:22" x14ac:dyDescent="0.25">
      <c r="H24" s="5">
        <v>140.30000000000001</v>
      </c>
      <c r="I24" s="5" t="str">
        <f>[1]!encode_feed($H$24,,,,$I$5)</f>
        <v>{"gamma_gas":0.6,"gamma_oil":0.86,"gamma_wat":1.1,"rsb_m3m3":120,"pb_atma":130,"t_res_C":80,"bob_m3m3":1.2,"muob_cP":0.6,"PVT_corr_set":0,"q_liq_sm3day":140.3,"fw_perc":10,"rp_m3m3":120}</v>
      </c>
      <c r="J24" s="5">
        <f t="array" ref="J24:R24">[1]!well_ksep_full_d($I$3,$I$4,$I$24,$I$6,$I$7)</f>
        <v>0.33</v>
      </c>
      <c r="K24" s="5">
        <v>0.33</v>
      </c>
      <c r="L24" s="5">
        <v>0</v>
      </c>
      <c r="M24" s="5" t="str">
        <v>{"gamma_gas":0.6,"gamma_oil":0.86,"gamma_wat":1.1,"rsb_m3m3":120,"pb_atma":130,"t_res_C":80,"bob_m3m3":1.2,"muob_cP":0.6,"PVT_corr_set":0,"q_liq_sm3day":140.3,"fw_perc":10,"rp_m3m3":120}</v>
      </c>
      <c r="N24" s="5" t="str">
        <v>{"gamma_gas":0.6,"gamma_oil":0.86,"gamma_wat":1.1,"rsb_m3m3":107.316,"pb_atma":120.307,"t_res_C":80,"bob_m3m3":1.18,"muob_cP":0.617,"PVT_corr_set":0,"q_liq_sm3day":280.6,"fw_perc":10,"rp_m3m3":107.316}</v>
      </c>
      <c r="O24" s="5" t="str">
        <v>{"gamma_gas":0.6,"gamma_oil":0.86,"gamma_wat":1.1,"rsb_m3m3":6.526,"pb_atma":11.571,"t_res_C":80,"bob_m3m3":1.04,"muob_cP":2.111,"PVT_corr_set":0,"q_liq_sm3day":0,"fw_perc":0,"rp_m3m3":7.661}</v>
      </c>
      <c r="P24" s="5">
        <v>-6435.6469999999999</v>
      </c>
      <c r="Q24" s="5">
        <v>-332.255</v>
      </c>
      <c r="R24" s="5" t="str">
        <v>{"gamma_gas":0.6,"gamma_oil":0.86,"gamma_wat":1.1,"rsb_m3m3":107.316,"pb_atma":119.222,"t_res_C":80,"bob_m3m3":1.181,"muob_cP":0.637,"PVT_corr_set":0,"q_liq_sm3day":280.6,"fw_perc":10,"rp_m3m3":107.316}</v>
      </c>
      <c r="S24" t="s">
        <v>58</v>
      </c>
      <c r="T24" cm="1">
        <f t="array" ref="T24">[1]!feed_gas_fraction_d($I$3,$I$4,I24)</f>
        <v>0.55350477167798007</v>
      </c>
      <c r="U24" cm="1">
        <f t="array" ref="U24">[1]!feed_gas_fraction_d($I$3,$I$4,N24)</f>
        <v>0.51076729949079169</v>
      </c>
      <c r="V24" cm="1">
        <f t="array" ref="V24">[1]!feed_gas_fraction_d($I$3,$I$4,R24)</f>
        <v>0.50860666940773758</v>
      </c>
    </row>
    <row r="25" spans="2:22" x14ac:dyDescent="0.25">
      <c r="H25" s="5">
        <v>150.25</v>
      </c>
      <c r="I25" s="5" t="str">
        <f>[1]!encode_feed($H$25,,,,$I$5)</f>
        <v>{"gamma_gas":0.6,"gamma_oil":0.86,"gamma_wat":1.1,"rsb_m3m3":120,"pb_atma":130,"t_res_C":80,"bob_m3m3":1.2,"muob_cP":0.6,"PVT_corr_set":0,"q_liq_sm3day":150.25,"fw_perc":10,"rp_m3m3":120}</v>
      </c>
      <c r="J25" s="5">
        <f t="array" ref="J25:R25">[1]!well_ksep_full_d($I$3,$I$4,$I$25,$I$6,$I$7)</f>
        <v>0.32</v>
      </c>
      <c r="K25" s="5">
        <v>0.32</v>
      </c>
      <c r="L25" s="5">
        <v>0</v>
      </c>
      <c r="M25" s="5" t="str">
        <v>{"gamma_gas":0.6,"gamma_oil":0.86,"gamma_wat":1.1,"rsb_m3m3":120,"pb_atma":130,"t_res_C":80,"bob_m3m3":1.2,"muob_cP":0.6,"PVT_corr_set":0,"q_liq_sm3day":150.25,"fw_perc":10,"rp_m3m3":120}</v>
      </c>
      <c r="N25" s="5" t="str">
        <v>{"gamma_gas":0.6,"gamma_oil":0.86,"gamma_wat":1.1,"rsb_m3m3":107.692,"pb_atma":119.577,"t_res_C":80,"bob_m3m3":1.181,"muob_cP":0.635,"PVT_corr_set":0,"q_liq_sm3day":300.5,"fw_perc":10,"rp_m3m3":107.692}</v>
      </c>
      <c r="O25" s="5" t="str">
        <v>{"gamma_gas":0.6,"gamma_oil":0.86,"gamma_wat":1.1,"rsb_m3m3":6.526,"pb_atma":11.571,"t_res_C":80,"bob_m3m3":1.04,"muob_cP":2.111,"PVT_corr_set":0,"q_liq_sm3day":0,"fw_perc":0,"rp_m3m3":7.661}</v>
      </c>
      <c r="P25" s="5">
        <v>-6862.799</v>
      </c>
      <c r="Q25" s="5">
        <v>-355.81799999999998</v>
      </c>
      <c r="R25" s="5" t="str">
        <v>{"gamma_gas":0.6,"gamma_oil":0.86,"gamma_wat":1.1,"rsb_m3m3":107.692,"pb_atma":119.577,"t_res_C":80,"bob_m3m3":1.181,"muob_cP":0.635,"PVT_corr_set":0,"q_liq_sm3day":300.5,"fw_perc":10,"rp_m3m3":107.692}</v>
      </c>
      <c r="S25" t="s">
        <v>58</v>
      </c>
      <c r="T25" cm="1">
        <f t="array" ref="T25">[1]!feed_gas_fraction_d($I$3,$I$4,I25)</f>
        <v>0.55350477167798007</v>
      </c>
      <c r="U25" cm="1">
        <f t="array" ref="U25">[1]!feed_gas_fraction_d($I$3,$I$4,N25)</f>
        <v>0.51016877555079976</v>
      </c>
      <c r="V25" cm="1">
        <f t="array" ref="V25">[1]!feed_gas_fraction_d($I$3,$I$4,R25)</f>
        <v>0.51016877555079976</v>
      </c>
    </row>
    <row r="26" spans="2:22" x14ac:dyDescent="0.25">
      <c r="H26" s="5">
        <v>160.19999999999999</v>
      </c>
      <c r="I26" s="5" t="str">
        <f>[1]!encode_feed($H$26,,,,$I$5)</f>
        <v>{"gamma_gas":0.6,"gamma_oil":0.86,"gamma_wat":1.1,"rsb_m3m3":120,"pb_atma":130,"t_res_C":80,"bob_m3m3":1.2,"muob_cP":0.6,"PVT_corr_set":0,"q_liq_sm3day":160.2,"fw_perc":10,"rp_m3m3":120}</v>
      </c>
      <c r="J26" s="5">
        <f t="array" ref="J26:R26">[1]!well_ksep_full_d($I$3,$I$4,$I$26,$I$6,$I$7)</f>
        <v>0.311</v>
      </c>
      <c r="K26" s="5">
        <v>0.311</v>
      </c>
      <c r="L26" s="5">
        <v>0</v>
      </c>
      <c r="M26" s="5" t="str">
        <v>{"gamma_gas":0.6,"gamma_oil":0.86,"gamma_wat":1.1,"rsb_m3m3":120,"pb_atma":130,"t_res_C":80,"bob_m3m3":1.2,"muob_cP":0.6,"PVT_corr_set":0,"q_liq_sm3day":160.2,"fw_perc":10,"rp_m3m3":120}</v>
      </c>
      <c r="N26" s="5" t="str">
        <v>{"gamma_gas":0.6,"gamma_oil":0.86,"gamma_wat":1.1,"rsb_m3m3":108.009,"pb_atma":119.877,"t_res_C":80,"bob_m3m3":1.182,"muob_cP":0.634,"PVT_corr_set":0,"q_liq_sm3day":320.4,"fw_perc":10,"rp_m3m3":108.009}</v>
      </c>
      <c r="O26" s="5" t="str">
        <v>{"gamma_gas":0.6,"gamma_oil":0.86,"gamma_wat":1.1,"rsb_m3m3":6.526,"pb_atma":11.571,"t_res_C":80,"bob_m3m3":1.04,"muob_cP":2.111,"PVT_corr_set":0,"q_liq_sm3day":0,"fw_perc":0,"rp_m3m3":7.661}</v>
      </c>
      <c r="P26" s="5">
        <v>-7409.66</v>
      </c>
      <c r="Q26" s="5">
        <v>-379.38099999999997</v>
      </c>
      <c r="R26" s="5" t="str">
        <v>{"gamma_gas":0.6,"gamma_oil":0.86,"gamma_wat":1.1,"rsb_m3m3":108.009,"pb_atma":119.877,"t_res_C":80,"bob_m3m3":1.182,"muob_cP":0.634,"PVT_corr_set":0,"q_liq_sm3day":320.4,"fw_perc":10,"rp_m3m3":108.009}</v>
      </c>
      <c r="S26" t="s">
        <v>58</v>
      </c>
      <c r="T26" cm="1">
        <f t="array" ref="T26">[1]!feed_gas_fraction_d($I$3,$I$4,I26)</f>
        <v>0.55350477167798007</v>
      </c>
      <c r="U26" cm="1">
        <f t="array" ref="U26">[1]!feed_gas_fraction_d($I$3,$I$4,N26)</f>
        <v>0.51140404733152833</v>
      </c>
      <c r="V26" cm="1">
        <f t="array" ref="V26">[1]!feed_gas_fraction_d($I$3,$I$4,R26)</f>
        <v>0.51140404733152833</v>
      </c>
    </row>
    <row r="27" spans="2:22" x14ac:dyDescent="0.25">
      <c r="H27" s="5">
        <v>170.15</v>
      </c>
      <c r="I27" s="5" t="str">
        <f>[1]!encode_feed($H$27,,,,$I$5)</f>
        <v>{"gamma_gas":0.6,"gamma_oil":0.86,"gamma_wat":1.1,"rsb_m3m3":120,"pb_atma":130,"t_res_C":80,"bob_m3m3":1.2,"muob_cP":0.6,"PVT_corr_set":0,"q_liq_sm3day":170.15,"fw_perc":10,"rp_m3m3":120}</v>
      </c>
      <c r="J27" s="5">
        <f t="array" ref="J27:R27">[1]!well_ksep_full_d($I$3,$I$4,$I$27,$I$6,$I$7)</f>
        <v>0.30399999999999999</v>
      </c>
      <c r="K27" s="5">
        <v>0.30399999999999999</v>
      </c>
      <c r="L27" s="5">
        <v>0</v>
      </c>
      <c r="M27" s="5" t="str">
        <v>{"gamma_gas":0.6,"gamma_oil":0.86,"gamma_wat":1.1,"rsb_m3m3":120,"pb_atma":130,"t_res_C":80,"bob_m3m3":1.2,"muob_cP":0.6,"PVT_corr_set":0,"q_liq_sm3day":170.15,"fw_perc":10,"rp_m3m3":120}</v>
      </c>
      <c r="N27" s="5" t="str">
        <v>{"gamma_gas":0.6,"gamma_oil":0.86,"gamma_wat":1.1,"rsb_m3m3":108.278,"pb_atma":120.13,"t_res_C":80,"bob_m3m3":1.182,"muob_cP":0.632,"PVT_corr_set":0,"q_liq_sm3day":340.3,"fw_perc":10,"rp_m3m3":108.278}</v>
      </c>
      <c r="O27" s="5" t="str">
        <v>{"gamma_gas":0.6,"gamma_oil":0.86,"gamma_wat":1.1,"rsb_m3m3":6.526,"pb_atma":11.571,"t_res_C":80,"bob_m3m3":1.04,"muob_cP":2.111,"PVT_corr_set":0,"q_liq_sm3day":0,"fw_perc":0,"rp_m3m3":7.661}</v>
      </c>
      <c r="P27" s="5">
        <v>-7953.0540000000001</v>
      </c>
      <c r="Q27" s="5">
        <v>-402.94499999999999</v>
      </c>
      <c r="R27" s="5" t="str">
        <v>{"gamma_gas":0.6,"gamma_oil":0.86,"gamma_wat":1.1,"rsb_m3m3":108.278,"pb_atma":120.13,"t_res_C":80,"bob_m3m3":1.182,"muob_cP":0.632,"PVT_corr_set":0,"q_liq_sm3day":340.3,"fw_perc":10,"rp_m3m3":108.278}</v>
      </c>
      <c r="S27" t="s">
        <v>58</v>
      </c>
      <c r="T27" cm="1">
        <f t="array" ref="T27">[1]!feed_gas_fraction_d($I$3,$I$4,I27)</f>
        <v>0.55350477167797996</v>
      </c>
      <c r="U27" cm="1">
        <f t="array" ref="U27">[1]!feed_gas_fraction_d($I$3,$I$4,N27)</f>
        <v>0.512508622496747</v>
      </c>
      <c r="V27" cm="1">
        <f t="array" ref="V27">[1]!feed_gas_fraction_d($I$3,$I$4,R27)</f>
        <v>0.512508622496747</v>
      </c>
    </row>
    <row r="28" spans="2:22" x14ac:dyDescent="0.25">
      <c r="H28" s="5">
        <v>180.1</v>
      </c>
      <c r="I28" s="5" t="str">
        <f>[1]!encode_feed($H$28,,,,$I$5)</f>
        <v>{"gamma_gas":0.6,"gamma_oil":0.86,"gamma_wat":1.1,"rsb_m3m3":120,"pb_atma":130,"t_res_C":80,"bob_m3m3":1.2,"muob_cP":0.6,"PVT_corr_set":0,"q_liq_sm3day":180.1,"fw_perc":10,"rp_m3m3":120}</v>
      </c>
      <c r="J28" s="5">
        <f t="array" ref="J28:R28">[1]!well_ksep_full_d($I$3,$I$4,$I$28,$I$6,$I$7)</f>
        <v>0.29799999999999999</v>
      </c>
      <c r="K28" s="5">
        <v>0.29799999999999999</v>
      </c>
      <c r="L28" s="5">
        <v>0</v>
      </c>
      <c r="M28" s="5" t="str">
        <v>{"gamma_gas":0.6,"gamma_oil":0.86,"gamma_wat":1.1,"rsb_m3m3":120,"pb_atma":130,"t_res_C":80,"bob_m3m3":1.2,"muob_cP":0.6,"PVT_corr_set":0,"q_liq_sm3day":180.1,"fw_perc":10,"rp_m3m3":120}</v>
      </c>
      <c r="N28" s="5" t="str">
        <v>{"gamma_gas":0.6,"gamma_oil":0.86,"gamma_wat":1.1,"rsb_m3m3":108.508,"pb_atma":120.347,"t_res_C":80,"bob_m3m3":1.182,"muob_cP":0.631,"PVT_corr_set":0,"q_liq_sm3day":360.2,"fw_perc":10,"rp_m3m3":108.508}</v>
      </c>
      <c r="O28" s="5" t="str">
        <v>{"gamma_gas":0.6,"gamma_oil":0.86,"gamma_wat":1.1,"rsb_m3m3":6.526,"pb_atma":11.571,"t_res_C":80,"bob_m3m3":1.04,"muob_cP":2.111,"PVT_corr_set":0,"q_liq_sm3day":0,"fw_perc":0,"rp_m3m3":7.661}</v>
      </c>
      <c r="P28" s="5">
        <v>-8493.4290000000001</v>
      </c>
      <c r="Q28" s="5">
        <v>-426.50799999999998</v>
      </c>
      <c r="R28" s="5" t="str">
        <v>{"gamma_gas":0.6,"gamma_oil":0.86,"gamma_wat":1.1,"rsb_m3m3":108.508,"pb_atma":120.347,"t_res_C":80,"bob_m3m3":1.182,"muob_cP":0.631,"PVT_corr_set":0,"q_liq_sm3day":360.2,"fw_perc":10,"rp_m3m3":108.508}</v>
      </c>
      <c r="S28" t="s">
        <v>58</v>
      </c>
      <c r="T28" cm="1">
        <f t="array" ref="T28">[1]!feed_gas_fraction_d($I$3,$I$4,I28)</f>
        <v>0.55350477167798007</v>
      </c>
      <c r="U28" cm="1">
        <f t="array" ref="U28">[1]!feed_gas_fraction_d($I$3,$I$4,N28)</f>
        <v>0.513450629685963</v>
      </c>
      <c r="V28" cm="1">
        <f t="array" ref="V28">[1]!feed_gas_fraction_d($I$3,$I$4,R28)</f>
        <v>0.513450629685963</v>
      </c>
    </row>
    <row r="29" spans="2:22" x14ac:dyDescent="0.25">
      <c r="H29" s="5">
        <v>190.05</v>
      </c>
      <c r="I29" s="5" t="str">
        <f>[1]!encode_feed($H$29,,,,$I$5)</f>
        <v>{"gamma_gas":0.6,"gamma_oil":0.86,"gamma_wat":1.1,"rsb_m3m3":120,"pb_atma":130,"t_res_C":80,"bob_m3m3":1.2,"muob_cP":0.6,"PVT_corr_set":0,"q_liq_sm3day":190.05,"fw_perc":10,"rp_m3m3":120}</v>
      </c>
      <c r="J29" s="5">
        <f t="array" ref="J29:R29">[1]!well_ksep_full_d($I$3,$I$4,$I$29,$I$6,$I$7)</f>
        <v>0.29199999999999998</v>
      </c>
      <c r="K29" s="5">
        <v>0.29199999999999998</v>
      </c>
      <c r="L29" s="5">
        <v>0</v>
      </c>
      <c r="M29" s="5" t="str">
        <v>{"gamma_gas":0.6,"gamma_oil":0.86,"gamma_wat":1.1,"rsb_m3m3":120,"pb_atma":130,"t_res_C":80,"bob_m3m3":1.2,"muob_cP":0.6,"PVT_corr_set":0,"q_liq_sm3day":190.05,"fw_perc":10,"rp_m3m3":120}</v>
      </c>
      <c r="N29" s="5" t="str">
        <v>{"gamma_gas":0.6,"gamma_oil":0.86,"gamma_wat":1.1,"rsb_m3m3":108.708,"pb_atma":120.535,"t_res_C":80,"bob_m3m3":1.183,"muob_cP":0.631,"PVT_corr_set":0,"q_liq_sm3day":380.1,"fw_perc":10,"rp_m3m3":108.708}</v>
      </c>
      <c r="O29" s="5" t="str">
        <v>{"gamma_gas":0.6,"gamma_oil":0.86,"gamma_wat":1.1,"rsb_m3m3":6.526,"pb_atma":11.571,"t_res_C":80,"bob_m3m3":1.04,"muob_cP":2.111,"PVT_corr_set":0,"q_liq_sm3day":0,"fw_perc":0,"rp_m3m3":7.661}</v>
      </c>
      <c r="P29" s="5">
        <v>-9031.607</v>
      </c>
      <c r="Q29" s="5">
        <v>-450.07100000000003</v>
      </c>
      <c r="R29" s="5" t="str">
        <v>{"gamma_gas":0.6,"gamma_oil":0.86,"gamma_wat":1.1,"rsb_m3m3":108.708,"pb_atma":120.535,"t_res_C":80,"bob_m3m3":1.183,"muob_cP":0.631,"PVT_corr_set":0,"q_liq_sm3day":380.1,"fw_perc":10,"rp_m3m3":108.708}</v>
      </c>
      <c r="S29" t="s">
        <v>58</v>
      </c>
      <c r="T29" cm="1">
        <f t="array" ref="T29">[1]!feed_gas_fraction_d($I$3,$I$4,I29)</f>
        <v>0.55350477167798007</v>
      </c>
      <c r="U29" cm="1">
        <f t="array" ref="U29">[1]!feed_gas_fraction_d($I$3,$I$4,N29)</f>
        <v>0.51419031206811949</v>
      </c>
      <c r="V29" cm="1">
        <f t="array" ref="V29">[1]!feed_gas_fraction_d($I$3,$I$4,R29)</f>
        <v>0.51419031206811949</v>
      </c>
    </row>
    <row r="30" spans="2:22" x14ac:dyDescent="0.25">
      <c r="H30" s="5">
        <v>200</v>
      </c>
      <c r="I30" s="5" t="str">
        <f>[1]!encode_feed($H$30,,,,$I$5)</f>
        <v>{"gamma_gas":0.6,"gamma_oil":0.86,"gamma_wat":1.1,"rsb_m3m3":120,"pb_atma":130,"t_res_C":80,"bob_m3m3":1.2,"muob_cP":0.6,"PVT_corr_set":0,"q_liq_sm3day":200,"fw_perc":10,"rp_m3m3":120}</v>
      </c>
      <c r="J30" s="5">
        <f t="array" ref="J30:R31">[1]!well_ksep_full_d($I$3,$I$4,$I$30,$I$6,$I$7)</f>
        <v>0.28799999999999998</v>
      </c>
      <c r="K30" s="5">
        <v>0.28799999999999998</v>
      </c>
      <c r="L30" s="5">
        <v>0</v>
      </c>
      <c r="M30" s="5" t="str">
        <v>{"gamma_gas":0.6,"gamma_oil":0.86,"gamma_wat":1.1,"rsb_m3m3":120,"pb_atma":130,"t_res_C":80,"bob_m3m3":1.2,"muob_cP":0.6,"PVT_corr_set":0,"q_liq_sm3day":200,"fw_perc":10,"rp_m3m3":120}</v>
      </c>
      <c r="N30" s="5" t="str">
        <v>{"gamma_gas":0.6,"gamma_oil":0.86,"gamma_wat":1.1,"rsb_m3m3":108.884,"pb_atma":120.702,"t_res_C":80,"bob_m3m3":1.183,"muob_cP":0.63,"PVT_corr_set":0,"q_liq_sm3day":400,"fw_perc":10,"rp_m3m3":108.884}</v>
      </c>
      <c r="O30" s="5" t="str">
        <v>{"gamma_gas":0.6,"gamma_oil":0.86,"gamma_wat":1.1,"rsb_m3m3":6.526,"pb_atma":11.571,"t_res_C":80,"bob_m3m3":1.04,"muob_cP":2.111,"PVT_corr_set":0,"q_liq_sm3day":0,"fw_perc":0,"rp_m3m3":7.661}</v>
      </c>
      <c r="P30" s="5">
        <v>-9568.7350000000006</v>
      </c>
      <c r="Q30" s="5">
        <v>-473.63499999999999</v>
      </c>
      <c r="R30" s="5" t="str">
        <v>{"gamma_gas":0.6,"gamma_oil":0.86,"gamma_wat":1.1,"rsb_m3m3":108.884,"pb_atma":120.702,"t_res_C":80,"bob_m3m3":1.183,"muob_cP":0.63,"PVT_corr_set":0,"q_liq_sm3day":400,"fw_perc":10,"rp_m3m3":108.884}</v>
      </c>
      <c r="S30" t="s">
        <v>58</v>
      </c>
      <c r="T30" cm="1">
        <f t="array" ref="T30">[1]!feed_gas_fraction_d($I$3,$I$4,I30)</f>
        <v>0.55350477167798007</v>
      </c>
      <c r="U30" cm="1">
        <f t="array" ref="U30">[1]!feed_gas_fraction_d($I$3,$I$4,N30)</f>
        <v>0.51490847339588086</v>
      </c>
      <c r="V30" cm="1">
        <f t="array" ref="V30">[1]!feed_gas_fraction_d($I$3,$I$4,R30)</f>
        <v>0.51490847339588086</v>
      </c>
    </row>
    <row r="31" spans="2:22" x14ac:dyDescent="0.25">
      <c r="H31" s="5"/>
      <c r="I31" s="5"/>
      <c r="J31" s="5" t="str">
        <v>ksep_total_fr</v>
      </c>
      <c r="K31" s="5" t="str">
        <v>ksep_nat_fr</v>
      </c>
      <c r="L31" s="5" t="str">
        <v>ksep_gassep_fr</v>
      </c>
      <c r="M31" s="5" t="str">
        <v>fluid</v>
      </c>
      <c r="N31" s="5" t="str">
        <v>fluid_tub</v>
      </c>
      <c r="O31" s="5" t="str">
        <v>fluid_cas</v>
      </c>
      <c r="P31" s="5" t="str">
        <v>q_gas_annulus_after_full_sep_sm3day</v>
      </c>
      <c r="Q31" s="5" t="str">
        <v>q_cas_rc_m3day</v>
      </c>
      <c r="R31" s="5" t="str">
        <v>fluid_gs</v>
      </c>
      <c r="S31" t="s">
        <v>58</v>
      </c>
    </row>
    <row r="34" spans="5:14" x14ac:dyDescent="0.25">
      <c r="E34" s="1" t="s">
        <v>16</v>
      </c>
      <c r="F34" s="2">
        <v>50</v>
      </c>
    </row>
    <row r="35" spans="5:14" x14ac:dyDescent="0.25">
      <c r="E35" s="1" t="s">
        <v>17</v>
      </c>
      <c r="F35" s="2">
        <v>40</v>
      </c>
    </row>
    <row r="36" spans="5:14" x14ac:dyDescent="0.25">
      <c r="E36" s="1" t="s">
        <v>14</v>
      </c>
      <c r="F36" s="2" t="str">
        <f>feed_json_1</f>
        <v>{"gamma_gas":0.6,"gamma_oil":0.86,"gamma_wat":1.1,"rsb_m3m3":120,"pb_atma":130,"t_res_C":80,"bob_m3m3":1.2,"muob_cP":0.6,"PVT_corr_set":0,"q_liq_sm3day":30,"fw_perc":10,"rp_m3m3":120}</v>
      </c>
    </row>
    <row r="37" spans="5:14" x14ac:dyDescent="0.25">
      <c r="E37" s="1" t="s">
        <v>32</v>
      </c>
      <c r="F37" s="2" t="str">
        <f>gas_separation_json</f>
        <v>{"calc_mode":"by_correlation","natsep_model":0,"d_intake_mm":92,"d_cas_mm":125,"d_tub_mm":72,"pkv_period_ratio":0.5,"gassep_type":-1,"gassep_qnom_sm3day":200,"param":{"show_array":1,"gas_goes_into_solution":1,"calibr_li":2}}</v>
      </c>
    </row>
    <row r="38" spans="5:14" x14ac:dyDescent="0.25">
      <c r="E38" s="1" t="s">
        <v>33</v>
      </c>
      <c r="F38" s="2">
        <v>50</v>
      </c>
    </row>
    <row r="39" spans="5:14" x14ac:dyDescent="0.25">
      <c r="E39" s="1" t="s">
        <v>56</v>
      </c>
      <c r="F39" s="2">
        <v>0</v>
      </c>
    </row>
    <row r="40" spans="5:14" x14ac:dyDescent="0.25">
      <c r="E40" t="s">
        <v>57</v>
      </c>
      <c r="F40" s="3">
        <f t="array" ref="F40:N41">[1]!well_ksep_full_d(F34,F35,F36,F37,F38,F39)</f>
        <v>0.90600000000000003</v>
      </c>
      <c r="G40" s="3">
        <v>0.66500000000000004</v>
      </c>
      <c r="H40" s="3">
        <v>0.71899999999999997</v>
      </c>
      <c r="I40" s="3" t="str">
        <v>{"gamma_gas":0.6,"gamma_oil":0.86,"gamma_wat":1.1,"rsb_m3m3":120,"pb_atma":130,"t_res_C":80,"bob_m3m3":1.2,"muob_cP":0.6,"PVT_corr_set":0,"q_liq_sm3day":30,"fw_perc":10,"rp_m3m3":120}</v>
      </c>
      <c r="J40" s="3" t="str">
        <v>{"gamma_gas":0.6,"gamma_oil":0.86,"gamma_wat":1.1,"rsb_m3m3":48.89,"pb_atma":62.067,"t_res_C":80,"bob_m3m3":1.096,"muob_cP":1.021,"PVT_corr_set":0,"q_liq_sm3day":60,"fw_perc":10,"rp_m3m3":48.89}</v>
      </c>
      <c r="K40" s="3" t="str">
        <v>{"gamma_gas":0.6,"gamma_oil":0.86,"gamma_wat":1.1,"rsb_m3m3":6.526,"pb_atma":11.571,"t_res_C":80,"bob_m3m3":1.04,"muob_cP":2.111,"PVT_corr_set":0,"q_liq_sm3day":0,"fw_perc":0,"rp_m3m3":7.661,"q_gas_free_sm3day":1805.899}</v>
      </c>
      <c r="L40" s="3">
        <v>1805.8989999999999</v>
      </c>
      <c r="M40" s="3">
        <v>3.51</v>
      </c>
      <c r="N40" s="3" t="str">
        <v>{"gamma_gas":0.6,"gamma_oil":0.86,"gamma_wat":1.1,"rsb_m3m3":58.201,"pb_atma":71.386,"t_res_C":80,"bob_m3m3":1.109,"muob_cP":0.93,"PVT_corr_set":0,"q_liq_sm3day":60,"fw_perc":10,"rp_m3m3":58.201}</v>
      </c>
    </row>
    <row r="41" spans="5:14" x14ac:dyDescent="0.25">
      <c r="F41" s="3" t="str">
        <v>ksep_total_fr</v>
      </c>
      <c r="G41" s="3" t="str">
        <v>ksep_nat_fr</v>
      </c>
      <c r="H41" s="3" t="str">
        <v>ksep_gassep_fr</v>
      </c>
      <c r="I41" s="3" t="str">
        <v>fluid</v>
      </c>
      <c r="J41" s="3" t="str">
        <v>fluid_tub</v>
      </c>
      <c r="K41" s="3" t="str">
        <v>fluid_cas</v>
      </c>
      <c r="L41" s="3" t="str">
        <v>q_gas_annulus_after_full_sep_sm3day</v>
      </c>
      <c r="M41" s="3" t="str">
        <v>q_cas_rc_m3day</v>
      </c>
      <c r="N41" s="3" t="str">
        <v>fluid_gs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6952-8512-4B85-BDB2-56CC06FF34D9}">
  <sheetPr codeName="Лист2"/>
  <dimension ref="B4:E36"/>
  <sheetViews>
    <sheetView workbookViewId="0">
      <selection activeCell="B4" sqref="B4"/>
    </sheetView>
  </sheetViews>
  <sheetFormatPr defaultRowHeight="15" x14ac:dyDescent="0.25"/>
  <sheetData>
    <row r="4" spans="2:5" x14ac:dyDescent="0.25">
      <c r="B4" s="1" t="s">
        <v>28</v>
      </c>
      <c r="C4" s="2">
        <v>1</v>
      </c>
    </row>
    <row r="5" spans="2:5" x14ac:dyDescent="0.25">
      <c r="B5" s="1" t="s">
        <v>36</v>
      </c>
      <c r="C5" s="2">
        <v>0.4</v>
      </c>
    </row>
    <row r="6" spans="2:5" x14ac:dyDescent="0.25">
      <c r="B6" s="1" t="s">
        <v>10</v>
      </c>
      <c r="C6" s="2">
        <v>50</v>
      </c>
    </row>
    <row r="7" spans="2:5" x14ac:dyDescent="0.25">
      <c r="B7" s="1" t="s">
        <v>37</v>
      </c>
      <c r="C7" s="2">
        <v>50</v>
      </c>
    </row>
    <row r="8" spans="2:5" x14ac:dyDescent="0.25">
      <c r="B8" s="1" t="s">
        <v>38</v>
      </c>
      <c r="C8" s="2" t="str">
        <f>[1]!ESP_gassep_name(C4)</f>
        <v>GDNK5</v>
      </c>
    </row>
    <row r="9" spans="2:5" x14ac:dyDescent="0.25">
      <c r="B9" s="1" t="s">
        <v>39</v>
      </c>
      <c r="C9" s="2">
        <v>1</v>
      </c>
    </row>
    <row r="10" spans="2:5" x14ac:dyDescent="0.25">
      <c r="B10" s="1" t="s">
        <v>40</v>
      </c>
      <c r="C10" s="2">
        <v>500</v>
      </c>
    </row>
    <row r="11" spans="2:5" x14ac:dyDescent="0.25">
      <c r="B11" s="1" t="s">
        <v>41</v>
      </c>
      <c r="C11" s="2">
        <v>0</v>
      </c>
    </row>
    <row r="12" spans="2:5" x14ac:dyDescent="0.25">
      <c r="B12" s="1" t="s">
        <v>42</v>
      </c>
      <c r="C12" s="2">
        <v>1</v>
      </c>
    </row>
    <row r="13" spans="2:5" x14ac:dyDescent="0.25">
      <c r="B13" s="1" t="s">
        <v>35</v>
      </c>
      <c r="C13" s="2" t="str">
        <f>[1]!encode_linspace(C9,C10,20)</f>
        <v>[1,25.95,50.9,75.85,100.8,125.75,150.7,175.65,200.6,225.55,250.5,275.45,300.4,325.35,350.3,375.25,400.2,425.15,450.1,475.05,500]</v>
      </c>
    </row>
    <row r="14" spans="2:5" x14ac:dyDescent="0.25">
      <c r="B14" s="1" t="s">
        <v>43</v>
      </c>
      <c r="C14" s="2" t="str">
        <f>[1]!encode_linspace(C11,C12,20)</f>
        <v>[0,0.05,0.1,0.15,0.2,0.25,0.3,0.35,0.4,0.45,0.5,0.55,0.6,0.65,0.7,0.75,0.8,0.85,0.9,0.95,1]</v>
      </c>
    </row>
    <row r="15" spans="2:5" x14ac:dyDescent="0.25">
      <c r="B15" s="1" t="s">
        <v>44</v>
      </c>
      <c r="C15" s="2" t="s">
        <v>45</v>
      </c>
      <c r="D15" t="s">
        <v>46</v>
      </c>
      <c r="E15" t="s">
        <v>45</v>
      </c>
    </row>
    <row r="16" spans="2:5" x14ac:dyDescent="0.25">
      <c r="B16">
        <f t="array" ref="B16:B36">[1]!decode_json(C13)</f>
        <v>1</v>
      </c>
      <c r="C16">
        <f>[1]!ESP_gassep_ksep_d($C$4,$C$5,$B$16,$C$7)</f>
        <v>0.87729593517583992</v>
      </c>
      <c r="D16">
        <f t="array" ref="D16:D36">[1]!decode_json(C14)</f>
        <v>0</v>
      </c>
      <c r="E16">
        <f>[1]!ESP_gassep_ksep_d($C$4,$D$16,$C$6,$C$7)</f>
        <v>0</v>
      </c>
    </row>
    <row r="17" spans="2:5" x14ac:dyDescent="0.25">
      <c r="B17">
        <v>25.95</v>
      </c>
      <c r="C17">
        <f>[1]!ESP_gassep_ksep_d($C$4,$C$5,$B$17,$C$7)</f>
        <v>0.88428193099891061</v>
      </c>
      <c r="D17">
        <v>0.05</v>
      </c>
      <c r="E17">
        <f>[1]!ESP_gassep_ksep_d($C$4,$D$17,$C$6,$C$7)</f>
        <v>0.6298457675247221</v>
      </c>
    </row>
    <row r="18" spans="2:5" x14ac:dyDescent="0.25">
      <c r="B18">
        <v>50.9</v>
      </c>
      <c r="C18">
        <f>[1]!ESP_gassep_ksep_d($C$4,$C$5,$B$18,$C$7)</f>
        <v>0.87615094196922993</v>
      </c>
      <c r="D18">
        <v>0.1</v>
      </c>
      <c r="E18">
        <f>[1]!ESP_gassep_ksep_d($C$4,$D$18,$C$6,$C$7)</f>
        <v>0.68898442009600003</v>
      </c>
    </row>
    <row r="19" spans="2:5" x14ac:dyDescent="0.25">
      <c r="B19">
        <v>75.849999999999994</v>
      </c>
      <c r="C19">
        <f>[1]!ESP_gassep_ksep_d($C$4,$C$5,$B$19,$C$7)</f>
        <v>0.85841925945936748</v>
      </c>
      <c r="D19">
        <v>0.15</v>
      </c>
      <c r="E19">
        <f>[1]!ESP_gassep_ksep_d($C$4,$D$19,$C$6,$C$7)</f>
        <v>0.73791840316599999</v>
      </c>
    </row>
    <row r="20" spans="2:5" x14ac:dyDescent="0.25">
      <c r="B20">
        <v>100.8</v>
      </c>
      <c r="C20">
        <f>[1]!ESP_gassep_ksep_d($C$4,$C$5,$B$20,$C$7)</f>
        <v>0.83587912237352002</v>
      </c>
      <c r="D20">
        <v>0.2</v>
      </c>
      <c r="E20">
        <f>[1]!ESP_gassep_ksep_d($C$4,$D$20,$C$6,$C$7)</f>
        <v>0.78649188018600003</v>
      </c>
    </row>
    <row r="21" spans="2:5" x14ac:dyDescent="0.25">
      <c r="B21">
        <v>125.75</v>
      </c>
      <c r="C21">
        <f>[1]!ESP_gassep_ksep_d($C$4,$C$5,$B$21,$C$7)</f>
        <v>0.80853053071168746</v>
      </c>
      <c r="D21">
        <v>0.25</v>
      </c>
      <c r="E21">
        <f>[1]!ESP_gassep_ksep_d($C$4,$D$21,$C$6,$C$7)</f>
        <v>0.82869092890600005</v>
      </c>
    </row>
    <row r="22" spans="2:5" x14ac:dyDescent="0.25">
      <c r="B22">
        <v>150.69999999999999</v>
      </c>
      <c r="C22">
        <f>[1]!ESP_gassep_ksep_d($C$4,$C$5,$B$22,$C$7)</f>
        <v>0.77637348447387</v>
      </c>
      <c r="D22">
        <v>0.3</v>
      </c>
      <c r="E22">
        <f>[1]!ESP_gassep_ksep_d($C$4,$D$22,$C$6,$C$7)</f>
        <v>0.85982152207599993</v>
      </c>
    </row>
    <row r="23" spans="2:5" x14ac:dyDescent="0.25">
      <c r="B23">
        <v>175.65</v>
      </c>
      <c r="C23">
        <f>[1]!ESP_gassep_ksep_d($C$4,$C$5,$B$23,$C$7)</f>
        <v>0.73940798366006744</v>
      </c>
      <c r="D23">
        <v>0.35</v>
      </c>
      <c r="E23">
        <f>[1]!ESP_gassep_ksep_d($C$4,$D$23,$C$6,$C$7)</f>
        <v>0.87650952744600008</v>
      </c>
    </row>
    <row r="24" spans="2:5" x14ac:dyDescent="0.25">
      <c r="B24">
        <v>200.6</v>
      </c>
      <c r="C24">
        <f>[1]!ESP_gassep_ksep_d($C$4,$C$5,$B$24,$C$7)</f>
        <v>0.6975761453613416</v>
      </c>
      <c r="D24">
        <v>0.4</v>
      </c>
      <c r="E24">
        <f>[1]!ESP_gassep_ksep_d($C$4,$D$24,$C$6,$C$7)</f>
        <v>0.87670070776599995</v>
      </c>
    </row>
    <row r="25" spans="2:5" x14ac:dyDescent="0.25">
      <c r="B25">
        <v>225.55</v>
      </c>
      <c r="C25">
        <f>[1]!ESP_gassep_ksep_d($C$4,$C$5,$B$25,$C$7)</f>
        <v>0.54609020813120079</v>
      </c>
      <c r="D25">
        <v>0.45</v>
      </c>
      <c r="E25">
        <f>[1]!ESP_gassep_ksep_d($C$4,$D$25,$C$6,$C$7)</f>
        <v>0.85966072078600009</v>
      </c>
    </row>
    <row r="26" spans="2:5" x14ac:dyDescent="0.25">
      <c r="B26">
        <v>250.5</v>
      </c>
      <c r="C26">
        <f>[1]!ESP_gassep_ksep_d($C$4,$C$5,$B$26,$C$7)</f>
        <v>0.18961661898312512</v>
      </c>
      <c r="D26">
        <v>0.5</v>
      </c>
      <c r="E26">
        <f>[1]!ESP_gassep_ksep_d($C$4,$D$26,$C$6,$C$7)</f>
        <v>0.82597511925599998</v>
      </c>
    </row>
    <row r="27" spans="2:5" x14ac:dyDescent="0.25">
      <c r="B27">
        <v>275.45</v>
      </c>
      <c r="C27">
        <f>[1]!ESP_gassep_ksep_d($C$4,$C$5,$B$27,$C$7)</f>
        <v>0</v>
      </c>
      <c r="D27">
        <v>0.55000000000000004</v>
      </c>
      <c r="E27">
        <f>[1]!ESP_gassep_ksep_d($C$4,$D$27,$C$6,$C$7)</f>
        <v>0.77754935092600019</v>
      </c>
    </row>
    <row r="28" spans="2:5" x14ac:dyDescent="0.25">
      <c r="B28">
        <v>300.39999999999998</v>
      </c>
      <c r="C28">
        <f>[1]!ESP_gassep_ksep_d($C$4,$C$5,$B$28,$C$7)</f>
        <v>0</v>
      </c>
      <c r="D28">
        <v>0.6</v>
      </c>
      <c r="E28">
        <f>[1]!ESP_gassep_ksep_d($C$4,$D$28,$C$6,$C$7)</f>
        <v>0.71760875854600004</v>
      </c>
    </row>
    <row r="29" spans="2:5" x14ac:dyDescent="0.25">
      <c r="B29">
        <v>325.35000000000002</v>
      </c>
      <c r="C29">
        <f>[1]!ESP_gassep_ksep_d($C$4,$C$5,$B$29,$C$7)</f>
        <v>0</v>
      </c>
      <c r="D29">
        <v>0.65</v>
      </c>
      <c r="E29">
        <f>[1]!ESP_gassep_ksep_d($C$4,$D$29,$C$6,$C$7)</f>
        <v>0.6506985798660001</v>
      </c>
    </row>
    <row r="30" spans="2:5" x14ac:dyDescent="0.25">
      <c r="B30">
        <v>350.3</v>
      </c>
      <c r="C30">
        <f>[1]!ESP_gassep_ksep_d($C$4,$C$5,$B$30,$C$7)</f>
        <v>0</v>
      </c>
      <c r="D30">
        <v>0.7</v>
      </c>
      <c r="E30">
        <f>[1]!ESP_gassep_ksep_d($C$4,$D$30,$C$6,$C$7)</f>
        <v>0.58268394763600018</v>
      </c>
    </row>
    <row r="31" spans="2:5" x14ac:dyDescent="0.25">
      <c r="B31">
        <v>375.25</v>
      </c>
      <c r="C31">
        <f>[1]!ESP_gassep_ksep_d($C$4,$C$5,$B$31,$C$7)</f>
        <v>0</v>
      </c>
      <c r="D31">
        <v>0.75</v>
      </c>
      <c r="E31">
        <f>[1]!ESP_gassep_ksep_d($C$4,$D$31,$C$6,$C$7)</f>
        <v>0.52074988960600022</v>
      </c>
    </row>
    <row r="32" spans="2:5" x14ac:dyDescent="0.25">
      <c r="B32">
        <v>400.2</v>
      </c>
      <c r="C32">
        <f>[1]!ESP_gassep_ksep_d($C$4,$C$5,$B$32,$C$7)</f>
        <v>0</v>
      </c>
      <c r="D32">
        <v>0.8</v>
      </c>
      <c r="E32">
        <f>[1]!ESP_gassep_ksep_d($C$4,$D$32,$C$6,$C$7)</f>
        <v>0.47340132852600031</v>
      </c>
    </row>
    <row r="33" spans="2:5" x14ac:dyDescent="0.25">
      <c r="B33">
        <v>425.15</v>
      </c>
      <c r="C33">
        <f>[1]!ESP_gassep_ksep_d($C$4,$C$5,$B$33,$C$7)</f>
        <v>0</v>
      </c>
      <c r="D33">
        <v>0.85</v>
      </c>
      <c r="E33">
        <f>[1]!ESP_gassep_ksep_d($C$4,$D$33,$C$6,$C$7)</f>
        <v>0.42574987164025058</v>
      </c>
    </row>
    <row r="34" spans="2:5" x14ac:dyDescent="0.25">
      <c r="B34">
        <v>450.1</v>
      </c>
      <c r="C34">
        <f>[1]!ESP_gassep_ksep_d($C$4,$C$5,$B$34,$C$7)</f>
        <v>0</v>
      </c>
      <c r="D34">
        <v>0.9</v>
      </c>
      <c r="E34">
        <f>[1]!ESP_gassep_ksep_d($C$4,$D$34,$C$6,$C$7)</f>
        <v>0.3317016299906379</v>
      </c>
    </row>
    <row r="35" spans="2:5" x14ac:dyDescent="0.25">
      <c r="B35">
        <v>475.05</v>
      </c>
      <c r="C35">
        <f>[1]!ESP_gassep_ksep_d($C$4,$C$5,$B$35,$C$7)</f>
        <v>0</v>
      </c>
      <c r="D35">
        <v>0.95</v>
      </c>
      <c r="E35">
        <f>[1]!ESP_gassep_ksep_d($C$4,$D$35,$C$6,$C$7)</f>
        <v>0.18978500611055438</v>
      </c>
    </row>
    <row r="36" spans="2:5" x14ac:dyDescent="0.25">
      <c r="B36">
        <v>500</v>
      </c>
      <c r="C36">
        <f>[1]!ESP_gassep_ksep_d($C$4,$C$5,$B$36,$C$7)</f>
        <v>0</v>
      </c>
      <c r="D36">
        <v>1</v>
      </c>
      <c r="E36">
        <f>[1]!ESP_gassep_ksep_d($C$4,$D$36,$C$6,$C$7)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09C0-00FB-4036-B6F8-3AB764A7C516}">
  <sheetPr codeName="Лист3"/>
  <dimension ref="B3:E37"/>
  <sheetViews>
    <sheetView workbookViewId="0">
      <selection activeCell="F46" sqref="F46"/>
    </sheetView>
  </sheetViews>
  <sheetFormatPr defaultRowHeight="15" x14ac:dyDescent="0.25"/>
  <sheetData>
    <row r="3" spans="2:3" x14ac:dyDescent="0.25">
      <c r="B3" s="1" t="s">
        <v>34</v>
      </c>
      <c r="C3" s="2">
        <v>200</v>
      </c>
    </row>
    <row r="4" spans="2:3" x14ac:dyDescent="0.25">
      <c r="B4" s="1" t="s">
        <v>47</v>
      </c>
      <c r="C4" s="2" t="str">
        <f>[1]!encode_linspace(1,C3,20)</f>
        <v>[1,10.95,20.9,30.85,40.8,50.75,60.7,70.65,80.6,90.55,100.5,110.45,120.4,130.35,140.3,150.25,160.2,170.15,180.1,190.05,200]</v>
      </c>
    </row>
    <row r="5" spans="2:3" x14ac:dyDescent="0.25">
      <c r="B5" s="1" t="s">
        <v>14</v>
      </c>
      <c r="C5" s="2" t="str">
        <f>[1]!encode_feed_list(C4)</f>
        <v>[{"gamma_gas":0.6,"gamma_oil":0.86,"gamma_wat":1,"rsb_m3m3":100,"q_liq_sm3day":1},{"gamma_gas":0.6,"gamma_oil":0.86,"gamma_wat":1,"rsb_m3m3":100,"q_liq_sm3day":10.95},{"gamma_gas":0.6,"gamma_oil":0.86,"gamma_wat":1,"rsb_m3m3":100,"q_liq_sm3day":20.9},{"gamma_gas":0.6,"gamma_oil":0.86,"gamma_wat":1,"rsb_m3m3":100,"q_liq_sm3day":30.85},{"gamma_gas":0.6,"gamma_oil":0.86,"gamma_wat":1,"rsb_m3m3":100,"q_liq_sm3day":40.8},{"gamma_gas":0.6,"gamma_oil":0.86,"gamma_wat":1,"rsb_m3m3":100,"q_liq_sm3day":50.75},{"gamma_gas":0.6,"gamma_oil":0.86,"gamma_wat":1,"rsb_m3m3":100,"q_liq_sm3day":60.7},{"gamma_gas":0.6,"gamma_oil":0.86,"gamma_wat":1,"rsb_m3m3":100,"q_liq_sm3day":70.65},{"gamma_gas":0.6,"gamma_oil":0.86,"gamma_wat":1,"rsb_m3m3":100,"q_liq_sm3day":80.6},{"gamma_gas":0.6,"gamma_oil":0.86,"gamma_wat":1,"rsb_m3m3":100,"q_liq_sm3day":90.55},{"gamma_gas":0.6,"gamma_oil":0.86,"gamma_wat":1,"rsb_m3m3":100,"q_liq_sm3day":100.5},{"gamma_gas":0.6,"gamma_oil":0.86,"gamma_wat":1,"rsb_m3m3":100,"q_liq_sm3day":110.45},{"gamma_gas":0.6,"gamma_oil":0.86,"gamma_wat":1,"rsb_m3m3":100,"q_liq_sm3day":120.4},{"gamma_gas":0.6,"gamma_oil":0.86,"gamma_wat":1,"rsb_m3m3":100,"q_liq_sm3day":130.35},{"gamma_gas":0.6,"gamma_oil":0.86,"gamma_wat":1,"rsb_m3m3":100,"q_liq_sm3day":140.3},{"gamma_gas":0.6,"gamma_oil":0.86,"gamma_wat":1,"rsb_m3m3":100,"q_liq_sm3day":150.25},{"gamma_gas":0.6,"gamma_oil":0.86,"gamma_wat":1,"rsb_m3m3":100,"q_liq_sm3day":160.2},{"gamma_gas":0.6,"gamma_oil":0.86,"gamma_wat":1,"rsb_m3m3":100,"q_liq_sm3day":170.15},{"gamma_gas":0.6,"gamma_oil":0.86,"gamma_wat":1,"rsb_m3m3":100,"q_liq_sm3day":180.1},{"gamma_gas":0.6,"gamma_oil":0.86,"gamma_wat":1,"rsb_m3m3":100,"q_liq_sm3day":190.05},{"gamma_gas":0.6,"gamma_oil":0.86,"gamma_wat":1,"rsb_m3m3":100,"q_liq_sm3day":200}]</v>
      </c>
    </row>
    <row r="6" spans="2:3" x14ac:dyDescent="0.25">
      <c r="B6" s="1" t="s">
        <v>48</v>
      </c>
      <c r="C6" s="2">
        <v>50</v>
      </c>
    </row>
    <row r="7" spans="2:3" x14ac:dyDescent="0.25">
      <c r="B7" s="1" t="s">
        <v>49</v>
      </c>
      <c r="C7" s="2">
        <v>50</v>
      </c>
    </row>
    <row r="8" spans="2:3" x14ac:dyDescent="0.25">
      <c r="B8" s="1" t="s">
        <v>50</v>
      </c>
      <c r="C8" s="2">
        <v>92</v>
      </c>
    </row>
    <row r="9" spans="2:3" x14ac:dyDescent="0.25">
      <c r="B9" s="1" t="s">
        <v>51</v>
      </c>
      <c r="C9" s="2">
        <v>125</v>
      </c>
    </row>
    <row r="10" spans="2:3" x14ac:dyDescent="0.25">
      <c r="B10" s="1" t="s">
        <v>52</v>
      </c>
      <c r="C10" s="2">
        <v>0</v>
      </c>
    </row>
    <row r="11" spans="2:3" x14ac:dyDescent="0.25">
      <c r="B11" s="1" t="s">
        <v>22</v>
      </c>
      <c r="C11" s="2">
        <v>0.5</v>
      </c>
    </row>
    <row r="12" spans="2:3" x14ac:dyDescent="0.25">
      <c r="B12" s="1" t="s">
        <v>26</v>
      </c>
      <c r="C12" s="2">
        <v>0.1</v>
      </c>
    </row>
    <row r="13" spans="2:3" x14ac:dyDescent="0.25">
      <c r="B13" s="1" t="s">
        <v>27</v>
      </c>
      <c r="C13" s="2">
        <v>1</v>
      </c>
    </row>
    <row r="14" spans="2:3" x14ac:dyDescent="0.25">
      <c r="B14" s="1" t="s">
        <v>30</v>
      </c>
      <c r="C14" s="2" t="s">
        <v>53</v>
      </c>
    </row>
    <row r="15" spans="2:3" x14ac:dyDescent="0.25">
      <c r="B15" s="1" t="s">
        <v>54</v>
      </c>
      <c r="C15" s="2" t="str">
        <f>[1]!well_ksep_natural_d(C5,C6,C7,C8,C9,C10,C11,C12,C13,C14)</f>
        <v>{"p_atma":[50,50,50,50,50,50,50,50,50,50,50,50,50,50,50,50,50,50,50,50,50],"t_C":[50,50,50,50,50,50,50,50,50,50,50,50,50,50,50,50,50,50,50,50,50],"feed":[{"gamma_gas":0.6,"gamma_oil":0.86,"gamma_wat":1,"rsb_m3m3":22.764,"pb_atma":61.362,"t_res_C":90,"bob_m3m3":1.115,"muob_cP":1.251,"PVT_corr_set":0,"q_liq_sm3day":1,"fw_perc":0,"rp_m3m3":22.764},{"gamma_gas":0.6,"gamma_oil":0.86,"gamma_wat":1,"rsb_m3m3":28.957,"pb_atma":75.037,"t_res_C":90,"bob_m3m3":1.129,"muob_cP":1.131,"PVT_corr_set":0,"q_liq_sm3day":10.95,"fw_perc":0,"rp_m3m3":28.957},{"gamma_gas":0.6,"gamma_oil":0.86,"gamma_wat":1,"rsb_m3m3":33.91,"pb_atma":85.534,"t_res_C":90,"bob_m3m3":1.14,"muob_cP":1.056,"PVT_corr_set":0,"q_liq_sm3day":20.9,"fw_perc":0,"rp_m3m3":33.91},{"gamma_gas":0.6,"gamma_oil":0.86,"gamma_wat":1,"rsb_m3m3":38.184,"pb_atma":94.422,"t_res_C":90,"bob_m3m3":1.15,"muob_cP":0.999,"PVT_corr_set":0,"q_liq_sm3day":30.85,"fw_perc":0,"rp_m3m3":38.184},{"gamma_gas":0.6,"gamma_oil":0.86,"gamma_wat":1,"rsb_m3m3":41.957,"pb_atma":102.099,"t_res_C":90,"bob_m3m3":1.159,"muob_cP":0.956,"PVT_corr_set":0,"q_liq_sm3day":40.8,"fw_perc":0,"rp_m3m3":41.957},{"gamma_gas":0.6,"gamma_oil":0.86,"gamma_wat":1,"rsb_m3m3":45.327,"pb_atma":108.932,"t_res_C":90,"bob_m3m3":1.167,"muob_cP":0.919,"PVT_corr_set":0,"q_liq_sm3day":50.75,"fw_perc":0,"rp_m3m3":45.327},{"gamma_gas":0.6,"gamma_oil":0.86,"gamma_wat":1,"rsb_m3m3":48.359,"pb_atma":114.898,"t_res_C":90,"bob_m3m3":1.174,"muob_cP":0.892,"PVT_corr_set":0,"q_liq_sm3day":60.7,"fw_perc":0,"rp_m3m3":48.359},{"gamma_gas":0.6,"gamma_oil":0.86,"gamma_wat":1,"rsb_m3m3":49.608,"pb_atma":117.354,"t_res_C":90,"bob_m3m3":1.177,"muob_cP":0.88,"PVT_corr_set":0,"q_liq_sm3day":70.65,"fw_perc":0,"rp_m3m3":49.608},{"gamma_gas":0.6,"gamma_oil":0.86,"gamma_wat":1,"rsb_m3m3":52.037,"pb_atma":122.133,"t_res_C":90,"bob_m3m3":1.183,"muob_cP":0.859,"PVT_corr_set":0,"q_liq_sm3day":80.6,"fw_perc":0,"rp_m3m3":52.037},{"gamma_gas":0.6,"gamma_oil":0.86,"gamma_wat":1,"rsb_m3m3":54.261,"pb_atma":126.495,"t_res_C":90,"bob_m3m3":1.188,"muob_cP":0.839,"PVT_corr_set":0,"q_liq_sm3day":90.55,"fw_perc":0,"rp_m3m3":54.261},{"gamma_gas":0.6,"gamma_oil":0.86,"gamma_wat":1,"rsb_m3m3":56.299,"pb_atma":130.39,"t_res_C":90,"bob_m3m3":1.193,"muob_cP":0.825,"PVT_corr_set":0,"q_liq_sm3day":100.5,"fw_perc":0,"rp_m3m3":56.299},{"gamma_gas":0.6,"gamma_oil":0.86,"gamma_wat":1,"rsb_m3m3":58.171,"pb_atma":133.967,"t_res_C":90,"bob_m3m3":1.198,"muob_cP":0.811,"PVT_corr_set":0,"q_liq_sm3day":110.45,"fw_perc":0,"rp_m3m3":58.171},{"gamma_gas":0.6,"gamma_oil":0.86,"gamma_wat":1,"rsb_m3m3":59.89,"pb_atma":137.253,"t_res_C":90,"bob_m3m3":1.202,"muob_cP":0.799,"PVT_corr_set":0,"q_liq_sm3day":120.4,"fw_perc":0,"rp_m3m3":59.89},{"gamma_gas":0.6,"gamma_oil":0.86,"gamma_wat":1,"rsb_m3m3":61.471,"pb_atma":140.273,"t_res_C":90,"bob_m3m3":1.206,"muob_cP":0.788,"PVT_corr_set":0,"q_liq_sm3day":130.35,"fw_perc":0,"rp_m3m3":61.471},{"gamma_gas":0.6,"gamma_oil":0.86,"gamma_wat":1,"rsb_m3m3":62.925,"pb_atma":143.052,"t_res_C":90,"bob_m3m3":1.209,"muob_cP":0.777,"PVT_corr_set":0,"q_liq_sm3day":140.3,"fw_perc":0,"rp_m3m3":62.925},{"gamma_gas":0.6,"gamma_oil":0.86,"gamma_wat":1,"rsb_m3m3":64.262,"pb_atma":145.565,"t_res_C":90,"bob_m3m3":1.212,"muob_cP":0.769,"PVT_corr_set":0,"q_liq_sm3day":150.25,"fw_perc":0,"rp_m3m3":64.262},{"gamma_gas":0.6,"gamma_oil":0.86,"gamma_wat":1,"rsb_m3m3":65.492,"pb_atma":147.857,"t_res_C":90,"bob_m3m3":1.215,"muob_cP":0.762,"PVT_corr_set":0,"q_liq_sm3day":160.2,"fw_perc":0,"rp_m3m3":65.492},{"gamma_gas":0.6,"gamma_oil":0.86,"gamma_wat":1,"rsb_m3m3":66.623,"pb_atma":149.964,"t_res_C":90,"bob_m3m3":1.218,"muob_cP":0.755,"PVT_corr_set":0,"q_liq_sm3day":170.15,"fw_perc":0,"rp_m3m3":66.623},{"gamma_gas":0.6,"gamma_oil":0.86,"gamma_wat":1,"rsb_m3m3":67.662,"pb_atma":151.901,"t_res_C":90,"bob_m3m3":1.221,"muob_cP":0.749,"PVT_corr_set":0,"q_liq_sm3day":180.1,"fw_perc":0,"rp_m3m3":67.662},{"gamma_gas":0.6,"gamma_oil":0.86,"gamma_wat":1,"rsb_m3m3":68.618,"pb_atma":153.681,"t_res_C":90,"bob_m3m3":1.223,"muob_cP":0.743,"PVT_corr_set":0,"q_liq_sm3day":190.05,"fw_perc":0,"rp_m3m3":68.618},{"gamma_gas":0.6,"gamma_oil":0.86,"gamma_wat":1,"rsb_m3m3":69.495,"pb_atma":155.315,"t_res_C":90,"bob_m3m3":1.225,"muob_cP":0.738,"PVT_corr_set":0,"q_liq_sm3day":200,"fw_perc":0,"rp_m3m3":69.495}],"k_sep":[0.98147,0.90277,0.83983,0.78552,0.73758,0.69476,0.65622,0.64035,0.60948,0.58123,0.55532,0.53154,0.50969,0.4896,0.47113,0.45414,0.43851,0.42414,0.41093,0.39879,0.38764]}</v>
      </c>
    </row>
    <row r="16" spans="2:3" x14ac:dyDescent="0.25">
      <c r="B16" s="1" t="s">
        <v>44</v>
      </c>
      <c r="C16" s="2" t="s">
        <v>55</v>
      </c>
    </row>
    <row r="17" spans="2:5" x14ac:dyDescent="0.25">
      <c r="B17" s="5">
        <f t="array" ref="B17:B37">[1]!decode_json(C4)</f>
        <v>1</v>
      </c>
      <c r="C17" s="5">
        <f t="array" ref="C17:C37">[1]!decode_json([1]!decode_json(C15,,"k_sep",1))</f>
        <v>0.98146999999999995</v>
      </c>
      <c r="D17" s="5" t="str">
        <f t="array" ref="D17:D37">[1]!decode_json([1]!decode_json(C15,,"feed",1))</f>
        <v>{"gamma_gas":0.6,"gamma_oil":0.86,"gamma_wat":1,"rsb_m3m3":22.764,"pb_atma":61.362,"t_res_C":90,"bob_m3m3":1.115,"muob_cP":1.251,"PVT_corr_set":0,"q_liq_sm3day":1,"fw_perc":0,"rp_m3m3":22.764}</v>
      </c>
      <c r="E17" t="s">
        <v>58</v>
      </c>
    </row>
    <row r="18" spans="2:5" x14ac:dyDescent="0.25">
      <c r="B18" s="5">
        <v>10.95</v>
      </c>
      <c r="C18" s="5">
        <v>0.90276999999999996</v>
      </c>
      <c r="D18" s="5" t="str">
        <v>{"gamma_gas":0.6,"gamma_oil":0.86,"gamma_wat":1,"rsb_m3m3":28.957,"pb_atma":75.037,"t_res_C":90,"bob_m3m3":1.129,"muob_cP":1.131,"PVT_corr_set":0,"q_liq_sm3day":10.95,"fw_perc":0,"rp_m3m3":28.957}</v>
      </c>
      <c r="E18" t="s">
        <v>58</v>
      </c>
    </row>
    <row r="19" spans="2:5" x14ac:dyDescent="0.25">
      <c r="B19" s="5">
        <v>20.9</v>
      </c>
      <c r="C19" s="5">
        <v>0.83982999999999997</v>
      </c>
      <c r="D19" s="5" t="str">
        <v>{"gamma_gas":0.6,"gamma_oil":0.86,"gamma_wat":1,"rsb_m3m3":33.91,"pb_atma":85.534,"t_res_C":90,"bob_m3m3":1.14,"muob_cP":1.056,"PVT_corr_set":0,"q_liq_sm3day":20.9,"fw_perc":0,"rp_m3m3":33.91}</v>
      </c>
      <c r="E19" t="s">
        <v>58</v>
      </c>
    </row>
    <row r="20" spans="2:5" x14ac:dyDescent="0.25">
      <c r="B20" s="5">
        <v>30.85</v>
      </c>
      <c r="C20" s="5">
        <v>0.78552</v>
      </c>
      <c r="D20" s="5" t="str">
        <v>{"gamma_gas":0.6,"gamma_oil":0.86,"gamma_wat":1,"rsb_m3m3":38.184,"pb_atma":94.422,"t_res_C":90,"bob_m3m3":1.15,"muob_cP":0.999,"PVT_corr_set":0,"q_liq_sm3day":30.85,"fw_perc":0,"rp_m3m3":38.184}</v>
      </c>
      <c r="E20" t="s">
        <v>58</v>
      </c>
    </row>
    <row r="21" spans="2:5" x14ac:dyDescent="0.25">
      <c r="B21" s="5">
        <v>40.799999999999997</v>
      </c>
      <c r="C21" s="5">
        <v>0.73758000000000001</v>
      </c>
      <c r="D21" s="5" t="str">
        <v>{"gamma_gas":0.6,"gamma_oil":0.86,"gamma_wat":1,"rsb_m3m3":41.957,"pb_atma":102.099,"t_res_C":90,"bob_m3m3":1.159,"muob_cP":0.956,"PVT_corr_set":0,"q_liq_sm3day":40.8,"fw_perc":0,"rp_m3m3":41.957}</v>
      </c>
      <c r="E21" t="s">
        <v>58</v>
      </c>
    </row>
    <row r="22" spans="2:5" x14ac:dyDescent="0.25">
      <c r="B22" s="5">
        <v>50.75</v>
      </c>
      <c r="C22" s="5">
        <v>0.69476000000000004</v>
      </c>
      <c r="D22" s="5" t="str">
        <v>{"gamma_gas":0.6,"gamma_oil":0.86,"gamma_wat":1,"rsb_m3m3":45.327,"pb_atma":108.932,"t_res_C":90,"bob_m3m3":1.167,"muob_cP":0.919,"PVT_corr_set":0,"q_liq_sm3day":50.75,"fw_perc":0,"rp_m3m3":45.327}</v>
      </c>
      <c r="E22" t="s">
        <v>58</v>
      </c>
    </row>
    <row r="23" spans="2:5" x14ac:dyDescent="0.25">
      <c r="B23" s="5">
        <v>60.7</v>
      </c>
      <c r="C23" s="5">
        <v>0.65622000000000003</v>
      </c>
      <c r="D23" s="5" t="str">
        <v>{"gamma_gas":0.6,"gamma_oil":0.86,"gamma_wat":1,"rsb_m3m3":48.359,"pb_atma":114.898,"t_res_C":90,"bob_m3m3":1.174,"muob_cP":0.892,"PVT_corr_set":0,"q_liq_sm3day":60.7,"fw_perc":0,"rp_m3m3":48.359}</v>
      </c>
      <c r="E23" t="s">
        <v>58</v>
      </c>
    </row>
    <row r="24" spans="2:5" x14ac:dyDescent="0.25">
      <c r="B24" s="5">
        <v>70.650000000000006</v>
      </c>
      <c r="C24" s="5">
        <v>0.64034999999999997</v>
      </c>
      <c r="D24" s="5" t="str">
        <v>{"gamma_gas":0.6,"gamma_oil":0.86,"gamma_wat":1,"rsb_m3m3":49.608,"pb_atma":117.354,"t_res_C":90,"bob_m3m3":1.177,"muob_cP":0.88,"PVT_corr_set":0,"q_liq_sm3day":70.65,"fw_perc":0,"rp_m3m3":49.608}</v>
      </c>
      <c r="E24" t="s">
        <v>58</v>
      </c>
    </row>
    <row r="25" spans="2:5" x14ac:dyDescent="0.25">
      <c r="B25" s="5">
        <v>80.599999999999994</v>
      </c>
      <c r="C25" s="5">
        <v>0.60948000000000002</v>
      </c>
      <c r="D25" s="5" t="str">
        <v>{"gamma_gas":0.6,"gamma_oil":0.86,"gamma_wat":1,"rsb_m3m3":52.037,"pb_atma":122.133,"t_res_C":90,"bob_m3m3":1.183,"muob_cP":0.859,"PVT_corr_set":0,"q_liq_sm3day":80.6,"fw_perc":0,"rp_m3m3":52.037}</v>
      </c>
      <c r="E25" t="s">
        <v>58</v>
      </c>
    </row>
    <row r="26" spans="2:5" x14ac:dyDescent="0.25">
      <c r="B26" s="5">
        <v>90.55</v>
      </c>
      <c r="C26" s="5">
        <v>0.58123000000000002</v>
      </c>
      <c r="D26" s="5" t="str">
        <v>{"gamma_gas":0.6,"gamma_oil":0.86,"gamma_wat":1,"rsb_m3m3":54.261,"pb_atma":126.495,"t_res_C":90,"bob_m3m3":1.188,"muob_cP":0.839,"PVT_corr_set":0,"q_liq_sm3day":90.55,"fw_perc":0,"rp_m3m3":54.261}</v>
      </c>
      <c r="E26" t="s">
        <v>58</v>
      </c>
    </row>
    <row r="27" spans="2:5" x14ac:dyDescent="0.25">
      <c r="B27" s="5">
        <v>100.5</v>
      </c>
      <c r="C27" s="5">
        <v>0.55532000000000004</v>
      </c>
      <c r="D27" s="5" t="str">
        <v>{"gamma_gas":0.6,"gamma_oil":0.86,"gamma_wat":1,"rsb_m3m3":56.299,"pb_atma":130.39,"t_res_C":90,"bob_m3m3":1.193,"muob_cP":0.825,"PVT_corr_set":0,"q_liq_sm3day":100.5,"fw_perc":0,"rp_m3m3":56.299}</v>
      </c>
      <c r="E27" t="s">
        <v>58</v>
      </c>
    </row>
    <row r="28" spans="2:5" x14ac:dyDescent="0.25">
      <c r="B28" s="5">
        <v>110.45</v>
      </c>
      <c r="C28" s="5">
        <v>0.53154000000000001</v>
      </c>
      <c r="D28" s="5" t="str">
        <v>{"gamma_gas":0.6,"gamma_oil":0.86,"gamma_wat":1,"rsb_m3m3":58.171,"pb_atma":133.967,"t_res_C":90,"bob_m3m3":1.198,"muob_cP":0.811,"PVT_corr_set":0,"q_liq_sm3day":110.45,"fw_perc":0,"rp_m3m3":58.171}</v>
      </c>
      <c r="E28" t="s">
        <v>58</v>
      </c>
    </row>
    <row r="29" spans="2:5" x14ac:dyDescent="0.25">
      <c r="B29" s="5">
        <v>120.4</v>
      </c>
      <c r="C29" s="5">
        <v>0.50968999999999998</v>
      </c>
      <c r="D29" s="5" t="str">
        <v>{"gamma_gas":0.6,"gamma_oil":0.86,"gamma_wat":1,"rsb_m3m3":59.89,"pb_atma":137.253,"t_res_C":90,"bob_m3m3":1.202,"muob_cP":0.799,"PVT_corr_set":0,"q_liq_sm3day":120.4,"fw_perc":0,"rp_m3m3":59.89}</v>
      </c>
      <c r="E29" t="s">
        <v>58</v>
      </c>
    </row>
    <row r="30" spans="2:5" x14ac:dyDescent="0.25">
      <c r="B30" s="5">
        <v>130.35</v>
      </c>
      <c r="C30" s="5">
        <v>0.48959999999999998</v>
      </c>
      <c r="D30" s="5" t="str">
        <v>{"gamma_gas":0.6,"gamma_oil":0.86,"gamma_wat":1,"rsb_m3m3":61.471,"pb_atma":140.273,"t_res_C":90,"bob_m3m3":1.206,"muob_cP":0.788,"PVT_corr_set":0,"q_liq_sm3day":130.35,"fw_perc":0,"rp_m3m3":61.471}</v>
      </c>
      <c r="E30" t="s">
        <v>58</v>
      </c>
    </row>
    <row r="31" spans="2:5" x14ac:dyDescent="0.25">
      <c r="B31" s="5">
        <v>140.30000000000001</v>
      </c>
      <c r="C31" s="5">
        <v>0.47112999999999999</v>
      </c>
      <c r="D31" s="5" t="str">
        <v>{"gamma_gas":0.6,"gamma_oil":0.86,"gamma_wat":1,"rsb_m3m3":62.925,"pb_atma":143.052,"t_res_C":90,"bob_m3m3":1.209,"muob_cP":0.777,"PVT_corr_set":0,"q_liq_sm3day":140.3,"fw_perc":0,"rp_m3m3":62.925}</v>
      </c>
      <c r="E31" t="s">
        <v>58</v>
      </c>
    </row>
    <row r="32" spans="2:5" x14ac:dyDescent="0.25">
      <c r="B32" s="5">
        <v>150.25</v>
      </c>
      <c r="C32" s="5">
        <v>0.45413999999999999</v>
      </c>
      <c r="D32" s="5" t="str">
        <v>{"gamma_gas":0.6,"gamma_oil":0.86,"gamma_wat":1,"rsb_m3m3":64.262,"pb_atma":145.565,"t_res_C":90,"bob_m3m3":1.212,"muob_cP":0.769,"PVT_corr_set":0,"q_liq_sm3day":150.25,"fw_perc":0,"rp_m3m3":64.262}</v>
      </c>
      <c r="E32" t="s">
        <v>58</v>
      </c>
    </row>
    <row r="33" spans="2:5" x14ac:dyDescent="0.25">
      <c r="B33" s="5">
        <v>160.19999999999999</v>
      </c>
      <c r="C33" s="5">
        <v>0.43851000000000001</v>
      </c>
      <c r="D33" s="5" t="str">
        <v>{"gamma_gas":0.6,"gamma_oil":0.86,"gamma_wat":1,"rsb_m3m3":65.492,"pb_atma":147.857,"t_res_C":90,"bob_m3m3":1.215,"muob_cP":0.762,"PVT_corr_set":0,"q_liq_sm3day":160.2,"fw_perc":0,"rp_m3m3":65.492}</v>
      </c>
      <c r="E33" t="s">
        <v>58</v>
      </c>
    </row>
    <row r="34" spans="2:5" x14ac:dyDescent="0.25">
      <c r="B34" s="5">
        <v>170.15</v>
      </c>
      <c r="C34" s="5">
        <v>0.42414000000000002</v>
      </c>
      <c r="D34" s="5" t="str">
        <v>{"gamma_gas":0.6,"gamma_oil":0.86,"gamma_wat":1,"rsb_m3m3":66.623,"pb_atma":149.964,"t_res_C":90,"bob_m3m3":1.218,"muob_cP":0.755,"PVT_corr_set":0,"q_liq_sm3day":170.15,"fw_perc":0,"rp_m3m3":66.623}</v>
      </c>
      <c r="E34" t="s">
        <v>58</v>
      </c>
    </row>
    <row r="35" spans="2:5" x14ac:dyDescent="0.25">
      <c r="B35" s="5">
        <v>180.1</v>
      </c>
      <c r="C35" s="5">
        <v>0.41093000000000002</v>
      </c>
      <c r="D35" s="5" t="str">
        <v>{"gamma_gas":0.6,"gamma_oil":0.86,"gamma_wat":1,"rsb_m3m3":67.662,"pb_atma":151.901,"t_res_C":90,"bob_m3m3":1.221,"muob_cP":0.749,"PVT_corr_set":0,"q_liq_sm3day":180.1,"fw_perc":0,"rp_m3m3":67.662}</v>
      </c>
      <c r="E35" t="s">
        <v>58</v>
      </c>
    </row>
    <row r="36" spans="2:5" x14ac:dyDescent="0.25">
      <c r="B36" s="5">
        <v>190.05</v>
      </c>
      <c r="C36" s="5">
        <v>0.39878999999999998</v>
      </c>
      <c r="D36" s="5" t="str">
        <v>{"gamma_gas":0.6,"gamma_oil":0.86,"gamma_wat":1,"rsb_m3m3":68.618,"pb_atma":153.681,"t_res_C":90,"bob_m3m3":1.223,"muob_cP":0.743,"PVT_corr_set":0,"q_liq_sm3day":190.05,"fw_perc":0,"rp_m3m3":68.618}</v>
      </c>
      <c r="E36" t="s">
        <v>58</v>
      </c>
    </row>
    <row r="37" spans="2:5" x14ac:dyDescent="0.25">
      <c r="B37" s="5">
        <v>200</v>
      </c>
      <c r="C37" s="5">
        <v>0.38763999999999998</v>
      </c>
      <c r="D37" s="5" t="str">
        <v>{"gamma_gas":0.6,"gamma_oil":0.86,"gamma_wat":1,"rsb_m3m3":69.495,"pb_atma":155.315,"t_res_C":90,"bob_m3m3":1.225,"muob_cP":0.738,"PVT_corr_set":0,"q_liq_sm3day":200,"fw_perc":0,"rp_m3m3":69.495}</v>
      </c>
      <c r="E37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Общая сепарация на скважине</vt:lpstr>
      <vt:lpstr>Газосепараторы</vt:lpstr>
      <vt:lpstr>Натуральная сепарация</vt:lpstr>
      <vt:lpstr>feed_json_1</vt:lpstr>
      <vt:lpstr>gas_separation_json</vt:lpstr>
      <vt:lpstr>ksep_full</vt:lpstr>
      <vt:lpstr>PVT_json_1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rnt</dc:creator>
  <cp:lastModifiedBy>rnt</cp:lastModifiedBy>
  <dcterms:created xsi:type="dcterms:W3CDTF">2025-04-03T06:37:29Z</dcterms:created>
  <dcterms:modified xsi:type="dcterms:W3CDTF">2025-05-15T14:01:07Z</dcterms:modified>
</cp:coreProperties>
</file>