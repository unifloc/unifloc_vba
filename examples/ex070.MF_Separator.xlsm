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8C5268B7-ADF6-4B20-875E-06456397B990}" xr6:coauthVersionLast="47" xr6:coauthVersionMax="47" xr10:uidLastSave="{00000000-0000-0000-0000-000000000000}"/>
  <bookViews>
    <workbookView xWindow="615" yWindow="720" windowWidth="29940" windowHeight="19590" tabRatio="422" activeTab="1" xr2:uid="{00000000-000D-0000-FFFF-FFFF00000000}"/>
  </bookViews>
  <sheets>
    <sheet name="Separation" sheetId="110" r:id="rId1"/>
    <sheet name="Сепарация ПКВ" sheetId="111" r:id="rId2"/>
  </sheets>
  <externalReferences>
    <externalReference r:id="rId3"/>
  </externalReferences>
  <definedNames>
    <definedName name="Bob_" localSheetId="0">Separation!$C$18</definedName>
    <definedName name="Bob_" localSheetId="1">'Сепарация ПКВ'!$C$18</definedName>
    <definedName name="cf_dcas_" localSheetId="1">'Сепарация ПКВ'!$F$35</definedName>
    <definedName name="cf_dcas_">Separation!$F$35</definedName>
    <definedName name="course" localSheetId="1">'Сепарация ПКВ'!$B$3</definedName>
    <definedName name="course">Separation!$B$3</definedName>
    <definedName name="Dcas_" localSheetId="0">Separation!$C$23</definedName>
    <definedName name="Dcas_" localSheetId="1">'Сепарация ПКВ'!$C$23</definedName>
    <definedName name="Dintake_" localSheetId="0">Separation!$C$24</definedName>
    <definedName name="Dintake_" localSheetId="1">'Сепарация ПКВ'!$C$24</definedName>
    <definedName name="feed" localSheetId="1">'Сепарация ПКВ'!$C$30</definedName>
    <definedName name="feed">Separation!$C$30</definedName>
    <definedName name="gamma_gas_" localSheetId="0">Separation!$C$13</definedName>
    <definedName name="gamma_gas_" localSheetId="1">'Сепарация ПКВ'!$C$13</definedName>
    <definedName name="gamma_oil_" localSheetId="0">Separation!$C$11</definedName>
    <definedName name="gamma_oil_" localSheetId="1">'Сепарация ПКВ'!$C$11</definedName>
    <definedName name="gamma_wat_" localSheetId="0">Separation!$C$12</definedName>
    <definedName name="gamma_wat_" localSheetId="1">'Сепарация ПКВ'!$C$12</definedName>
    <definedName name="gassep_type" localSheetId="1">'Сепарация ПКВ'!$H$35</definedName>
    <definedName name="gassep_type">Separation!$H$35</definedName>
    <definedName name="Group" localSheetId="1">'Сепарация ПКВ'!$B$4</definedName>
    <definedName name="Group">Separation!$B$4</definedName>
    <definedName name="input_Course" localSheetId="1">'Сепарация ПКВ'!$I$3</definedName>
    <definedName name="input_Course">Separation!$I$3</definedName>
    <definedName name="input_Date" localSheetId="1">'Сепарация ПКВ'!$I$1</definedName>
    <definedName name="input_Date">Separation!$I$1</definedName>
    <definedName name="input_Group" localSheetId="1">'Сепарация ПКВ'!$I$4</definedName>
    <definedName name="input_Group">Separation!$I$4</definedName>
    <definedName name="input_Notes" localSheetId="1">'Сепарация ПКВ'!$I$6</definedName>
    <definedName name="input_Notes">Separation!$I$6</definedName>
    <definedName name="input_Student_Name" localSheetId="1">'Сепарация ПКВ'!$I$5</definedName>
    <definedName name="input_Student_Name">Separation!$I$5</definedName>
    <definedName name="input_Version" localSheetId="1">'Сепарация ПКВ'!$I$2</definedName>
    <definedName name="input_Version">Separation!$I$2</definedName>
    <definedName name="muob_" localSheetId="0">Separation!$C$19</definedName>
    <definedName name="muob_" localSheetId="1">'Сепарация ПКВ'!$C$19</definedName>
    <definedName name="Pb_" localSheetId="0">Separation!$C$16</definedName>
    <definedName name="Pb_" localSheetId="1">'Сепарация ПКВ'!$C$16</definedName>
    <definedName name="Pintake_" localSheetId="0">Separation!$C$25</definedName>
    <definedName name="Pintake_" localSheetId="1">'Сепарация ПКВ'!$C$25</definedName>
    <definedName name="prm">'Сепарация ПКВ'!$L$20</definedName>
    <definedName name="PVT_str_" localSheetId="1">'Сепарация ПКВ'!$C$29</definedName>
    <definedName name="PVT_str_">Separation!$C$29</definedName>
    <definedName name="Rp_" localSheetId="0">Separation!$C$15</definedName>
    <definedName name="Rp_" localSheetId="1">'Сепарация ПКВ'!$C$15</definedName>
    <definedName name="rpm">'Сепарация ПКВ'!$L$20</definedName>
    <definedName name="Rsb_" localSheetId="0">Separation!$C$14</definedName>
    <definedName name="Rsb_" localSheetId="1">'Сепарация ПКВ'!$C$14</definedName>
    <definedName name="Tintake_" localSheetId="0">Separation!$C$26</definedName>
    <definedName name="Tintake_" localSheetId="1">'Сепарация ПКВ'!$C$26</definedName>
    <definedName name="Tres_" localSheetId="0">Separation!$C$17</definedName>
    <definedName name="Tres_" localSheetId="1">'Сепарация ПКВ'!$C$17</definedName>
    <definedName name="ver_" localSheetId="1">'Сепарация ПКВ'!$G$1</definedName>
    <definedName name="ver_">Separation!$G$1</definedName>
    <definedName name="wc_" localSheetId="0">Separation!$C$20</definedName>
    <definedName name="wc_" localSheetId="1">'Сепарация ПКВ'!$C$20</definedName>
    <definedName name="ПКВ_отношение">'Сепарация ПКВ'!$G$23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8" i="111" l="1"/>
  <c r="A39" i="111"/>
  <c r="A40" i="111"/>
  <c r="A41" i="111"/>
  <c r="A42" i="111"/>
  <c r="A43" i="111"/>
  <c r="A44" i="111"/>
  <c r="A45" i="111"/>
  <c r="A46" i="111"/>
  <c r="A47" i="111"/>
  <c r="A48" i="111"/>
  <c r="A49" i="111"/>
  <c r="A50" i="111"/>
  <c r="A51" i="111"/>
  <c r="A52" i="111"/>
  <c r="A53" i="111"/>
  <c r="A54" i="111"/>
  <c r="A55" i="111"/>
  <c r="A56" i="111"/>
  <c r="A57" i="111"/>
  <c r="A58" i="111"/>
  <c r="A59" i="111"/>
  <c r="A60" i="111"/>
  <c r="A61" i="111"/>
  <c r="A62" i="111"/>
  <c r="A37" i="111"/>
  <c r="F17" i="111" l="1"/>
  <c r="F16" i="111"/>
  <c r="F15" i="111"/>
  <c r="F14" i="111"/>
  <c r="F13" i="111"/>
  <c r="F12" i="111"/>
  <c r="F11" i="111"/>
  <c r="E36" i="110"/>
  <c r="L20" i="111" a="1"/>
  <c r="C29" i="111" a="1"/>
  <c r="G1" i="111"/>
  <c r="E67" i="110" a="1"/>
  <c r="C29" i="110" a="1"/>
  <c r="G1" i="110"/>
  <c r="L20" i="111" l="1"/>
  <c r="C29" i="111"/>
  <c r="E67" i="110"/>
  <c r="C29" i="110"/>
  <c r="F17" i="110"/>
  <c r="F16" i="110"/>
  <c r="F15" i="110"/>
  <c r="F14" i="110"/>
  <c r="F13" i="110"/>
  <c r="F12" i="110"/>
  <c r="F11" i="110"/>
  <c r="D43" i="111" a="1"/>
  <c r="D49" i="111" a="1"/>
  <c r="D55" i="111" a="1"/>
  <c r="D50" i="111" a="1"/>
  <c r="D56" i="111" a="1"/>
  <c r="D62" i="111" a="1"/>
  <c r="D61" i="111" a="1"/>
  <c r="D38" i="111" a="1"/>
  <c r="D44" i="111" a="1"/>
  <c r="D45" i="111" a="1"/>
  <c r="D51" i="111" a="1"/>
  <c r="D57" i="111" a="1"/>
  <c r="D40" i="111" a="1"/>
  <c r="D58" i="111" a="1"/>
  <c r="D46" i="111" a="1"/>
  <c r="D52" i="111" a="1"/>
  <c r="D41" i="111" a="1"/>
  <c r="D53" i="111" a="1"/>
  <c r="D47" i="111" a="1"/>
  <c r="D59" i="111" a="1"/>
  <c r="D39" i="111" a="1"/>
  <c r="D42" i="111" a="1"/>
  <c r="D48" i="111" a="1"/>
  <c r="D54" i="111" a="1"/>
  <c r="D60" i="111" a="1"/>
  <c r="D37" i="111" a="1"/>
  <c r="D47" i="110" a="1"/>
  <c r="D58" i="110" a="1"/>
  <c r="D51" i="110" a="1"/>
  <c r="D52" i="110" a="1"/>
  <c r="D37" i="110" a="1"/>
  <c r="D50" i="110" a="1"/>
  <c r="D57" i="110" a="1"/>
  <c r="D38" i="110" a="1"/>
  <c r="D61" i="110" a="1"/>
  <c r="D48" i="110" a="1"/>
  <c r="D45" i="110" a="1"/>
  <c r="D40" i="110" a="1"/>
  <c r="D44" i="110" a="1"/>
  <c r="D60" i="110" a="1"/>
  <c r="D42" i="110" a="1"/>
  <c r="D49" i="110" a="1"/>
  <c r="D54" i="110" a="1"/>
  <c r="D53" i="110" a="1"/>
  <c r="D62" i="110" a="1"/>
  <c r="D55" i="110" a="1"/>
  <c r="D59" i="110" a="1"/>
  <c r="D46" i="110" a="1"/>
  <c r="D41" i="110" a="1"/>
  <c r="D56" i="110" a="1"/>
  <c r="D43" i="110" a="1"/>
  <c r="D39" i="110" a="1"/>
  <c r="D37" i="111" l="1"/>
  <c r="D60" i="111"/>
  <c r="D54" i="111"/>
  <c r="D48" i="111"/>
  <c r="D42" i="111"/>
  <c r="D39" i="111"/>
  <c r="D59" i="111"/>
  <c r="D47" i="111"/>
  <c r="D53" i="111"/>
  <c r="D41" i="111"/>
  <c r="D52" i="111"/>
  <c r="D46" i="111"/>
  <c r="D58" i="111"/>
  <c r="D40" i="111"/>
  <c r="D57" i="111"/>
  <c r="D51" i="111"/>
  <c r="D45" i="111"/>
  <c r="D44" i="111"/>
  <c r="D38" i="111"/>
  <c r="D61" i="111"/>
  <c r="D62" i="111"/>
  <c r="D56" i="111"/>
  <c r="D50" i="111"/>
  <c r="D55" i="111"/>
  <c r="D49" i="111"/>
  <c r="D43" i="111"/>
  <c r="D38" i="110"/>
  <c r="D42" i="110"/>
  <c r="D46" i="110"/>
  <c r="D50" i="110"/>
  <c r="D54" i="110"/>
  <c r="D58" i="110"/>
  <c r="D62" i="110"/>
  <c r="D39" i="110"/>
  <c r="D43" i="110"/>
  <c r="D47" i="110"/>
  <c r="D51" i="110"/>
  <c r="D55" i="110"/>
  <c r="D59" i="110"/>
  <c r="D40" i="110"/>
  <c r="D44" i="110"/>
  <c r="D48" i="110"/>
  <c r="D52" i="110"/>
  <c r="D56" i="110"/>
  <c r="D60" i="110"/>
  <c r="D41" i="110"/>
  <c r="D45" i="110"/>
  <c r="D49" i="110"/>
  <c r="D53" i="110"/>
  <c r="D57" i="110"/>
  <c r="D61" i="110"/>
  <c r="D37" i="110"/>
  <c r="F36" i="110"/>
  <c r="I60" i="111" a="1"/>
  <c r="I59" i="111" a="1"/>
  <c r="F46" i="111" a="1"/>
  <c r="F55" i="111" a="1"/>
  <c r="F60" i="111" a="1"/>
  <c r="F40" i="111" a="1"/>
  <c r="F43" i="111" a="1"/>
  <c r="F54" i="111" a="1"/>
  <c r="F57" i="111" a="1"/>
  <c r="F48" i="111" a="1"/>
  <c r="F51" i="111" a="1"/>
  <c r="F42" i="111" a="1"/>
  <c r="F45" i="111" a="1"/>
  <c r="F39" i="111" a="1"/>
  <c r="F59" i="111" a="1"/>
  <c r="F38" i="111" a="1"/>
  <c r="F47" i="111" a="1"/>
  <c r="F53" i="111" a="1"/>
  <c r="F41" i="111" a="1"/>
  <c r="F50" i="111" a="1"/>
  <c r="F37" i="111" a="1"/>
  <c r="F58" i="111" a="1"/>
  <c r="F49" i="111" a="1"/>
  <c r="F44" i="111" a="1"/>
  <c r="F61" i="111" a="1"/>
  <c r="F62" i="111" a="1"/>
  <c r="F56" i="111" a="1"/>
  <c r="F52" i="111" a="1"/>
  <c r="I44" i="111" a="1"/>
  <c r="I41" i="111" a="1"/>
  <c r="I48" i="111" a="1"/>
  <c r="I46" i="111" a="1"/>
  <c r="I39" i="111" a="1"/>
  <c r="E42" i="111" a="1"/>
  <c r="I42" i="111" a="1"/>
  <c r="E45" i="111" a="1"/>
  <c r="I45" i="111" a="1"/>
  <c r="E38" i="111" a="1"/>
  <c r="I38" i="111" a="1"/>
  <c r="E61" i="111" a="1"/>
  <c r="I61" i="111" a="1"/>
  <c r="E53" i="111" a="1"/>
  <c r="I53" i="111" a="1"/>
  <c r="E41" i="111" a="1"/>
  <c r="E50" i="111" a="1"/>
  <c r="I50" i="111" a="1"/>
  <c r="E55" i="111" a="1"/>
  <c r="I55" i="111" a="1"/>
  <c r="E37" i="111" a="1"/>
  <c r="I37" i="111" a="1"/>
  <c r="E49" i="111" a="1"/>
  <c r="I49" i="111" a="1"/>
  <c r="E40" i="111" a="1"/>
  <c r="I40" i="111" a="1"/>
  <c r="E39" i="111" a="1"/>
  <c r="E44" i="111" a="1"/>
  <c r="E59" i="111" a="1"/>
  <c r="E47" i="111" a="1"/>
  <c r="I47" i="111" a="1"/>
  <c r="E62" i="111" a="1"/>
  <c r="I62" i="111" a="1"/>
  <c r="E56" i="111" a="1"/>
  <c r="I56" i="111" a="1"/>
  <c r="E52" i="111" a="1"/>
  <c r="I52" i="111" a="1"/>
  <c r="E46" i="111" a="1"/>
  <c r="E60" i="111" a="1"/>
  <c r="E43" i="111" a="1"/>
  <c r="I43" i="111" a="1"/>
  <c r="E57" i="111" a="1"/>
  <c r="I57" i="111" a="1"/>
  <c r="E48" i="111" a="1"/>
  <c r="E51" i="111" a="1"/>
  <c r="I51" i="111" a="1"/>
  <c r="E58" i="111" a="1"/>
  <c r="I58" i="111" a="1"/>
  <c r="E54" i="111" a="1"/>
  <c r="I54" i="111" a="1"/>
  <c r="F54" i="110" a="1"/>
  <c r="E45" i="110" a="1"/>
  <c r="E61" i="110" a="1"/>
  <c r="F57" i="110" a="1"/>
  <c r="E54" i="110" a="1"/>
  <c r="F37" i="110" a="1"/>
  <c r="F51" i="110" a="1"/>
  <c r="E52" i="110" a="1"/>
  <c r="F58" i="110" a="1"/>
  <c r="F40" i="110" a="1"/>
  <c r="F61" i="110" a="1"/>
  <c r="E41" i="110" a="1"/>
  <c r="F56" i="110" a="1"/>
  <c r="F59" i="110" a="1"/>
  <c r="F44" i="110" a="1"/>
  <c r="E53" i="110" a="1"/>
  <c r="F41" i="110" a="1"/>
  <c r="E47" i="110" a="1"/>
  <c r="E58" i="110" a="1"/>
  <c r="E62" i="110" a="1"/>
  <c r="F45" i="110" a="1"/>
  <c r="E44" i="110" a="1"/>
  <c r="F39" i="110" a="1"/>
  <c r="F50" i="110" a="1"/>
  <c r="E55" i="110" a="1"/>
  <c r="F43" i="110" a="1"/>
  <c r="F52" i="110" a="1"/>
  <c r="E70" i="110" a="1"/>
  <c r="E59" i="110" a="1"/>
  <c r="F42" i="110" a="1"/>
  <c r="E50" i="110" a="1"/>
  <c r="E60" i="110" a="1"/>
  <c r="E49" i="110" a="1"/>
  <c r="E40" i="110" a="1"/>
  <c r="E42" i="110" a="1"/>
  <c r="E57" i="110" a="1"/>
  <c r="E56" i="110" a="1"/>
  <c r="E39" i="110" a="1"/>
  <c r="F38" i="110" a="1"/>
  <c r="F48" i="110" a="1"/>
  <c r="F49" i="110" a="1"/>
  <c r="E48" i="110" a="1"/>
  <c r="F53" i="110" a="1"/>
  <c r="F60" i="110" a="1"/>
  <c r="E38" i="110" a="1"/>
  <c r="F62" i="110" a="1"/>
  <c r="F46" i="110" a="1"/>
  <c r="F47" i="110" a="1"/>
  <c r="E46" i="110" a="1"/>
  <c r="E37" i="110" a="1"/>
  <c r="F55" i="110" a="1"/>
  <c r="E43" i="110" a="1"/>
  <c r="E51" i="110" a="1"/>
  <c r="I60" i="111" l="1"/>
  <c r="J60" i="111"/>
  <c r="I59" i="111"/>
  <c r="J59" i="111"/>
  <c r="G52" i="111"/>
  <c r="F52" i="111"/>
  <c r="F56" i="111"/>
  <c r="G56" i="111"/>
  <c r="G62" i="111"/>
  <c r="F62" i="111"/>
  <c r="F61" i="111"/>
  <c r="G61" i="111"/>
  <c r="F44" i="111"/>
  <c r="G44" i="111"/>
  <c r="F49" i="111"/>
  <c r="G49" i="111"/>
  <c r="F58" i="111"/>
  <c r="G58" i="111"/>
  <c r="F37" i="111"/>
  <c r="G37" i="111"/>
  <c r="G50" i="111"/>
  <c r="F50" i="111"/>
  <c r="F41" i="111"/>
  <c r="G41" i="111"/>
  <c r="G53" i="111"/>
  <c r="F53" i="111"/>
  <c r="F47" i="111"/>
  <c r="G47" i="111"/>
  <c r="G38" i="111"/>
  <c r="F38" i="111"/>
  <c r="F59" i="111"/>
  <c r="G59" i="111"/>
  <c r="F39" i="111"/>
  <c r="G39" i="111"/>
  <c r="F45" i="111"/>
  <c r="G45" i="111"/>
  <c r="G42" i="111"/>
  <c r="F42" i="111"/>
  <c r="F51" i="111"/>
  <c r="G51" i="111"/>
  <c r="F48" i="111"/>
  <c r="G48" i="111"/>
  <c r="F57" i="111"/>
  <c r="G57" i="111"/>
  <c r="G54" i="111"/>
  <c r="F54" i="111"/>
  <c r="F43" i="111"/>
  <c r="G43" i="111"/>
  <c r="F40" i="111"/>
  <c r="G40" i="111"/>
  <c r="F60" i="111"/>
  <c r="G60" i="111"/>
  <c r="F55" i="111"/>
  <c r="G55" i="111"/>
  <c r="G46" i="111"/>
  <c r="F46" i="111"/>
  <c r="J44" i="111"/>
  <c r="I44" i="111"/>
  <c r="I41" i="111"/>
  <c r="J41" i="111"/>
  <c r="I46" i="111"/>
  <c r="J46" i="111"/>
  <c r="I48" i="111"/>
  <c r="J48" i="111"/>
  <c r="J39" i="111"/>
  <c r="I39" i="111"/>
  <c r="I54" i="111"/>
  <c r="J54" i="111"/>
  <c r="E54" i="111"/>
  <c r="J58" i="111"/>
  <c r="I58" i="111"/>
  <c r="E58" i="111"/>
  <c r="I51" i="111"/>
  <c r="J51" i="111"/>
  <c r="E51" i="111"/>
  <c r="E48" i="111"/>
  <c r="I57" i="111"/>
  <c r="J57" i="111"/>
  <c r="E57" i="111"/>
  <c r="I43" i="111"/>
  <c r="J43" i="111"/>
  <c r="E43" i="111"/>
  <c r="E60" i="111"/>
  <c r="E46" i="111"/>
  <c r="I52" i="111"/>
  <c r="J52" i="111"/>
  <c r="E52" i="111"/>
  <c r="I56" i="111"/>
  <c r="J56" i="111"/>
  <c r="E56" i="111"/>
  <c r="I62" i="111"/>
  <c r="J62" i="111"/>
  <c r="E62" i="111"/>
  <c r="I47" i="111"/>
  <c r="J47" i="111"/>
  <c r="E47" i="111"/>
  <c r="E59" i="111"/>
  <c r="E44" i="111"/>
  <c r="E39" i="111"/>
  <c r="I40" i="111"/>
  <c r="J40" i="111"/>
  <c r="E40" i="111"/>
  <c r="J49" i="111"/>
  <c r="I49" i="111"/>
  <c r="E49" i="111"/>
  <c r="I37" i="111"/>
  <c r="J37" i="111"/>
  <c r="E37" i="111"/>
  <c r="I55" i="111"/>
  <c r="J55" i="111"/>
  <c r="E55" i="111"/>
  <c r="I50" i="111"/>
  <c r="J50" i="111"/>
  <c r="E50" i="111"/>
  <c r="E41" i="111"/>
  <c r="J53" i="111"/>
  <c r="I53" i="111"/>
  <c r="E53" i="111"/>
  <c r="I61" i="111"/>
  <c r="J61" i="111"/>
  <c r="E61" i="111"/>
  <c r="I38" i="111"/>
  <c r="J38" i="111"/>
  <c r="E38" i="111"/>
  <c r="I45" i="111"/>
  <c r="J45" i="111"/>
  <c r="E45" i="111"/>
  <c r="I42" i="111"/>
  <c r="J42" i="111"/>
  <c r="E42" i="111"/>
  <c r="E70" i="110"/>
  <c r="E37" i="110"/>
  <c r="F57" i="110"/>
  <c r="E57" i="110"/>
  <c r="F58" i="110"/>
  <c r="E58" i="110"/>
  <c r="F45" i="110"/>
  <c r="E45" i="110"/>
  <c r="F48" i="110"/>
  <c r="E48" i="110"/>
  <c r="F44" i="110"/>
  <c r="E44" i="110"/>
  <c r="F62" i="110"/>
  <c r="E62" i="110"/>
  <c r="F49" i="110"/>
  <c r="E49" i="110"/>
  <c r="F54" i="110"/>
  <c r="E54" i="110"/>
  <c r="F41" i="110"/>
  <c r="E41" i="110"/>
  <c r="F50" i="110"/>
  <c r="E50" i="110"/>
  <c r="F60" i="110"/>
  <c r="E60" i="110"/>
  <c r="F37" i="110"/>
  <c r="F56" i="110"/>
  <c r="E56" i="110"/>
  <c r="F47" i="110"/>
  <c r="E47" i="110"/>
  <c r="F42" i="110"/>
  <c r="E42" i="110"/>
  <c r="F39" i="110"/>
  <c r="E39" i="110"/>
  <c r="F53" i="110"/>
  <c r="E53" i="110"/>
  <c r="F40" i="110"/>
  <c r="E40" i="110"/>
  <c r="F59" i="110"/>
  <c r="E59" i="110"/>
  <c r="F55" i="110"/>
  <c r="E55" i="110"/>
  <c r="F51" i="110"/>
  <c r="E51" i="110"/>
  <c r="F46" i="110"/>
  <c r="E46" i="110"/>
  <c r="F61" i="110"/>
  <c r="E61" i="110"/>
  <c r="F52" i="110"/>
  <c r="E52" i="110"/>
  <c r="F43" i="110"/>
  <c r="E43" i="110"/>
  <c r="F38" i="110"/>
  <c r="E38" i="110"/>
  <c r="H37" i="111" a="1"/>
  <c r="H55" i="111" a="1"/>
  <c r="H52" i="111" a="1"/>
  <c r="H44" i="111" a="1"/>
  <c r="H40" i="111" a="1"/>
  <c r="H41" i="111" a="1"/>
  <c r="H42" i="111" a="1"/>
  <c r="H48" i="111" a="1"/>
  <c r="H62" i="111" a="1"/>
  <c r="H61" i="111" a="1"/>
  <c r="H54" i="111" a="1"/>
  <c r="H58" i="111" a="1"/>
  <c r="H43" i="111" a="1"/>
  <c r="H46" i="111" a="1"/>
  <c r="H59" i="111" a="1"/>
  <c r="H39" i="111" a="1"/>
  <c r="H50" i="111" a="1"/>
  <c r="H38" i="111" a="1"/>
  <c r="H45" i="111" a="1"/>
  <c r="H56" i="111" a="1"/>
  <c r="H57" i="111" a="1"/>
  <c r="H53" i="111" a="1"/>
  <c r="H51" i="111" a="1"/>
  <c r="H60" i="111" a="1"/>
  <c r="H49" i="111" a="1"/>
  <c r="H47" i="111" a="1"/>
  <c r="K43" i="111" a="1"/>
  <c r="K37" i="111" a="1"/>
  <c r="K46" i="111" a="1"/>
  <c r="K59" i="111" a="1"/>
  <c r="K45" i="111" a="1"/>
  <c r="K62" i="111" a="1"/>
  <c r="K54" i="111" a="1"/>
  <c r="K50" i="111" a="1"/>
  <c r="K51" i="111" a="1"/>
  <c r="K39" i="111" a="1"/>
  <c r="K53" i="111" a="1"/>
  <c r="K56" i="111" a="1"/>
  <c r="K49" i="111" a="1"/>
  <c r="K57" i="111" a="1"/>
  <c r="K52" i="111" a="1"/>
  <c r="K61" i="111" a="1"/>
  <c r="K47" i="111" a="1"/>
  <c r="K38" i="111" a="1"/>
  <c r="K41" i="111" a="1"/>
  <c r="K40" i="111" a="1"/>
  <c r="K58" i="111" a="1"/>
  <c r="K60" i="111" a="1"/>
  <c r="K44" i="111" a="1"/>
  <c r="K55" i="111" a="1"/>
  <c r="K42" i="111" a="1"/>
  <c r="K48" i="111" a="1"/>
  <c r="G49" i="110" a="1"/>
  <c r="G51" i="110" a="1"/>
  <c r="G61" i="110" a="1"/>
  <c r="G62" i="110" a="1"/>
  <c r="G53" i="110" a="1"/>
  <c r="G39" i="110" a="1"/>
  <c r="G44" i="110" a="1"/>
  <c r="G38" i="110" a="1"/>
  <c r="G40" i="110" a="1"/>
  <c r="G42" i="110" a="1"/>
  <c r="G41" i="110" a="1"/>
  <c r="G43" i="110" a="1"/>
  <c r="G60" i="110" a="1"/>
  <c r="G46" i="110" a="1"/>
  <c r="G55" i="110" a="1"/>
  <c r="G47" i="110" a="1"/>
  <c r="G37" i="110" a="1"/>
  <c r="G59" i="110" a="1"/>
  <c r="G56" i="110" a="1"/>
  <c r="G57" i="110" a="1"/>
  <c r="G48" i="110" a="1"/>
  <c r="G45" i="110" a="1"/>
  <c r="G58" i="110" a="1"/>
  <c r="G52" i="110" a="1"/>
  <c r="G50" i="110" a="1"/>
  <c r="E73" i="110" a="1"/>
  <c r="G54" i="110" a="1"/>
  <c r="H37" i="111" l="1"/>
  <c r="H47" i="111"/>
  <c r="H49" i="111"/>
  <c r="H60" i="111"/>
  <c r="H51" i="111"/>
  <c r="H53" i="111"/>
  <c r="H57" i="111"/>
  <c r="H56" i="111"/>
  <c r="H45" i="111"/>
  <c r="H38" i="111"/>
  <c r="H50" i="111"/>
  <c r="H39" i="111"/>
  <c r="H59" i="111"/>
  <c r="H46" i="111"/>
  <c r="H43" i="111"/>
  <c r="H58" i="111"/>
  <c r="H54" i="111"/>
  <c r="H61" i="111"/>
  <c r="H62" i="111"/>
  <c r="H48" i="111"/>
  <c r="H42" i="111"/>
  <c r="H41" i="111"/>
  <c r="H40" i="111"/>
  <c r="H44" i="111"/>
  <c r="H52" i="111"/>
  <c r="H55" i="111"/>
  <c r="K48" i="111"/>
  <c r="K42" i="111"/>
  <c r="K55" i="111"/>
  <c r="K44" i="111"/>
  <c r="K60" i="111"/>
  <c r="K58" i="111"/>
  <c r="K40" i="111"/>
  <c r="K41" i="111"/>
  <c r="K38" i="111"/>
  <c r="K47" i="111"/>
  <c r="K61" i="111"/>
  <c r="K52" i="111"/>
  <c r="K57" i="111"/>
  <c r="K49" i="111"/>
  <c r="K56" i="111"/>
  <c r="K53" i="111"/>
  <c r="K39" i="111"/>
  <c r="K51" i="111"/>
  <c r="K50" i="111"/>
  <c r="K54" i="111"/>
  <c r="K62" i="111"/>
  <c r="K45" i="111"/>
  <c r="K59" i="111"/>
  <c r="K46" i="111"/>
  <c r="K37" i="111"/>
  <c r="K43" i="111"/>
  <c r="E73" i="110"/>
  <c r="G52" i="110"/>
  <c r="G55" i="110"/>
  <c r="G37" i="110"/>
  <c r="G54" i="110"/>
  <c r="G48" i="110"/>
  <c r="G59" i="110"/>
  <c r="G49" i="110"/>
  <c r="G50" i="110"/>
  <c r="G39" i="110"/>
  <c r="G61" i="110"/>
  <c r="G42" i="110"/>
  <c r="G60" i="110"/>
  <c r="G45" i="110"/>
  <c r="G38" i="110"/>
  <c r="G46" i="110"/>
  <c r="G40" i="110"/>
  <c r="G47" i="110"/>
  <c r="G62" i="110"/>
  <c r="G58" i="110"/>
  <c r="G43" i="110"/>
  <c r="G51" i="110"/>
  <c r="G53" i="110"/>
  <c r="G56" i="110"/>
  <c r="G41" i="110"/>
  <c r="G44" i="110"/>
  <c r="G57" i="110"/>
  <c r="H61" i="110" a="1"/>
  <c r="H53" i="110" a="1"/>
  <c r="H38" i="110" a="1"/>
  <c r="H59" i="110" a="1"/>
  <c r="H57" i="110" a="1"/>
  <c r="H37" i="110" a="1"/>
  <c r="H47" i="110" a="1"/>
  <c r="H48" i="110" a="1"/>
  <c r="H51" i="110" a="1"/>
  <c r="H39" i="110" a="1"/>
  <c r="E79" i="110" a="1"/>
  <c r="H49" i="110" a="1"/>
  <c r="H56" i="110" a="1"/>
  <c r="H52" i="110" a="1"/>
  <c r="H60" i="110" a="1"/>
  <c r="H45" i="110" a="1"/>
  <c r="H54" i="110" a="1"/>
  <c r="H46" i="110" a="1"/>
  <c r="H58" i="110" a="1"/>
  <c r="H40" i="110" a="1"/>
  <c r="H43" i="110" a="1"/>
  <c r="H62" i="110" a="1"/>
  <c r="H44" i="110" a="1"/>
  <c r="H55" i="110" a="1"/>
  <c r="H50" i="110" a="1"/>
  <c r="H42" i="110" a="1"/>
  <c r="H41" i="110" a="1"/>
  <c r="E79" i="110" l="1"/>
  <c r="H41" i="110"/>
  <c r="H50" i="110"/>
  <c r="H56" i="110"/>
  <c r="H46" i="110"/>
  <c r="H49" i="110"/>
  <c r="H53" i="110"/>
  <c r="H38" i="110"/>
  <c r="H59" i="110"/>
  <c r="H51" i="110"/>
  <c r="H45" i="110"/>
  <c r="H48" i="110"/>
  <c r="H40" i="110"/>
  <c r="H43" i="110"/>
  <c r="H60" i="110"/>
  <c r="H54" i="110"/>
  <c r="H58" i="110"/>
  <c r="H42" i="110"/>
  <c r="H37" i="110"/>
  <c r="H57" i="110"/>
  <c r="H62" i="110"/>
  <c r="H61" i="110"/>
  <c r="H55" i="110"/>
  <c r="H44" i="110"/>
  <c r="H47" i="110"/>
  <c r="H39" i="110"/>
  <c r="H52" i="110"/>
  <c r="I58" i="110" a="1"/>
  <c r="I57" i="110" a="1"/>
  <c r="I54" i="110" a="1"/>
  <c r="I52" i="110" a="1"/>
  <c r="I37" i="110" a="1"/>
  <c r="I61" i="110" a="1"/>
  <c r="I39" i="110" a="1"/>
  <c r="I45" i="110" a="1"/>
  <c r="I55" i="110" a="1"/>
  <c r="I62" i="110" a="1"/>
  <c r="I44" i="110" a="1"/>
  <c r="I51" i="110" a="1"/>
  <c r="I50" i="110" a="1"/>
  <c r="I60" i="110" a="1"/>
  <c r="I56" i="110" a="1"/>
  <c r="I42" i="110" a="1"/>
  <c r="I48" i="110" a="1"/>
  <c r="I47" i="110" a="1"/>
  <c r="I49" i="110" a="1"/>
  <c r="I46" i="110" a="1"/>
  <c r="I38" i="110" a="1"/>
  <c r="I53" i="110" a="1"/>
  <c r="I43" i="110" a="1"/>
  <c r="I41" i="110" a="1"/>
  <c r="I40" i="110" a="1"/>
  <c r="I59" i="110" a="1"/>
  <c r="I44" i="110" l="1"/>
  <c r="I48" i="110"/>
  <c r="I47" i="110"/>
  <c r="I59" i="110"/>
  <c r="I54" i="110"/>
  <c r="I60" i="110"/>
  <c r="I43" i="110"/>
  <c r="I62" i="110"/>
  <c r="I46" i="110"/>
  <c r="I37" i="110"/>
  <c r="I45" i="110"/>
  <c r="I50" i="110"/>
  <c r="I58" i="110"/>
  <c r="I38" i="110"/>
  <c r="I55" i="110"/>
  <c r="I53" i="110"/>
  <c r="I61" i="110"/>
  <c r="I49" i="110"/>
  <c r="I40" i="110"/>
  <c r="I57" i="110"/>
  <c r="I56" i="110"/>
  <c r="I52" i="110"/>
  <c r="I39" i="110"/>
  <c r="I42" i="110"/>
  <c r="I51" i="110"/>
  <c r="I41" i="110"/>
  <c r="J56" i="110" a="1"/>
  <c r="J47" i="110" a="1"/>
  <c r="J50" i="110" a="1"/>
  <c r="J41" i="110" a="1"/>
  <c r="J59" i="110" a="1"/>
  <c r="J45" i="110" a="1"/>
  <c r="J38" i="110" a="1"/>
  <c r="J49" i="110" a="1"/>
  <c r="J39" i="110" a="1"/>
  <c r="J44" i="110" a="1"/>
  <c r="J55" i="110" a="1"/>
  <c r="J43" i="110" a="1"/>
  <c r="J54" i="110" a="1"/>
  <c r="J60" i="110" a="1"/>
  <c r="J40" i="110" a="1"/>
  <c r="J42" i="110" a="1"/>
  <c r="J53" i="110" a="1"/>
  <c r="J62" i="110" a="1"/>
  <c r="J57" i="110" a="1"/>
  <c r="J61" i="110" a="1"/>
  <c r="J58" i="110" a="1"/>
  <c r="J37" i="110" a="1"/>
  <c r="J51" i="110" a="1"/>
  <c r="J48" i="110" a="1"/>
  <c r="J52" i="110" a="1"/>
  <c r="J46" i="110" a="1"/>
  <c r="J62" i="110" l="1"/>
  <c r="J42" i="110"/>
  <c r="J39" i="110"/>
  <c r="J43" i="110"/>
  <c r="J52" i="110"/>
  <c r="J38" i="110"/>
  <c r="J60" i="110"/>
  <c r="J54" i="110"/>
  <c r="J59" i="110"/>
  <c r="J47" i="110"/>
  <c r="J41" i="110"/>
  <c r="J49" i="110"/>
  <c r="J37" i="110"/>
  <c r="J48" i="110"/>
  <c r="J53" i="110"/>
  <c r="J55" i="110"/>
  <c r="J56" i="110"/>
  <c r="J58" i="110"/>
  <c r="J57" i="110"/>
  <c r="J50" i="110"/>
  <c r="J40" i="110"/>
  <c r="J45" i="110"/>
  <c r="J51" i="110"/>
  <c r="J61" i="110"/>
  <c r="J46" i="110"/>
  <c r="J44" i="1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<sst xmlns="http://schemas.openxmlformats.org/spreadsheetml/2006/main" count="151" uniqueCount="71">
  <si>
    <t>Q</t>
  </si>
  <si>
    <t>м3/м3</t>
  </si>
  <si>
    <t>атм</t>
  </si>
  <si>
    <t>С</t>
  </si>
  <si>
    <t>%</t>
  </si>
  <si>
    <t>мм</t>
  </si>
  <si>
    <t>,</t>
  </si>
  <si>
    <t>Физико - химические свойства флюида</t>
  </si>
  <si>
    <t>Данные по скважине</t>
  </si>
  <si>
    <t>Построить зависимость коэффициента сепарации от дебита</t>
  </si>
  <si>
    <t>Коэффициент сепарации газосепаратора</t>
  </si>
  <si>
    <t>Общая сепарация</t>
  </si>
  <si>
    <t>Упражнение 1.</t>
  </si>
  <si>
    <t>T</t>
  </si>
  <si>
    <t>PVT строка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</si>
  <si>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</si>
  <si>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</si>
  <si>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</si>
  <si>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</si>
  <si>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</si>
  <si>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</si>
  <si>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</si>
  <si>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</si>
  <si>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</si>
  <si>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d</t>
    </r>
    <r>
      <rPr>
        <vertAlign val="subscript"/>
        <sz val="11"/>
        <color theme="1"/>
        <rFont val="Calibri"/>
        <family val="2"/>
        <charset val="204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</si>
  <si>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</rPr>
      <t>intake</t>
    </r>
  </si>
  <si>
    <r>
      <t>P</t>
    </r>
    <r>
      <rPr>
        <vertAlign val="subscript"/>
        <sz val="11"/>
        <color theme="1"/>
        <rFont val="Calibri"/>
        <family val="2"/>
        <charset val="204"/>
      </rPr>
      <t>intake</t>
    </r>
  </si>
  <si>
    <r>
      <t>T</t>
    </r>
    <r>
      <rPr>
        <vertAlign val="subscript"/>
        <sz val="11"/>
        <color theme="1"/>
        <rFont val="Calibri"/>
        <family val="2"/>
        <charset val="204"/>
      </rPr>
      <t>intake</t>
    </r>
  </si>
  <si>
    <t>cP</t>
  </si>
  <si>
    <r>
      <t>f</t>
    </r>
    <r>
      <rPr>
        <vertAlign val="subscript"/>
        <sz val="10"/>
        <rFont val="Arial Cyr"/>
        <charset val="204"/>
      </rPr>
      <t>w</t>
    </r>
  </si>
  <si>
    <t>Доля газа в газосепараторе</t>
  </si>
  <si>
    <t>Упражнения по работе с макросами Unifloc VBA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</si>
  <si>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</si>
  <si>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</si>
  <si>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</si>
  <si>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</si>
  <si>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атмa</t>
  </si>
  <si>
    <t>МПа</t>
  </si>
  <si>
    <t>Ф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</si>
  <si>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</si>
  <si>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</si>
  <si>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</si>
  <si>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</si>
  <si>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</si>
  <si>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</si>
  <si>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</si>
  <si>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</si>
  <si>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</si>
  <si>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</si>
  <si>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</si>
  <si>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</si>
  <si>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</si>
  <si>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</si>
  <si>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параметров сепарации на приеме ЭЦН</t>
  </si>
  <si>
    <t>feed</t>
  </si>
  <si>
    <t>Доля газа в насосе</t>
  </si>
  <si>
    <t>параметры</t>
  </si>
  <si>
    <t>show_array</t>
  </si>
  <si>
    <t>доля газа перед сепарацией</t>
  </si>
  <si>
    <t>gas_goes_into_solution</t>
  </si>
  <si>
    <t>calibr_li</t>
  </si>
  <si>
    <t>ПКВ отношение</t>
  </si>
  <si>
    <t>Ксеп мех</t>
  </si>
  <si>
    <t>Оценка Ксеп по механистической модели для ПДФ</t>
  </si>
  <si>
    <t>Параметры потока в насосе</t>
  </si>
  <si>
    <t>Оценка Ксеп по механистической модели для ПКВ режима</t>
  </si>
  <si>
    <t>Ксеп мех ПКВ</t>
  </si>
  <si>
    <t>Параметры потока в насосе ПКВ</t>
  </si>
  <si>
    <t>доля газа в насосе ПКВ</t>
  </si>
  <si>
    <t>Q насос</t>
  </si>
  <si>
    <t>доля газа в насос мех модель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</si>
</sst>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₽_-;\-* #,##0.00\ _₽_-;_-* &quot;-&quot;??\ _₽_-;_-@_-"/>
  </numFmts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1"/>
    <xf numFmtId="0" fontId="4" fillId="0" borderId="0"/>
    <xf numFmtId="0" fontId="2" fillId="0" borderId="0"/>
    <xf numFmtId="164" fontId="6" fillId="0" borderId="0" applyFont="0" applyFill="0" applyBorder="0" applyAlignment="0" applyProtection="0"/>
    <xf numFmtId="0" fontId="1" fillId="0" borderId="0"/>
  </cellStyleXfs>
  <cellXfs count="60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 wrapText="1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7" fillId="3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0" fillId="5" borderId="2" xfId="0" applyFill="1" applyBorder="1"/>
    <xf numFmtId="164" fontId="0" fillId="2" borderId="2" xfId="4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0" fillId="0" borderId="0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3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8" borderId="0" xfId="0" applyNumberFormat="1" applyFill="1" applyAlignment="1">
      <alignment horizontal="center"/>
    </xf>
    <xf numFmtId="0" fontId="0" fillId="4" borderId="0" xfId="0" applyFill="1" applyBorder="1" applyAlignment="1">
      <alignment horizontal="center" wrapText="1"/>
    </xf>
    <xf numFmtId="0" fontId="0" fillId="5" borderId="0" xfId="0" applyFill="1" applyBorder="1"/>
    <xf numFmtId="2" fontId="0" fillId="8" borderId="0" xfId="0" applyNumberFormat="1" applyFill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Alignment="1"/>
    <xf numFmtId="0" fontId="0" fillId="7" borderId="5" xfId="0" applyFill="1" applyBorder="1" applyAlignment="1">
      <alignment horizontal="left"/>
    </xf>
    <xf numFmtId="0" fontId="0" fillId="7" borderId="6" xfId="0" applyFill="1" applyBorder="1" applyAlignment="1">
      <alignment horizontal="left"/>
    </xf>
    <xf numFmtId="0" fontId="0" fillId="7" borderId="7" xfId="0" applyFill="1" applyBorder="1" applyAlignment="1">
      <alignment horizontal="left"/>
    </xf>
    <xf numFmtId="0" fontId="0" fillId="7" borderId="4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11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12" xfId="0" applyFill="1" applyBorder="1" applyAlignment="1">
      <alignment horizontal="left" vertical="top"/>
    </xf>
    <xf numFmtId="0" fontId="0" fillId="7" borderId="14" xfId="0" applyFill="1" applyBorder="1" applyAlignment="1">
      <alignment horizontal="left" vertical="top"/>
    </xf>
    <xf numFmtId="0" fontId="0" fillId="7" borderId="15" xfId="0" applyFill="1" applyBorder="1" applyAlignment="1">
      <alignment horizontal="left" vertical="top"/>
    </xf>
    <xf numFmtId="0" fontId="0" fillId="7" borderId="16" xfId="0" applyFill="1" applyBorder="1" applyAlignment="1">
      <alignment horizontal="left" vertical="top"/>
    </xf>
    <xf numFmtId="2" fontId="0" fillId="9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0" borderId="0" xfId="0" applyFill="1"/>
    <xf numFmtId="0" fontId="5" fillId="6" borderId="10" xfId="0" applyFont="1" applyFill="1" applyBorder="1" applyAlignment="1">
      <alignment horizontal="center" vertical="center" wrapText="1"/>
    </xf>
    <xf numFmtId="0" fontId="5" fillId="6" borderId="13" xfId="0" applyFont="1" applyFill="1" applyBorder="1" applyAlignment="1">
      <alignment horizontal="center" vertical="center" wrapText="1"/>
    </xf>
    <xf numFmtId="9" fontId="0" fillId="11" borderId="5" xfId="0" applyNumberFormat="1" applyFill="1" applyBorder="1" applyAlignment="1">
      <alignment horizontal="center" wrapText="1"/>
    </xf>
    <xf numFmtId="9" fontId="0" fillId="11" borderId="6" xfId="0" applyNumberFormat="1" applyFill="1" applyBorder="1" applyAlignment="1">
      <alignment horizontal="center" wrapText="1"/>
    </xf>
    <xf numFmtId="9" fontId="0" fillId="11" borderId="7" xfId="0" applyNumberFormat="1" applyFill="1" applyBorder="1" applyAlignment="1">
      <alignment horizontal="center" wrapText="1"/>
    </xf>
  </cellXfs>
  <cellStyles count="6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5" xr:uid="{00000000-0005-0000-0000-000005000000}"/>
    <cellStyle name="Финансовый" xfId="4" builtinId="3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Separation!$E$36</c:f>
              <c:strCache>
                <c:ptCount val="1"/>
                <c:pt idx="0">
                  <c:v>Естественная сепарация 130 мм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Separation!$E$37:$E$62</c:f>
              <c:numCache>
                <c:formatCode>0.00</c:formatCode>
                <c:ptCount val="26"/>
                <c:pt idx="0">
                  <c:v>0.98128000000000004</c:v>
                </c:pt>
                <c:pt idx="1">
                  <c:v>0.94886999999999999</c:v>
                </c:pt>
                <c:pt idx="2">
                  <c:v>0.90781000000000001</c:v>
                </c:pt>
                <c:pt idx="3">
                  <c:v>0.84248000000000001</c:v>
                </c:pt>
                <c:pt idx="4">
                  <c:v>0.78642999999999996</c:v>
                </c:pt>
                <c:pt idx="5">
                  <c:v>0.73714999999999997</c:v>
                </c:pt>
                <c:pt idx="6">
                  <c:v>0.69325000000000003</c:v>
                </c:pt>
                <c:pt idx="7">
                  <c:v>0.67188000000000003</c:v>
                </c:pt>
                <c:pt idx="8">
                  <c:v>0.63739000000000001</c:v>
                </c:pt>
                <c:pt idx="9">
                  <c:v>0.60597000000000001</c:v>
                </c:pt>
                <c:pt idx="10">
                  <c:v>0.57726999999999995</c:v>
                </c:pt>
                <c:pt idx="11">
                  <c:v>0.55101999999999995</c:v>
                </c:pt>
                <c:pt idx="12">
                  <c:v>0.52697000000000005</c:v>
                </c:pt>
                <c:pt idx="13">
                  <c:v>0.50492999999999999</c:v>
                </c:pt>
                <c:pt idx="14">
                  <c:v>0.48470000000000002</c:v>
                </c:pt>
                <c:pt idx="15">
                  <c:v>0.46615000000000001</c:v>
                </c:pt>
                <c:pt idx="16">
                  <c:v>0.44912000000000002</c:v>
                </c:pt>
                <c:pt idx="17">
                  <c:v>0.43348999999999999</c:v>
                </c:pt>
                <c:pt idx="18">
                  <c:v>0.41915999999999998</c:v>
                </c:pt>
                <c:pt idx="19">
                  <c:v>0.40600999999999998</c:v>
                </c:pt>
                <c:pt idx="20">
                  <c:v>0.39395999999999998</c:v>
                </c:pt>
                <c:pt idx="21">
                  <c:v>0.38291999999999998</c:v>
                </c:pt>
                <c:pt idx="22">
                  <c:v>0.37281999999999998</c:v>
                </c:pt>
                <c:pt idx="23">
                  <c:v>0.36357</c:v>
                </c:pt>
                <c:pt idx="24">
                  <c:v>0.35510999999999998</c:v>
                </c:pt>
                <c:pt idx="25">
                  <c:v>0.34737000000000001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0C-4AAF-9F76-7B916FF4FAE3}"/>
            </c:ext>
          </c:extLst>
        </c:ser>
        <c:ser>
          <c:idx val="0"/>
          <c:order val="1"/>
          <c:tx>
            <c:strRef>
              <c:f>Separation!$F$36</c:f>
              <c:strCache>
                <c:ptCount val="1"/>
                <c:pt idx="0">
                  <c:v>Естественная сепарация 104 мм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Separation!$F$37:$F$62</c:f>
              <c:numCache>
                <c:formatCode>0.00</c:formatCode>
                <c:ptCount val="26"/>
                <c:pt idx="0">
                  <c:v>0.91903000000000001</c:v>
                </c:pt>
                <c:pt idx="1">
                  <c:v>0.74199000000000004</c:v>
                </c:pt>
                <c:pt idx="2">
                  <c:v>0.59257000000000004</c:v>
                </c:pt>
                <c:pt idx="3">
                  <c:v>0.42037000000000002</c:v>
                </c:pt>
                <c:pt idx="4">
                  <c:v>0.33787</c:v>
                </c:pt>
                <c:pt idx="5">
                  <c:v>0.29913000000000001</c:v>
                </c:pt>
                <c:pt idx="6">
                  <c:v>0.27078999999999998</c:v>
                </c:pt>
                <c:pt idx="7">
                  <c:v>0.24643000000000001</c:v>
                </c:pt>
                <c:pt idx="8">
                  <c:v>0.20619999999999999</c:v>
                </c:pt>
                <c:pt idx="9">
                  <c:v>0.14263999999999999</c:v>
                </c:pt>
                <c:pt idx="10">
                  <c:v>5.6869999999999997E-2</c:v>
                </c:pt>
                <c:pt idx="11">
                  <c:v>4.7699999999999999E-3</c:v>
                </c:pt>
                <c:pt idx="12">
                  <c:v>1.3999999999999999E-4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0C-4AAF-9F76-7B916FF4F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Общая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Separation!$E$36</c:f>
              <c:strCache>
                <c:ptCount val="1"/>
                <c:pt idx="0">
                  <c:v>Естественная сепарация 130 мм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Separation!$E$37:$E$62</c:f>
              <c:numCache>
                <c:formatCode>0.00</c:formatCode>
                <c:ptCount val="26"/>
                <c:pt idx="0">
                  <c:v>0.98128000000000004</c:v>
                </c:pt>
                <c:pt idx="1">
                  <c:v>0.94886999999999999</c:v>
                </c:pt>
                <c:pt idx="2">
                  <c:v>0.90781000000000001</c:v>
                </c:pt>
                <c:pt idx="3">
                  <c:v>0.84248000000000001</c:v>
                </c:pt>
                <c:pt idx="4">
                  <c:v>0.78642999999999996</c:v>
                </c:pt>
                <c:pt idx="5">
                  <c:v>0.73714999999999997</c:v>
                </c:pt>
                <c:pt idx="6">
                  <c:v>0.69325000000000003</c:v>
                </c:pt>
                <c:pt idx="7">
                  <c:v>0.67188000000000003</c:v>
                </c:pt>
                <c:pt idx="8">
                  <c:v>0.63739000000000001</c:v>
                </c:pt>
                <c:pt idx="9">
                  <c:v>0.60597000000000001</c:v>
                </c:pt>
                <c:pt idx="10">
                  <c:v>0.57726999999999995</c:v>
                </c:pt>
                <c:pt idx="11">
                  <c:v>0.55101999999999995</c:v>
                </c:pt>
                <c:pt idx="12">
                  <c:v>0.52697000000000005</c:v>
                </c:pt>
                <c:pt idx="13">
                  <c:v>0.50492999999999999</c:v>
                </c:pt>
                <c:pt idx="14">
                  <c:v>0.48470000000000002</c:v>
                </c:pt>
                <c:pt idx="15">
                  <c:v>0.46615000000000001</c:v>
                </c:pt>
                <c:pt idx="16">
                  <c:v>0.44912000000000002</c:v>
                </c:pt>
                <c:pt idx="17">
                  <c:v>0.43348999999999999</c:v>
                </c:pt>
                <c:pt idx="18">
                  <c:v>0.41915999999999998</c:v>
                </c:pt>
                <c:pt idx="19">
                  <c:v>0.40600999999999998</c:v>
                </c:pt>
                <c:pt idx="20">
                  <c:v>0.39395999999999998</c:v>
                </c:pt>
                <c:pt idx="21">
                  <c:v>0.38291999999999998</c:v>
                </c:pt>
                <c:pt idx="22">
                  <c:v>0.37281999999999998</c:v>
                </c:pt>
                <c:pt idx="23">
                  <c:v>0.36357</c:v>
                </c:pt>
                <c:pt idx="24">
                  <c:v>0.35510999999999998</c:v>
                </c:pt>
                <c:pt idx="25">
                  <c:v>0.34737000000000001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2F-4936-B8BF-FFB7F4BBD7CE}"/>
            </c:ext>
          </c:extLst>
        </c:ser>
        <c:ser>
          <c:idx val="0"/>
          <c:order val="1"/>
          <c:tx>
            <c:strRef>
              <c:f>Separation!$I$36</c:f>
              <c:strCache>
                <c:ptCount val="1"/>
                <c:pt idx="0">
                  <c:v>Общая сепарация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Separation!$I$37:$I$62</c:f>
              <c:numCache>
                <c:formatCode>0.00</c:formatCode>
                <c:ptCount val="26"/>
                <c:pt idx="0">
                  <c:v>0.99281810749980104</c:v>
                </c:pt>
                <c:pt idx="1">
                  <c:v>0.99088165955075502</c:v>
                </c:pt>
                <c:pt idx="2">
                  <c:v>0.98399236892318487</c:v>
                </c:pt>
                <c:pt idx="3">
                  <c:v>0.96278330009531199</c:v>
                </c:pt>
                <c:pt idx="4">
                  <c:v>0.94276614235109091</c:v>
                </c:pt>
                <c:pt idx="5">
                  <c:v>0.92580313772933187</c:v>
                </c:pt>
                <c:pt idx="6">
                  <c:v>0.90972910797821305</c:v>
                </c:pt>
                <c:pt idx="7">
                  <c:v>0.89930670648557687</c:v>
                </c:pt>
                <c:pt idx="8">
                  <c:v>0.88140799750606891</c:v>
                </c:pt>
                <c:pt idx="9">
                  <c:v>0.85976551264347001</c:v>
                </c:pt>
                <c:pt idx="10">
                  <c:v>0.83554150154368179</c:v>
                </c:pt>
                <c:pt idx="11">
                  <c:v>0.81538598165760434</c:v>
                </c:pt>
                <c:pt idx="12">
                  <c:v>0.80004854571872985</c:v>
                </c:pt>
                <c:pt idx="13">
                  <c:v>0.78557438167313742</c:v>
                </c:pt>
                <c:pt idx="14">
                  <c:v>0.77155244975577109</c:v>
                </c:pt>
                <c:pt idx="15">
                  <c:v>0.75797656128941293</c:v>
                </c:pt>
                <c:pt idx="16">
                  <c:v>0.7448332545285794</c:v>
                </c:pt>
                <c:pt idx="17">
                  <c:v>0.73211996529950407</c:v>
                </c:pt>
                <c:pt idx="18">
                  <c:v>0.71983756717903347</c:v>
                </c:pt>
                <c:pt idx="19">
                  <c:v>0.7079718540214528</c:v>
                </c:pt>
                <c:pt idx="20">
                  <c:v>0.6965228554755345</c:v>
                </c:pt>
                <c:pt idx="21">
                  <c:v>0.68548135766125506</c:v>
                </c:pt>
                <c:pt idx="22">
                  <c:v>0.67484416427910188</c:v>
                </c:pt>
                <c:pt idx="23">
                  <c:v>0.66459403688875818</c:v>
                </c:pt>
                <c:pt idx="24">
                  <c:v>0.65472575336565875</c:v>
                </c:pt>
                <c:pt idx="25">
                  <c:v>0.64522575832611428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2F-4936-B8BF-FFB7F4BBD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45760"/>
        <c:axId val="233646336"/>
      </c:scatterChart>
      <c:valAx>
        <c:axId val="23364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Дебит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6336"/>
        <c:crosses val="autoZero"/>
        <c:crossBetween val="midCat"/>
      </c:valAx>
      <c:valAx>
        <c:axId val="23364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Separation!$G$36</c:f>
              <c:strCache>
                <c:ptCount val="1"/>
                <c:pt idx="0">
                  <c:v>Доля газа в газосепараторе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Separation!$G$37:$G$62</c:f>
              <c:numCache>
                <c:formatCode>0.00</c:formatCode>
                <c:ptCount val="26"/>
                <c:pt idx="0">
                  <c:v>0.14954273177947791</c:v>
                </c:pt>
                <c:pt idx="1">
                  <c:v>0.3591000417218676</c:v>
                </c:pt>
                <c:pt idx="2">
                  <c:v>0.4694377575294269</c:v>
                </c:pt>
                <c:pt idx="3">
                  <c:v>0.55727728078658023</c:v>
                </c:pt>
                <c:pt idx="4">
                  <c:v>0.58981271625912124</c:v>
                </c:pt>
                <c:pt idx="5">
                  <c:v>0.60349562608943197</c:v>
                </c:pt>
                <c:pt idx="6">
                  <c:v>0.61294088359867349</c:v>
                </c:pt>
                <c:pt idx="7">
                  <c:v>0.6207072486673878</c:v>
                </c:pt>
                <c:pt idx="8">
                  <c:v>0.63287274619355438</c:v>
                </c:pt>
                <c:pt idx="9">
                  <c:v>0.65057944643538057</c:v>
                </c:pt>
                <c:pt idx="10">
                  <c:v>0.67193138061359625</c:v>
                </c:pt>
                <c:pt idx="11">
                  <c:v>0.68367298311006908</c:v>
                </c:pt>
                <c:pt idx="12">
                  <c:v>0.68467589578714705</c:v>
                </c:pt>
                <c:pt idx="13">
                  <c:v>0.68470612239540418</c:v>
                </c:pt>
                <c:pt idx="14">
                  <c:v>0.68470612239540407</c:v>
                </c:pt>
                <c:pt idx="15">
                  <c:v>0.68470612239540418</c:v>
                </c:pt>
                <c:pt idx="16">
                  <c:v>0.68470612239540407</c:v>
                </c:pt>
                <c:pt idx="17">
                  <c:v>0.68470612239540418</c:v>
                </c:pt>
                <c:pt idx="18">
                  <c:v>0.68470612239540418</c:v>
                </c:pt>
                <c:pt idx="19">
                  <c:v>0.68470612239540407</c:v>
                </c:pt>
                <c:pt idx="20">
                  <c:v>0.68470612239540407</c:v>
                </c:pt>
                <c:pt idx="21">
                  <c:v>0.68470612239540418</c:v>
                </c:pt>
                <c:pt idx="22">
                  <c:v>0.68470612239540407</c:v>
                </c:pt>
                <c:pt idx="23">
                  <c:v>0.68470612239540418</c:v>
                </c:pt>
                <c:pt idx="24">
                  <c:v>0.68470612239540407</c:v>
                </c:pt>
                <c:pt idx="25">
                  <c:v>0.68470612239540418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BF-433F-BD46-1EF4E34438F6}"/>
            </c:ext>
          </c:extLst>
        </c:ser>
        <c:ser>
          <c:idx val="0"/>
          <c:order val="1"/>
          <c:tx>
            <c:strRef>
              <c:f>Separation!$J$36</c:f>
              <c:strCache>
                <c:ptCount val="1"/>
                <c:pt idx="0">
                  <c:v>Доля газа в насосе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Separation!$J$37:$J$62</c:f>
              <c:numCache>
                <c:formatCode>0.00</c:formatCode>
                <c:ptCount val="26"/>
                <c:pt idx="0">
                  <c:v>1.5356999556545426E-2</c:v>
                </c:pt>
                <c:pt idx="1">
                  <c:v>1.9417294000764394E-2</c:v>
                </c:pt>
                <c:pt idx="2">
                  <c:v>3.3595019662320459E-2</c:v>
                </c:pt>
                <c:pt idx="3">
                  <c:v>7.4777783274518894E-2</c:v>
                </c:pt>
                <c:pt idx="4">
                  <c:v>0.11055101546653667</c:v>
                </c:pt>
                <c:pt idx="5">
                  <c:v>0.13876938756703708</c:v>
                </c:pt>
                <c:pt idx="6">
                  <c:v>0.16390494688537688</c:v>
                </c:pt>
                <c:pt idx="7">
                  <c:v>0.17943332164075118</c:v>
                </c:pt>
                <c:pt idx="8">
                  <c:v>0.2047964357379255</c:v>
                </c:pt>
                <c:pt idx="9">
                  <c:v>0.23344592668367858</c:v>
                </c:pt>
                <c:pt idx="10">
                  <c:v>0.26315924561921283</c:v>
                </c:pt>
                <c:pt idx="11">
                  <c:v>0.28618130833677047</c:v>
                </c:pt>
                <c:pt idx="12">
                  <c:v>0.30275856043893656</c:v>
                </c:pt>
                <c:pt idx="13">
                  <c:v>0.31771173005909603</c:v>
                </c:pt>
                <c:pt idx="14">
                  <c:v>0.33159851903311621</c:v>
                </c:pt>
                <c:pt idx="15">
                  <c:v>0.34451537589930759</c:v>
                </c:pt>
                <c:pt idx="16">
                  <c:v>0.35655375722611471</c:v>
                </c:pt>
                <c:pt idx="17">
                  <c:v>0.3677848945731701</c:v>
                </c:pt>
                <c:pt idx="18">
                  <c:v>0.37826918647636643</c:v>
                </c:pt>
                <c:pt idx="19">
                  <c:v>0.38807276637500676</c:v>
                </c:pt>
                <c:pt idx="20">
                  <c:v>0.39724337060213766</c:v>
                </c:pt>
                <c:pt idx="21">
                  <c:v>0.40583090946482875</c:v>
                </c:pt>
                <c:pt idx="22">
                  <c:v>0.41387571407132173</c:v>
                </c:pt>
                <c:pt idx="23">
                  <c:v>0.42142433842191102</c:v>
                </c:pt>
                <c:pt idx="24">
                  <c:v>0.42851030108091964</c:v>
                </c:pt>
                <c:pt idx="25">
                  <c:v>0.43516975173320166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BF-433F-BD46-1EF4E3443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'Сепарация ПКВ'!#REF!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27-4487-B653-0BD7607A3A5F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'Сепарация ПКВ'!#REF!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927-4487-B653-0BD7607A3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Оценка коэффициента</a:t>
            </a:r>
            <a:r>
              <a:rPr lang="ru-RU" baseline="0"/>
              <a:t> сепарации для работающего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'Сепарация ПКВ'!$F$36</c:f>
              <c:strCache>
                <c:ptCount val="1"/>
                <c:pt idx="0">
                  <c:v>Ксеп мех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ПКВ'!$F$37:$F$62</c:f>
              <c:numCache>
                <c:formatCode>0.00</c:formatCode>
                <c:ptCount val="26"/>
                <c:pt idx="0">
                  <c:v>0.99478</c:v>
                </c:pt>
                <c:pt idx="1">
                  <c:v>0.97336</c:v>
                </c:pt>
                <c:pt idx="2">
                  <c:v>0.95154000000000005</c:v>
                </c:pt>
                <c:pt idx="3">
                  <c:v>0.92974000000000001</c:v>
                </c:pt>
                <c:pt idx="4">
                  <c:v>0.90827999999999998</c:v>
                </c:pt>
                <c:pt idx="5">
                  <c:v>0.88737999999999995</c:v>
                </c:pt>
                <c:pt idx="6">
                  <c:v>0.86714999999999998</c:v>
                </c:pt>
                <c:pt idx="7">
                  <c:v>0.84772999999999998</c:v>
                </c:pt>
                <c:pt idx="8">
                  <c:v>0.82916000000000001</c:v>
                </c:pt>
                <c:pt idx="9">
                  <c:v>0.81140000000000001</c:v>
                </c:pt>
                <c:pt idx="10">
                  <c:v>0.7944</c:v>
                </c:pt>
                <c:pt idx="11">
                  <c:v>0.77810999999999997</c:v>
                </c:pt>
                <c:pt idx="12">
                  <c:v>0.76249</c:v>
                </c:pt>
                <c:pt idx="13">
                  <c:v>0.74751999999999996</c:v>
                </c:pt>
                <c:pt idx="14">
                  <c:v>0.73311000000000004</c:v>
                </c:pt>
                <c:pt idx="15">
                  <c:v>0.71923999999999999</c:v>
                </c:pt>
                <c:pt idx="16">
                  <c:v>0.70584999999999998</c:v>
                </c:pt>
                <c:pt idx="17">
                  <c:v>0.69291999999999998</c:v>
                </c:pt>
                <c:pt idx="18">
                  <c:v>0.68039000000000005</c:v>
                </c:pt>
                <c:pt idx="19">
                  <c:v>0.66822999999999999</c:v>
                </c:pt>
                <c:pt idx="20">
                  <c:v>0.65641000000000005</c:v>
                </c:pt>
                <c:pt idx="21">
                  <c:v>0.64490999999999998</c:v>
                </c:pt>
                <c:pt idx="22">
                  <c:v>0.64278000000000002</c:v>
                </c:pt>
                <c:pt idx="23">
                  <c:v>0.63151000000000002</c:v>
                </c:pt>
                <c:pt idx="24">
                  <c:v>0.62050000000000005</c:v>
                </c:pt>
                <c:pt idx="25">
                  <c:v>0.60970999999999997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E5-4CDC-B994-9945D3124F43}"/>
            </c:ext>
          </c:extLst>
        </c:ser>
        <c:ser>
          <c:idx val="2"/>
          <c:order val="1"/>
          <c:tx>
            <c:strRef>
              <c:f>'Сепарация ПКВ'!$I$36</c:f>
              <c:strCache>
                <c:ptCount val="1"/>
                <c:pt idx="0">
                  <c:v>Ксеп мех ПКВ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ПКВ'!$I$37:$I$62</c:f>
              <c:numCache>
                <c:formatCode>0.00</c:formatCode>
                <c:ptCount val="26"/>
                <c:pt idx="0">
                  <c:v>0.98399999999999999</c:v>
                </c:pt>
                <c:pt idx="1">
                  <c:v>0.91561999999999999</c:v>
                </c:pt>
                <c:pt idx="2">
                  <c:v>0.84216000000000002</c:v>
                </c:pt>
                <c:pt idx="3">
                  <c:v>0.76592000000000005</c:v>
                </c:pt>
                <c:pt idx="4">
                  <c:v>0.6885</c:v>
                </c:pt>
                <c:pt idx="5">
                  <c:v>0.61112999999999995</c:v>
                </c:pt>
                <c:pt idx="6">
                  <c:v>0.53466999999999998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1E5-4CDC-B994-9945D3124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45760"/>
        <c:axId val="233646336"/>
      </c:scatterChart>
      <c:valAx>
        <c:axId val="233645760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Дебит жидкости из пласта,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6336"/>
        <c:crosses val="autoZero"/>
        <c:crossBetween val="midCat"/>
      </c:valAx>
      <c:valAx>
        <c:axId val="23364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насосе после сепарации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'Сепарация ПКВ'!$E$36</c:f>
              <c:strCache>
                <c:ptCount val="1"/>
                <c:pt idx="0">
                  <c:v>доля газа перед сепарацией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ПКВ'!$E$37:$E$62</c:f>
              <c:numCache>
                <c:formatCode>0.00</c:formatCode>
                <c:ptCount val="26"/>
                <c:pt idx="0">
                  <c:v>0.61477952239535605</c:v>
                </c:pt>
                <c:pt idx="1">
                  <c:v>0.61477952239535605</c:v>
                </c:pt>
                <c:pt idx="2">
                  <c:v>0.61477952239535605</c:v>
                </c:pt>
                <c:pt idx="3">
                  <c:v>0.61477952239535605</c:v>
                </c:pt>
                <c:pt idx="4">
                  <c:v>0.61477952239535605</c:v>
                </c:pt>
                <c:pt idx="5">
                  <c:v>0.61477952239535605</c:v>
                </c:pt>
                <c:pt idx="6">
                  <c:v>0.61477952239535605</c:v>
                </c:pt>
                <c:pt idx="7">
                  <c:v>0.61477952239535605</c:v>
                </c:pt>
                <c:pt idx="8">
                  <c:v>0.61477952239535605</c:v>
                </c:pt>
                <c:pt idx="9">
                  <c:v>0.61477952239535605</c:v>
                </c:pt>
                <c:pt idx="10">
                  <c:v>0.61477952239535605</c:v>
                </c:pt>
                <c:pt idx="11">
                  <c:v>0.61477952239535605</c:v>
                </c:pt>
                <c:pt idx="12">
                  <c:v>0.61477952239535605</c:v>
                </c:pt>
                <c:pt idx="13">
                  <c:v>0.61477952239535605</c:v>
                </c:pt>
                <c:pt idx="14">
                  <c:v>0.61477952239535605</c:v>
                </c:pt>
                <c:pt idx="15">
                  <c:v>0.61477952239535605</c:v>
                </c:pt>
                <c:pt idx="16">
                  <c:v>0.61477952239535605</c:v>
                </c:pt>
                <c:pt idx="17">
                  <c:v>0.61477952239535605</c:v>
                </c:pt>
                <c:pt idx="18">
                  <c:v>0.61477952239535605</c:v>
                </c:pt>
                <c:pt idx="19">
                  <c:v>0.61477952239535605</c:v>
                </c:pt>
                <c:pt idx="20">
                  <c:v>0.61477952239535605</c:v>
                </c:pt>
                <c:pt idx="21">
                  <c:v>0.61477952239535605</c:v>
                </c:pt>
                <c:pt idx="22">
                  <c:v>0.61477952239535605</c:v>
                </c:pt>
                <c:pt idx="23">
                  <c:v>0.61477952239535605</c:v>
                </c:pt>
                <c:pt idx="24">
                  <c:v>0.61477952239535605</c:v>
                </c:pt>
                <c:pt idx="25">
                  <c:v>0.61477952239535605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73-4661-AEDE-FFA1AB9C4785}"/>
            </c:ext>
          </c:extLst>
        </c:ser>
        <c:ser>
          <c:idx val="2"/>
          <c:order val="1"/>
          <c:tx>
            <c:strRef>
              <c:f>'Сепарация ПКВ'!$H$36</c:f>
              <c:strCache>
                <c:ptCount val="1"/>
                <c:pt idx="0">
                  <c:v>доля газа в насос мех модель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ПКВ'!$H$37:$H$62</c:f>
              <c:numCache>
                <c:formatCode>0.00</c:formatCode>
                <c:ptCount val="26"/>
                <c:pt idx="0">
                  <c:v>1.0156575858899104E-2</c:v>
                </c:pt>
                <c:pt idx="1">
                  <c:v>4.2343636776293263E-2</c:v>
                </c:pt>
                <c:pt idx="2">
                  <c:v>7.3378948534339364E-2</c:v>
                </c:pt>
                <c:pt idx="3">
                  <c:v>0.10265534709758001</c:v>
                </c:pt>
                <c:pt idx="4">
                  <c:v>0.1293646132016347</c:v>
                </c:pt>
                <c:pt idx="5">
                  <c:v>0.1538017186967415</c:v>
                </c:pt>
                <c:pt idx="6">
                  <c:v>0.17631860055934589</c:v>
                </c:pt>
                <c:pt idx="7">
                  <c:v>0.19701213141470994</c:v>
                </c:pt>
                <c:pt idx="8">
                  <c:v>0.21578417136244199</c:v>
                </c:pt>
                <c:pt idx="9">
                  <c:v>0.2327538720907221</c:v>
                </c:pt>
                <c:pt idx="10">
                  <c:v>0.2483854089407905</c:v>
                </c:pt>
                <c:pt idx="11">
                  <c:v>0.26280897457059554</c:v>
                </c:pt>
                <c:pt idx="12">
                  <c:v>0.27615708681676326</c:v>
                </c:pt>
                <c:pt idx="13">
                  <c:v>0.28852915634885745</c:v>
                </c:pt>
                <c:pt idx="14">
                  <c:v>0.30000305134665628</c:v>
                </c:pt>
                <c:pt idx="15">
                  <c:v>0.3105950022874705</c:v>
                </c:pt>
                <c:pt idx="16">
                  <c:v>0.32064305171191471</c:v>
                </c:pt>
                <c:pt idx="17">
                  <c:v>0.32997094019430318</c:v>
                </c:pt>
                <c:pt idx="18">
                  <c:v>0.33888697774823473</c:v>
                </c:pt>
                <c:pt idx="19">
                  <c:v>0.3472128997923471</c:v>
                </c:pt>
                <c:pt idx="20">
                  <c:v>0.35521901452012755</c:v>
                </c:pt>
                <c:pt idx="21">
                  <c:v>0.36282945457678195</c:v>
                </c:pt>
                <c:pt idx="22">
                  <c:v>0.36415275292421917</c:v>
                </c:pt>
                <c:pt idx="23">
                  <c:v>0.37134612903823688</c:v>
                </c:pt>
                <c:pt idx="24">
                  <c:v>0.37821486929871651</c:v>
                </c:pt>
                <c:pt idx="25">
                  <c:v>0.38479504201242121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73-4661-AEDE-FFA1AB9C4785}"/>
            </c:ext>
          </c:extLst>
        </c:ser>
        <c:ser>
          <c:idx val="3"/>
          <c:order val="2"/>
          <c:tx>
            <c:strRef>
              <c:f>'Сепарация ПКВ'!$K$36</c:f>
              <c:strCache>
                <c:ptCount val="1"/>
                <c:pt idx="0">
                  <c:v>доля газа в насосе ПКВ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ПКВ'!$K$37:$K$62</c:f>
              <c:numCache>
                <c:formatCode>0.00</c:formatCode>
                <c:ptCount val="26"/>
                <c:pt idx="0">
                  <c:v>2.0239159921576745E-2</c:v>
                </c:pt>
                <c:pt idx="1">
                  <c:v>5.0479659692016898E-2</c:v>
                </c:pt>
                <c:pt idx="2">
                  <c:v>8.0346379285461469E-2</c:v>
                </c:pt>
                <c:pt idx="3">
                  <c:v>0.10903793272893927</c:v>
                </c:pt>
                <c:pt idx="4">
                  <c:v>0.13631575497379678</c:v>
                </c:pt>
                <c:pt idx="5">
                  <c:v>0.1617913828450542</c:v>
                </c:pt>
                <c:pt idx="6">
                  <c:v>0.1855172575269852</c:v>
                </c:pt>
                <c:pt idx="7">
                  <c:v>0.32410974624379912</c:v>
                </c:pt>
                <c:pt idx="8">
                  <c:v>0.32410974624379912</c:v>
                </c:pt>
                <c:pt idx="9">
                  <c:v>0.32410974624379918</c:v>
                </c:pt>
                <c:pt idx="10">
                  <c:v>0.32410974624379918</c:v>
                </c:pt>
                <c:pt idx="11">
                  <c:v>0.32410974624379918</c:v>
                </c:pt>
                <c:pt idx="12">
                  <c:v>0.32410974624379912</c:v>
                </c:pt>
                <c:pt idx="13">
                  <c:v>0.52643818059281777</c:v>
                </c:pt>
                <c:pt idx="14">
                  <c:v>0.52643818059281777</c:v>
                </c:pt>
                <c:pt idx="15">
                  <c:v>0.52643818059281777</c:v>
                </c:pt>
                <c:pt idx="16">
                  <c:v>0.52643818059281777</c:v>
                </c:pt>
                <c:pt idx="17">
                  <c:v>0.52643818059281777</c:v>
                </c:pt>
                <c:pt idx="18">
                  <c:v>0.52643818059281777</c:v>
                </c:pt>
                <c:pt idx="19">
                  <c:v>0.52643818059281777</c:v>
                </c:pt>
                <c:pt idx="20">
                  <c:v>0.52643818059281777</c:v>
                </c:pt>
                <c:pt idx="21">
                  <c:v>0.52643818059281788</c:v>
                </c:pt>
                <c:pt idx="22">
                  <c:v>0.52643818059281777</c:v>
                </c:pt>
                <c:pt idx="23">
                  <c:v>0.52643818059281777</c:v>
                </c:pt>
                <c:pt idx="24">
                  <c:v>0.52643818059281777</c:v>
                </c:pt>
                <c:pt idx="25">
                  <c:v>0.52643818059281777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73-4661-AEDE-FFA1AB9C4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</a:t>
                </a:r>
                <a:r>
                  <a:rPr lang="ru-RU" baseline="0"/>
                  <a:t> газа в потоке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Оценка коэффициента</a:t>
            </a:r>
            <a:r>
              <a:rPr lang="ru-RU" baseline="0"/>
              <a:t> сепарации для работающего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'Сепарация ПКВ'!$F$36</c:f>
              <c:strCache>
                <c:ptCount val="1"/>
                <c:pt idx="0">
                  <c:v>Ксеп мех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ПКВ'!$F$37:$F$62</c:f>
              <c:numCache>
                <c:formatCode>0.00</c:formatCode>
                <c:ptCount val="26"/>
                <c:pt idx="0">
                  <c:v>0.99478</c:v>
                </c:pt>
                <c:pt idx="1">
                  <c:v>0.97336</c:v>
                </c:pt>
                <c:pt idx="2">
                  <c:v>0.95154000000000005</c:v>
                </c:pt>
                <c:pt idx="3">
                  <c:v>0.92974000000000001</c:v>
                </c:pt>
                <c:pt idx="4">
                  <c:v>0.90827999999999998</c:v>
                </c:pt>
                <c:pt idx="5">
                  <c:v>0.88737999999999995</c:v>
                </c:pt>
                <c:pt idx="6">
                  <c:v>0.86714999999999998</c:v>
                </c:pt>
                <c:pt idx="7">
                  <c:v>0.84772999999999998</c:v>
                </c:pt>
                <c:pt idx="8">
                  <c:v>0.82916000000000001</c:v>
                </c:pt>
                <c:pt idx="9">
                  <c:v>0.81140000000000001</c:v>
                </c:pt>
                <c:pt idx="10">
                  <c:v>0.7944</c:v>
                </c:pt>
                <c:pt idx="11">
                  <c:v>0.77810999999999997</c:v>
                </c:pt>
                <c:pt idx="12">
                  <c:v>0.76249</c:v>
                </c:pt>
                <c:pt idx="13">
                  <c:v>0.74751999999999996</c:v>
                </c:pt>
                <c:pt idx="14">
                  <c:v>0.73311000000000004</c:v>
                </c:pt>
                <c:pt idx="15">
                  <c:v>0.71923999999999999</c:v>
                </c:pt>
                <c:pt idx="16">
                  <c:v>0.70584999999999998</c:v>
                </c:pt>
                <c:pt idx="17">
                  <c:v>0.69291999999999998</c:v>
                </c:pt>
                <c:pt idx="18">
                  <c:v>0.68039000000000005</c:v>
                </c:pt>
                <c:pt idx="19">
                  <c:v>0.66822999999999999</c:v>
                </c:pt>
                <c:pt idx="20">
                  <c:v>0.65641000000000005</c:v>
                </c:pt>
                <c:pt idx="21">
                  <c:v>0.64490999999999998</c:v>
                </c:pt>
                <c:pt idx="22">
                  <c:v>0.64278000000000002</c:v>
                </c:pt>
                <c:pt idx="23">
                  <c:v>0.63151000000000002</c:v>
                </c:pt>
                <c:pt idx="24">
                  <c:v>0.62050000000000005</c:v>
                </c:pt>
                <c:pt idx="25">
                  <c:v>0.60970999999999997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12-4AF0-B544-C91120BDBFDE}"/>
            </c:ext>
          </c:extLst>
        </c:ser>
        <c:ser>
          <c:idx val="2"/>
          <c:order val="1"/>
          <c:tx>
            <c:strRef>
              <c:f>'Сепарация ПКВ'!$I$36</c:f>
              <c:strCache>
                <c:ptCount val="1"/>
                <c:pt idx="0">
                  <c:v>Ксеп мех ПКВ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'Сепарация ПКВ'!$A$37:$A$62</c:f>
              <c:numCache>
                <c:formatCode>General</c:formatCode>
                <c:ptCount val="26"/>
                <c:pt idx="0">
                  <c:v>3.3333333333333335</c:v>
                </c:pt>
                <c:pt idx="1">
                  <c:v>16.666666666666668</c:v>
                </c:pt>
                <c:pt idx="2">
                  <c:v>30</c:v>
                </c:pt>
                <c:pt idx="3">
                  <c:v>43.333333333333329</c:v>
                </c:pt>
                <c:pt idx="4">
                  <c:v>56.666666666666664</c:v>
                </c:pt>
                <c:pt idx="5">
                  <c:v>70</c:v>
                </c:pt>
                <c:pt idx="6">
                  <c:v>83.333333333333343</c:v>
                </c:pt>
                <c:pt idx="7">
                  <c:v>96.666666666666657</c:v>
                </c:pt>
                <c:pt idx="8">
                  <c:v>110</c:v>
                </c:pt>
                <c:pt idx="9">
                  <c:v>123.33333333333333</c:v>
                </c:pt>
                <c:pt idx="10">
                  <c:v>136.66666666666669</c:v>
                </c:pt>
                <c:pt idx="11">
                  <c:v>150</c:v>
                </c:pt>
                <c:pt idx="12">
                  <c:v>163.33333333333331</c:v>
                </c:pt>
                <c:pt idx="13">
                  <c:v>176.66666666666666</c:v>
                </c:pt>
                <c:pt idx="14">
                  <c:v>190</c:v>
                </c:pt>
                <c:pt idx="15">
                  <c:v>203.33333333333331</c:v>
                </c:pt>
                <c:pt idx="16">
                  <c:v>216.66666666666669</c:v>
                </c:pt>
                <c:pt idx="17">
                  <c:v>230</c:v>
                </c:pt>
                <c:pt idx="18">
                  <c:v>243.33333333333331</c:v>
                </c:pt>
                <c:pt idx="19">
                  <c:v>256.66666666666663</c:v>
                </c:pt>
                <c:pt idx="20">
                  <c:v>270</c:v>
                </c:pt>
                <c:pt idx="21">
                  <c:v>283.33333333333331</c:v>
                </c:pt>
                <c:pt idx="22">
                  <c:v>296.66666666666663</c:v>
                </c:pt>
                <c:pt idx="23">
                  <c:v>310</c:v>
                </c:pt>
                <c:pt idx="24">
                  <c:v>323.33333333333331</c:v>
                </c:pt>
                <c:pt idx="25">
                  <c:v>336.66666666666663</c:v>
                </c:pt>
              </c:numCache>
            </c:numRef>
          </c:xVal>
          <c:yVal>
            <c:numRef>
              <c:f>'Сепарация ПКВ'!$I$37:$I$62</c:f>
              <c:numCache>
                <c:formatCode>0.00</c:formatCode>
                <c:ptCount val="26"/>
                <c:pt idx="0">
                  <c:v>0.98399999999999999</c:v>
                </c:pt>
                <c:pt idx="1">
                  <c:v>0.91561999999999999</c:v>
                </c:pt>
                <c:pt idx="2">
                  <c:v>0.84216000000000002</c:v>
                </c:pt>
                <c:pt idx="3">
                  <c:v>0.76592000000000005</c:v>
                </c:pt>
                <c:pt idx="4">
                  <c:v>0.6885</c:v>
                </c:pt>
                <c:pt idx="5">
                  <c:v>0.61112999999999995</c:v>
                </c:pt>
                <c:pt idx="6">
                  <c:v>0.53466999999999998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12-4AF0-B544-C91120BDB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45760"/>
        <c:axId val="233646336"/>
      </c:scatterChart>
      <c:valAx>
        <c:axId val="233645760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Дебит жидкости в насосе,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6336"/>
        <c:crosses val="autoZero"/>
        <c:crossBetween val="midCat"/>
      </c:valAx>
      <c:valAx>
        <c:axId val="23364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358190</xdr:colOff>
      <xdr:row>34</xdr:row>
      <xdr:rowOff>154881</xdr:rowOff>
    </xdr:from>
    <xdr:to>
      <xdr:col>25</xdr:col>
      <xdr:colOff>11206</xdr:colOff>
      <xdr:row>61</xdr:row>
      <xdr:rowOff>145676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566299</xdr:colOff>
      <xdr:row>35</xdr:row>
      <xdr:rowOff>20412</xdr:rowOff>
    </xdr:from>
    <xdr:to>
      <xdr:col>18</xdr:col>
      <xdr:colOff>324972</xdr:colOff>
      <xdr:row>61</xdr:row>
      <xdr:rowOff>123264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28095</xdr:colOff>
      <xdr:row>0</xdr:row>
      <xdr:rowOff>24092</xdr:rowOff>
    </xdr:from>
    <xdr:to>
      <xdr:col>13</xdr:col>
      <xdr:colOff>173935</xdr:colOff>
      <xdr:row>15</xdr:row>
      <xdr:rowOff>20171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933595" y="24092"/>
          <a:ext cx="4908340" cy="292812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/>
            <a:t>Упражнение показывает как можно оценить коэффициенты естественной сепарации и сепарации за счет применения газосепаратора </a:t>
          </a:r>
          <a:endParaRPr lang="en-US" sz="1100" baseline="0"/>
        </a:p>
        <a:p>
          <a:endParaRPr lang="ru-RU" sz="1100" baseline="0"/>
        </a:p>
        <a:p>
          <a:r>
            <a:rPr lang="ru-RU" sz="1100" baseline="0"/>
            <a:t>Выполните следующее задание</a:t>
          </a:r>
          <a:endParaRPr lang="en-US" sz="1100" baseline="0"/>
        </a:p>
        <a:p>
          <a:r>
            <a:rPr lang="ru-RU" sz="1100" baseline="0"/>
            <a:t>1. Рассчитайте коэффициент естественной сепарации для двух вариантов диаметра эксплуатационной колонны</a:t>
          </a:r>
        </a:p>
        <a:p>
          <a:r>
            <a:rPr lang="ru-RU" sz="1100" baseline="0"/>
            <a:t>2. Рассчитайте долю газа в газосепараторе</a:t>
          </a:r>
        </a:p>
        <a:p>
          <a:r>
            <a:rPr lang="ru-RU" sz="1100" baseline="0"/>
            <a:t>3. Рассчитайте коэффициент сепарации газосепаратора</a:t>
          </a:r>
        </a:p>
        <a:p>
          <a:r>
            <a:rPr lang="ru-RU" sz="1100" baseline="0"/>
            <a:t>4. Рассчитайте общий коээфициент сепарации</a:t>
          </a:r>
        </a:p>
        <a:p>
          <a:endParaRPr lang="en-US" sz="1100" baseline="0"/>
        </a:p>
        <a:p>
          <a:r>
            <a:rPr lang="ru-RU" sz="1100" baseline="0"/>
            <a:t>Используйте функции</a:t>
          </a:r>
        </a:p>
        <a:p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MF_ksep_natural_d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ESP_ksep_gasseparator_d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MF_ksep_total_d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5" name="Стрелка: влево 4">
          <a:extLst>
            <a:ext uri="{FF2B5EF4-FFF2-40B4-BE49-F238E27FC236}">
              <a16:creationId xmlns:a16="http://schemas.microsoft.com/office/drawing/2014/main" id="{E409B68A-7566-41A6-8BE6-039CE64BD2B6}"/>
            </a:ext>
          </a:extLst>
        </xdr:cNvPr>
        <xdr:cNvSpPr/>
      </xdr:nvSpPr>
      <xdr:spPr>
        <a:xfrm>
          <a:off x="279586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8</xdr:col>
      <xdr:colOff>952500</xdr:colOff>
      <xdr:row>43</xdr:row>
      <xdr:rowOff>123264</xdr:rowOff>
    </xdr:from>
    <xdr:to>
      <xdr:col>11</xdr:col>
      <xdr:colOff>560293</xdr:colOff>
      <xdr:row>51</xdr:row>
      <xdr:rowOff>107916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7CADE37B-93E4-40F4-9E51-08A2C76600EF}"/>
            </a:ext>
          </a:extLst>
        </xdr:cNvPr>
        <xdr:cNvSpPr/>
      </xdr:nvSpPr>
      <xdr:spPr>
        <a:xfrm>
          <a:off x="7922559" y="8281146"/>
          <a:ext cx="2084293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</a:t>
          </a:r>
          <a:r>
            <a:rPr lang="en-US" sz="1100"/>
            <a:t>. </a:t>
          </a:r>
          <a:r>
            <a:rPr lang="ru-RU" sz="1100"/>
            <a:t>Рассчитайте кривые зависимость Ксеп от давления и температуры</a:t>
          </a:r>
        </a:p>
      </xdr:txBody>
    </xdr:sp>
    <xdr:clientData/>
  </xdr:twoCellAnchor>
  <xdr:twoCellAnchor editAs="oneCell">
    <xdr:from>
      <xdr:col>22</xdr:col>
      <xdr:colOff>213886</xdr:colOff>
      <xdr:row>0</xdr:row>
      <xdr:rowOff>117906</xdr:rowOff>
    </xdr:from>
    <xdr:to>
      <xdr:col>27</xdr:col>
      <xdr:colOff>225091</xdr:colOff>
      <xdr:row>24</xdr:row>
      <xdr:rowOff>105726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33C9B5F6-3600-4B1A-938E-54AF80C470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0" t="9968" r="37389" b="9714"/>
        <a:stretch/>
      </xdr:blipFill>
      <xdr:spPr>
        <a:xfrm>
          <a:off x="16398103" y="117906"/>
          <a:ext cx="3075771" cy="4841429"/>
        </a:xfrm>
        <a:prstGeom prst="rect">
          <a:avLst/>
        </a:prstGeom>
      </xdr:spPr>
    </xdr:pic>
    <xdr:clientData/>
  </xdr:twoCellAnchor>
  <xdr:twoCellAnchor>
    <xdr:from>
      <xdr:col>13</xdr:col>
      <xdr:colOff>206091</xdr:colOff>
      <xdr:row>0</xdr:row>
      <xdr:rowOff>41902</xdr:rowOff>
    </xdr:from>
    <xdr:to>
      <xdr:col>22</xdr:col>
      <xdr:colOff>8283</xdr:colOff>
      <xdr:row>15</xdr:row>
      <xdr:rowOff>16567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823060-76F4-41F0-8C9D-FE24FFE41A11}"/>
            </a:ext>
          </a:extLst>
        </xdr:cNvPr>
        <xdr:cNvSpPr txBox="1"/>
      </xdr:nvSpPr>
      <xdr:spPr>
        <a:xfrm>
          <a:off x="10874091" y="41902"/>
          <a:ext cx="5318409" cy="29067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(направления исследований)</a:t>
          </a:r>
        </a:p>
        <a:p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От каких параметров будет зависеть коэффициент сепарации наиболее сильно?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/>
            <a:t>Как можно объяснить сильную зависимость, коэффициента сепарации  от дебита?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Будет ли коэффициент сепарации зависит от температуры в месте установки насоса?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Дополнительные вопросы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 будет зависеть коэффициент сепарации от угла наклона УЭЦН в месте установки?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Как улучшить сепарацию газа - какие рекомендации по конструкции скважины и насоса вы бы дали?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изменятся параметры флюида после сепарации - постройте графики, которые бы иллюстрировали эти изменения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endParaRPr lang="ru-RU">
            <a:effectLst/>
          </a:endParaRPr>
        </a:p>
      </xdr:txBody>
    </xdr:sp>
    <xdr:clientData/>
  </xdr:twoCellAnchor>
  <xdr:twoCellAnchor>
    <xdr:from>
      <xdr:col>26</xdr:col>
      <xdr:colOff>0</xdr:colOff>
      <xdr:row>35</xdr:row>
      <xdr:rowOff>0</xdr:rowOff>
    </xdr:from>
    <xdr:to>
      <xdr:col>32</xdr:col>
      <xdr:colOff>262616</xdr:colOff>
      <xdr:row>61</xdr:row>
      <xdr:rowOff>152720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B769406-115C-4705-ABD9-E9D031F9FC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13657</xdr:colOff>
      <xdr:row>37</xdr:row>
      <xdr:rowOff>56910</xdr:rowOff>
    </xdr:from>
    <xdr:to>
      <xdr:col>41</xdr:col>
      <xdr:colOff>270558</xdr:colOff>
      <xdr:row>66</xdr:row>
      <xdr:rowOff>49611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3F952DF-577C-471F-BB42-693E26B64A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188021</xdr:colOff>
      <xdr:row>32</xdr:row>
      <xdr:rowOff>30210</xdr:rowOff>
    </xdr:from>
    <xdr:to>
      <xdr:col>17</xdr:col>
      <xdr:colOff>567996</xdr:colOff>
      <xdr:row>46</xdr:row>
      <xdr:rowOff>114300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D8909D8E-13DB-4564-95A9-162F02FD0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28095</xdr:colOff>
      <xdr:row>0</xdr:row>
      <xdr:rowOff>24092</xdr:rowOff>
    </xdr:from>
    <xdr:to>
      <xdr:col>13</xdr:col>
      <xdr:colOff>173935</xdr:colOff>
      <xdr:row>15</xdr:row>
      <xdr:rowOff>20171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B3C18E9-A998-4381-8139-DC51746E6517}"/>
            </a:ext>
          </a:extLst>
        </xdr:cNvPr>
        <xdr:cNvSpPr txBox="1"/>
      </xdr:nvSpPr>
      <xdr:spPr>
        <a:xfrm>
          <a:off x="5935500" y="25997"/>
          <a:ext cx="4902625" cy="287072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/>
            <a:t>Упражнение показывает как можно оценить коэффициенты естественной сепарации и сепарации за счет применения газосепаратора </a:t>
          </a:r>
          <a:endParaRPr lang="en-US" sz="1100" baseline="0"/>
        </a:p>
        <a:p>
          <a:endParaRPr lang="ru-RU" sz="1100" baseline="0"/>
        </a:p>
        <a:p>
          <a:r>
            <a:rPr lang="ru-RU" sz="1100" baseline="0"/>
            <a:t>Выполните следующее задание</a:t>
          </a:r>
          <a:endParaRPr lang="en-US" sz="1100" baseline="0"/>
        </a:p>
        <a:p>
          <a:r>
            <a:rPr lang="ru-RU" sz="1100" baseline="0"/>
            <a:t>1. Рассчитайте коэффициент естественной сепарации для двух вариантов диаметра эксплуатационной колонны</a:t>
          </a:r>
        </a:p>
        <a:p>
          <a:r>
            <a:rPr lang="ru-RU" sz="1100" baseline="0"/>
            <a:t>2. Рассчитайте долю газа в газосепараторе</a:t>
          </a:r>
        </a:p>
        <a:p>
          <a:r>
            <a:rPr lang="ru-RU" sz="1100" baseline="0"/>
            <a:t>3. Рассчитайте коэффициент сепарации газосепаратора</a:t>
          </a:r>
        </a:p>
        <a:p>
          <a:r>
            <a:rPr lang="ru-RU" sz="1100" baseline="0"/>
            <a:t>4. Рассчитайте общий коээфициент сепарации</a:t>
          </a:r>
        </a:p>
        <a:p>
          <a:endParaRPr lang="en-US" sz="1100" baseline="0"/>
        </a:p>
        <a:p>
          <a:r>
            <a:rPr lang="ru-RU" sz="1100" baseline="0"/>
            <a:t>Используйте функции</a:t>
          </a:r>
        </a:p>
        <a:p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MF_ksep_natural_d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ESP_ksep_gasseparator_d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MF_ksep_total_d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5" name="Стрелка: влево 4">
          <a:extLst>
            <a:ext uri="{FF2B5EF4-FFF2-40B4-BE49-F238E27FC236}">
              <a16:creationId xmlns:a16="http://schemas.microsoft.com/office/drawing/2014/main" id="{D8DFFCE3-CA5B-4D80-9606-D77FAD65CE94}"/>
            </a:ext>
          </a:extLst>
        </xdr:cNvPr>
        <xdr:cNvSpPr/>
      </xdr:nvSpPr>
      <xdr:spPr>
        <a:xfrm>
          <a:off x="2974938" y="219860"/>
          <a:ext cx="2378926" cy="114446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32</xdr:col>
      <xdr:colOff>16329</xdr:colOff>
      <xdr:row>23</xdr:row>
      <xdr:rowOff>208445</xdr:rowOff>
    </xdr:from>
    <xdr:to>
      <xdr:col>35</xdr:col>
      <xdr:colOff>279170</xdr:colOff>
      <xdr:row>31</xdr:row>
      <xdr:rowOff>964</xdr:rowOff>
    </xdr:to>
    <xdr:sp macro="" textlink="">
      <xdr:nvSpPr>
        <xdr:cNvPr id="6" name="Стрелка: влево 5">
          <a:extLst>
            <a:ext uri="{FF2B5EF4-FFF2-40B4-BE49-F238E27FC236}">
              <a16:creationId xmlns:a16="http://schemas.microsoft.com/office/drawing/2014/main" id="{2445DD31-C806-41B5-9EFC-7A052F0A8F83}"/>
            </a:ext>
          </a:extLst>
        </xdr:cNvPr>
        <xdr:cNvSpPr/>
      </xdr:nvSpPr>
      <xdr:spPr>
        <a:xfrm>
          <a:off x="23725415" y="4802216"/>
          <a:ext cx="2091641" cy="1294748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</a:t>
          </a:r>
          <a:r>
            <a:rPr lang="en-US" sz="1100"/>
            <a:t>. </a:t>
          </a:r>
          <a:r>
            <a:rPr lang="ru-RU" sz="1100"/>
            <a:t>Рассчитайте кривые зависимость Ксеп от давления и температуры</a:t>
          </a:r>
        </a:p>
      </xdr:txBody>
    </xdr:sp>
    <xdr:clientData/>
  </xdr:twoCellAnchor>
  <xdr:twoCellAnchor editAs="oneCell">
    <xdr:from>
      <xdr:col>22</xdr:col>
      <xdr:colOff>213886</xdr:colOff>
      <xdr:row>0</xdr:row>
      <xdr:rowOff>117906</xdr:rowOff>
    </xdr:from>
    <xdr:to>
      <xdr:col>27</xdr:col>
      <xdr:colOff>225091</xdr:colOff>
      <xdr:row>24</xdr:row>
      <xdr:rowOff>111441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48EB5518-3A47-4626-97C6-772A508FEF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0" t="9968" r="37389" b="9714"/>
        <a:stretch/>
      </xdr:blipFill>
      <xdr:spPr>
        <a:xfrm>
          <a:off x="16364476" y="117906"/>
          <a:ext cx="3055395" cy="4752225"/>
        </a:xfrm>
        <a:prstGeom prst="rect">
          <a:avLst/>
        </a:prstGeom>
      </xdr:spPr>
    </xdr:pic>
    <xdr:clientData/>
  </xdr:twoCellAnchor>
  <xdr:twoCellAnchor>
    <xdr:from>
      <xdr:col>13</xdr:col>
      <xdr:colOff>206091</xdr:colOff>
      <xdr:row>0</xdr:row>
      <xdr:rowOff>41902</xdr:rowOff>
    </xdr:from>
    <xdr:to>
      <xdr:col>22</xdr:col>
      <xdr:colOff>8283</xdr:colOff>
      <xdr:row>15</xdr:row>
      <xdr:rowOff>16567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06C7B0F-7F6B-4341-8399-31D17A65FBA1}"/>
            </a:ext>
          </a:extLst>
        </xdr:cNvPr>
        <xdr:cNvSpPr txBox="1"/>
      </xdr:nvSpPr>
      <xdr:spPr>
        <a:xfrm>
          <a:off x="10870281" y="41902"/>
          <a:ext cx="5282877" cy="285121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(направления исследований)</a:t>
          </a:r>
        </a:p>
        <a:p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От каких параметров будет зависеть коэффициент сепарации наиболее сильно?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/>
            <a:t>Как можно объяснить сильную зависимость, коэффициента сепарации  от дебита?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Будет ли коэффициент сепарации зависит от температуры в месте установки насоса?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Дополнительные вопросы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 будет зависеть коэффициент сепарации от угла наклона УЭЦН в месте установки?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Как улучшить сепарацию газа - какие рекомендации по конструкции скважины и насоса вы бы дали?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изменятся параметры флюида после сепарации - постройте графики, которые бы иллюстрировали эти изменения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endParaRPr lang="ru-RU">
            <a:effectLst/>
          </a:endParaRPr>
        </a:p>
      </xdr:txBody>
    </xdr:sp>
    <xdr:clientData/>
  </xdr:twoCellAnchor>
  <xdr:twoCellAnchor>
    <xdr:from>
      <xdr:col>18</xdr:col>
      <xdr:colOff>60687</xdr:colOff>
      <xdr:row>34</xdr:row>
      <xdr:rowOff>388892</xdr:rowOff>
    </xdr:from>
    <xdr:to>
      <xdr:col>24</xdr:col>
      <xdr:colOff>319493</xdr:colOff>
      <xdr:row>60</xdr:row>
      <xdr:rowOff>129316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F984202E-CDDC-4244-86C3-C6CAB309F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190500</xdr:colOff>
      <xdr:row>47</xdr:row>
      <xdr:rowOff>0</xdr:rowOff>
    </xdr:from>
    <xdr:to>
      <xdr:col>17</xdr:col>
      <xdr:colOff>570475</xdr:colOff>
      <xdr:row>65</xdr:row>
      <xdr:rowOff>66675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86ECAC8-A601-4918-9EC4-58C13DFEA3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arange"/>
      <definedName name="encode_feed"/>
      <definedName name="encode_json"/>
      <definedName name="encode_PVT"/>
      <definedName name="ESP_gassep_ksep_d"/>
      <definedName name="feed_gas_fraction_d"/>
      <definedName name="unf_version"/>
      <definedName name="well_ksep_natural_d"/>
      <definedName name="well_ksep_total_d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Separation">
    <outlinePr summaryBelow="0"/>
  </sheetPr>
  <dimension ref="A1:T165"/>
  <sheetViews>
    <sheetView zoomScale="70" zoomScaleNormal="70" workbookViewId="0">
      <selection activeCell="H38" sqref="H38"/>
    </sheetView>
  </sheetViews>
  <sheetFormatPr defaultRowHeight="12.75" outlineLevelRow="1" x14ac:dyDescent="0.2"/>
  <cols>
    <col min="2" max="2" width="12.42578125" customWidth="1"/>
    <col min="3" max="4" width="9.85546875" customWidth="1"/>
    <col min="5" max="9" width="15.7109375" customWidth="1"/>
    <col min="10" max="10" width="11.28515625" customWidth="1"/>
    <col min="11" max="11" width="10.140625" customWidth="1"/>
  </cols>
  <sheetData>
    <row r="1" spans="1:12" x14ac:dyDescent="0.2">
      <c r="A1" s="1" t="s">
        <v>31</v>
      </c>
      <c r="F1" t="s">
        <v>32</v>
      </c>
      <c r="G1" t="str">
        <f>[1]!unf_version()</f>
        <v>7.46</v>
      </c>
      <c r="H1" t="s">
        <v>39</v>
      </c>
      <c r="I1" s="25">
        <v>45034</v>
      </c>
      <c r="J1" s="26"/>
      <c r="K1" s="26"/>
      <c r="L1" s="26"/>
    </row>
    <row r="2" spans="1:12" x14ac:dyDescent="0.2">
      <c r="A2" t="s">
        <v>53</v>
      </c>
      <c r="H2" t="s">
        <v>40</v>
      </c>
      <c r="I2" s="27">
        <v>7.46</v>
      </c>
      <c r="J2" s="26"/>
      <c r="K2" s="26"/>
      <c r="L2" s="26"/>
    </row>
    <row r="3" spans="1:12" ht="15" x14ac:dyDescent="0.25">
      <c r="A3" s="28" t="s">
        <v>41</v>
      </c>
      <c r="B3" s="40" t="s">
        <v>42</v>
      </c>
      <c r="C3" s="41"/>
      <c r="D3" s="41"/>
      <c r="E3" s="42"/>
      <c r="H3" t="s">
        <v>43</v>
      </c>
      <c r="I3" s="26" t="s">
        <v>42</v>
      </c>
      <c r="J3" s="26"/>
      <c r="K3" s="26"/>
      <c r="L3" s="26"/>
    </row>
    <row r="4" spans="1:12" ht="15" x14ac:dyDescent="0.25">
      <c r="A4" s="28" t="s">
        <v>44</v>
      </c>
      <c r="B4" s="40" t="s">
        <v>45</v>
      </c>
      <c r="C4" s="41"/>
      <c r="D4" s="41"/>
      <c r="E4" s="42"/>
      <c r="H4" t="s">
        <v>46</v>
      </c>
      <c r="I4" s="26" t="s">
        <v>45</v>
      </c>
      <c r="J4" s="26"/>
      <c r="K4" s="26"/>
      <c r="L4" s="26"/>
    </row>
    <row r="5" spans="1:12" ht="15" x14ac:dyDescent="0.25">
      <c r="A5" s="28" t="s">
        <v>47</v>
      </c>
      <c r="B5" s="40" t="s">
        <v>48</v>
      </c>
      <c r="C5" s="41"/>
      <c r="D5" s="41"/>
      <c r="E5" s="42"/>
      <c r="H5" t="s">
        <v>49</v>
      </c>
      <c r="I5" s="26" t="s">
        <v>48</v>
      </c>
      <c r="J5" s="26"/>
      <c r="K5" s="26"/>
      <c r="L5" s="26"/>
    </row>
    <row r="6" spans="1:12" x14ac:dyDescent="0.2">
      <c r="A6" s="29" t="s">
        <v>50</v>
      </c>
      <c r="B6" s="43" t="s">
        <v>51</v>
      </c>
      <c r="C6" s="44"/>
      <c r="D6" s="44"/>
      <c r="E6" s="45"/>
      <c r="H6" s="30" t="s">
        <v>52</v>
      </c>
      <c r="I6" s="31" t="s">
        <v>51</v>
      </c>
      <c r="J6" s="31"/>
      <c r="K6" s="31"/>
      <c r="L6" s="31"/>
    </row>
    <row r="7" spans="1:12" x14ac:dyDescent="0.2">
      <c r="A7" s="32"/>
      <c r="B7" s="46"/>
      <c r="C7" s="47"/>
      <c r="D7" s="47"/>
      <c r="E7" s="48"/>
      <c r="H7" s="30"/>
      <c r="I7" s="31"/>
      <c r="J7" s="31"/>
      <c r="K7" s="31"/>
      <c r="L7" s="31"/>
    </row>
    <row r="8" spans="1:12" x14ac:dyDescent="0.2">
      <c r="A8" s="33"/>
      <c r="B8" s="49"/>
      <c r="C8" s="50"/>
      <c r="D8" s="50"/>
      <c r="E8" s="51"/>
      <c r="H8" s="30"/>
      <c r="I8" s="31"/>
      <c r="J8" s="31"/>
      <c r="K8" s="31"/>
      <c r="L8" s="31"/>
    </row>
    <row r="10" spans="1:12" x14ac:dyDescent="0.2">
      <c r="A10" s="1" t="s">
        <v>7</v>
      </c>
    </row>
    <row r="11" spans="1:12" ht="18.75" outlineLevel="1" x14ac:dyDescent="0.35">
      <c r="B11" s="10" t="s">
        <v>15</v>
      </c>
      <c r="C11" s="2">
        <v>0.875</v>
      </c>
      <c r="D11" s="13"/>
      <c r="E11" s="14"/>
      <c r="F11" s="15">
        <f>gamma_oil_*1000</f>
        <v>875</v>
      </c>
      <c r="G11" s="11" t="s">
        <v>33</v>
      </c>
    </row>
    <row r="12" spans="1:12" ht="18.75" outlineLevel="1" x14ac:dyDescent="0.35">
      <c r="B12" s="11" t="s">
        <v>17</v>
      </c>
      <c r="C12" s="2">
        <v>1</v>
      </c>
      <c r="D12" s="13"/>
      <c r="E12" s="14"/>
      <c r="F12" s="15">
        <f>gamma_wat_*1000</f>
        <v>1000</v>
      </c>
      <c r="G12" s="11" t="s">
        <v>33</v>
      </c>
    </row>
    <row r="13" spans="1:12" ht="18.75" outlineLevel="1" x14ac:dyDescent="0.35">
      <c r="B13" s="11" t="s">
        <v>16</v>
      </c>
      <c r="C13" s="2">
        <v>0.9</v>
      </c>
      <c r="D13" s="13"/>
      <c r="E13" s="14"/>
      <c r="F13" s="15">
        <f>gamma_gas_*1.22</f>
        <v>1.0980000000000001</v>
      </c>
      <c r="G13" s="11" t="s">
        <v>33</v>
      </c>
    </row>
    <row r="14" spans="1:12" ht="18.75" outlineLevel="1" x14ac:dyDescent="0.35">
      <c r="B14" s="12" t="s">
        <v>18</v>
      </c>
      <c r="C14" s="2">
        <v>80</v>
      </c>
      <c r="D14" s="13" t="s">
        <v>1</v>
      </c>
      <c r="E14" s="11" t="s">
        <v>34</v>
      </c>
      <c r="F14" s="16">
        <f>Rsb_/gamma_oil_</f>
        <v>91.428571428571431</v>
      </c>
      <c r="G14" s="11" t="s">
        <v>35</v>
      </c>
    </row>
    <row r="15" spans="1:12" ht="18.75" outlineLevel="1" x14ac:dyDescent="0.35">
      <c r="B15" s="12" t="s">
        <v>19</v>
      </c>
      <c r="C15" s="2">
        <v>80</v>
      </c>
      <c r="D15" s="13" t="s">
        <v>1</v>
      </c>
      <c r="E15" s="11" t="s">
        <v>34</v>
      </c>
      <c r="F15" s="16">
        <f>Rsb_/gamma_oil_</f>
        <v>91.428571428571431</v>
      </c>
      <c r="G15" s="11" t="s">
        <v>35</v>
      </c>
    </row>
    <row r="16" spans="1:12" ht="18" outlineLevel="1" x14ac:dyDescent="0.35">
      <c r="B16" s="11" t="s">
        <v>20</v>
      </c>
      <c r="C16" s="2">
        <v>120</v>
      </c>
      <c r="D16" s="13" t="s">
        <v>2</v>
      </c>
      <c r="E16" s="14" t="s">
        <v>36</v>
      </c>
      <c r="F16" s="16">
        <f>Pb_*1.01325</f>
        <v>121.59</v>
      </c>
      <c r="G16" s="14" t="s">
        <v>37</v>
      </c>
    </row>
    <row r="17" spans="1:20" ht="18" outlineLevel="1" x14ac:dyDescent="0.35">
      <c r="B17" s="11" t="s">
        <v>21</v>
      </c>
      <c r="C17" s="2">
        <v>120</v>
      </c>
      <c r="D17" s="13" t="s">
        <v>3</v>
      </c>
      <c r="E17" s="14" t="s">
        <v>3</v>
      </c>
      <c r="F17" s="16">
        <f>Tres_*9/5+32</f>
        <v>248</v>
      </c>
      <c r="G17" s="14" t="s">
        <v>38</v>
      </c>
    </row>
    <row r="18" spans="1:20" ht="18" outlineLevel="1" x14ac:dyDescent="0.35">
      <c r="B18" s="12" t="s">
        <v>22</v>
      </c>
      <c r="C18" s="2">
        <v>1.2</v>
      </c>
      <c r="D18" s="13" t="s">
        <v>1</v>
      </c>
    </row>
    <row r="19" spans="1:20" ht="18" outlineLevel="1" x14ac:dyDescent="0.35">
      <c r="B19" s="13" t="s">
        <v>23</v>
      </c>
      <c r="C19" s="2">
        <v>1</v>
      </c>
      <c r="D19" s="13" t="s">
        <v>28</v>
      </c>
    </row>
    <row r="20" spans="1:20" ht="15.75" x14ac:dyDescent="0.3">
      <c r="B20" s="13" t="s">
        <v>29</v>
      </c>
      <c r="C20" s="2">
        <v>0</v>
      </c>
      <c r="D20" s="13" t="s">
        <v>4</v>
      </c>
    </row>
    <row r="22" spans="1:20" x14ac:dyDescent="0.2">
      <c r="A22" s="1" t="s">
        <v>8</v>
      </c>
      <c r="B22" s="3"/>
      <c r="C22" s="4"/>
    </row>
    <row r="23" spans="1:20" ht="18" outlineLevel="1" x14ac:dyDescent="0.35">
      <c r="B23" s="13" t="s">
        <v>24</v>
      </c>
      <c r="C23" s="2">
        <v>130</v>
      </c>
      <c r="D23" s="13" t="s">
        <v>5</v>
      </c>
    </row>
    <row r="24" spans="1:20" ht="18" outlineLevel="1" x14ac:dyDescent="0.35">
      <c r="B24" s="13" t="s">
        <v>25</v>
      </c>
      <c r="C24" s="2">
        <v>100</v>
      </c>
      <c r="D24" s="13" t="s">
        <v>5</v>
      </c>
    </row>
    <row r="25" spans="1:20" ht="18" outlineLevel="1" x14ac:dyDescent="0.35">
      <c r="B25" s="13" t="s">
        <v>26</v>
      </c>
      <c r="C25" s="2">
        <v>30</v>
      </c>
      <c r="D25" s="13" t="s">
        <v>2</v>
      </c>
    </row>
    <row r="26" spans="1:20" ht="18" outlineLevel="1" x14ac:dyDescent="0.35">
      <c r="B26" s="13" t="s">
        <v>27</v>
      </c>
      <c r="C26" s="2">
        <v>80</v>
      </c>
      <c r="D26" s="13" t="s">
        <v>3</v>
      </c>
    </row>
    <row r="29" spans="1:20" x14ac:dyDescent="0.2">
      <c r="B29" s="17" t="s">
        <v>14</v>
      </c>
      <c r="C29" s="18" t="str" cm="1">
        <f t="array" ref="C29">[1]!encode_PVT(gamma_gas_,gamma_oil_,gamma_wat_,Rsb_,Pb_,Tres_,Bob_,muob_)</f>
        <v>{"gamma_gas":0.9,"gamma_oil":0.875,"gamma_wat":1,"rsb_m3m3":80,"pb_atma":120,"t_res_C":120,"bob_m3m3":1.2,"muob_cP":1,"PVT_corr_set":0}</v>
      </c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24"/>
      <c r="T29" s="24"/>
    </row>
    <row r="30" spans="1:20" x14ac:dyDescent="0.2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24"/>
      <c r="T30" s="24"/>
    </row>
    <row r="31" spans="1:20" ht="12.75" customHeight="1" outlineLevel="1" x14ac:dyDescent="0.2"/>
    <row r="32" spans="1:20" x14ac:dyDescent="0.2">
      <c r="A32" t="s">
        <v>12</v>
      </c>
    </row>
    <row r="33" spans="1:10" outlineLevel="1" x14ac:dyDescent="0.2">
      <c r="A33" t="s">
        <v>9</v>
      </c>
    </row>
    <row r="34" spans="1:10" outlineLevel="1" x14ac:dyDescent="0.2"/>
    <row r="35" spans="1:10" outlineLevel="1" x14ac:dyDescent="0.2">
      <c r="F35" s="5">
        <v>0.8</v>
      </c>
      <c r="H35" s="19">
        <v>3</v>
      </c>
    </row>
    <row r="36" spans="1:10" ht="51" outlineLevel="1" x14ac:dyDescent="0.2">
      <c r="B36" s="20" t="s">
        <v>0</v>
      </c>
      <c r="C36" s="20" t="s">
        <v>13</v>
      </c>
      <c r="D36" s="21" t="s">
        <v>54</v>
      </c>
      <c r="E36" s="21" t="str">
        <f>"Естественная сепарация "&amp;Dcas_&amp;" мм"</f>
        <v>Естественная сепарация 130 мм</v>
      </c>
      <c r="F36" s="21" t="str">
        <f>"Естественная сепарация "&amp;Dcas_*cf_dcas_&amp;" мм"</f>
        <v>Естественная сепарация 104 мм</v>
      </c>
      <c r="G36" s="23" t="s">
        <v>30</v>
      </c>
      <c r="H36" s="22" t="s">
        <v>10</v>
      </c>
      <c r="I36" s="21" t="s">
        <v>11</v>
      </c>
      <c r="J36" s="23" t="s">
        <v>55</v>
      </c>
    </row>
    <row r="37" spans="1:10" outlineLevel="1" x14ac:dyDescent="0.2">
      <c r="B37" s="15">
        <v>1</v>
      </c>
      <c r="C37" s="15">
        <v>80</v>
      </c>
      <c r="D37" s="37" t="str" cm="1">
        <f t="array" ref="D37">[1]!encode_feed(B37,wc_,Rp_,,PVT_str_)</f>
        <v>{"gamma_gas":0.9,"gamma_oil":0.875,"gamma_wat":1,"rsb_m3m3":80,"pb_atma":120,"t_res_C":120,"bob_m3m3":1.2,"muob_cP":1,"PVT_corr_set":0,"q_liq_sm3day":1,"fw_perc":0,"rp_m3m3":80}</v>
      </c>
      <c r="E37" s="34" cm="1">
        <f t="array" ref="E37">[1]!well_ksep_natural_d(D37,Pintake_,Tintake_,Dintake_,Dcas_)</f>
        <v>0.98128000000000004</v>
      </c>
      <c r="F37" s="34" cm="1">
        <f t="array" ref="F37">[1]!well_ksep_natural_d(D37,Pintake_,Tintake_,Dintake_,Dcas_*cf_dcas_)</f>
        <v>0.91903000000000001</v>
      </c>
      <c r="G37" s="34" cm="1">
        <f t="array" ref="G37">[1]!feed_gas_fraction_d(Pintake_,Tintake_,D37,F37)</f>
        <v>0.14954273177947791</v>
      </c>
      <c r="H37" s="34" cm="1">
        <f t="array" ref="H37">[1]!ESP_gassep_ksep_d(gassep_type,G37,B37)</f>
        <v>0.61635189635689269</v>
      </c>
      <c r="I37" s="34" cm="1">
        <f t="array" ref="I37">[1]!well_ksep_total_d(E37,H37)</f>
        <v>0.99281810749980104</v>
      </c>
      <c r="J37" s="34" cm="1">
        <f t="array" ref="J37">[1]!feed_gas_fraction_d(Pintake_,Tintake_,D37,I37)</f>
        <v>1.5356999556545426E-2</v>
      </c>
    </row>
    <row r="38" spans="1:10" outlineLevel="1" x14ac:dyDescent="0.2">
      <c r="B38" s="15">
        <v>5</v>
      </c>
      <c r="C38" s="15">
        <v>80</v>
      </c>
      <c r="D38" s="37" t="str" cm="1">
        <f t="array" ref="D38">[1]!encode_feed(B38,wc_,Rp_,,PVT_str_)</f>
        <v>{"gamma_gas":0.9,"gamma_oil":0.875,"gamma_wat":1,"rsb_m3m3":80,"pb_atma":120,"t_res_C":120,"bob_m3m3":1.2,"muob_cP":1,"PVT_corr_set":0,"q_liq_sm3day":5,"fw_perc":0,"rp_m3m3":80}</v>
      </c>
      <c r="E38" s="34" cm="1">
        <f t="array" ref="E38">[1]!well_ksep_natural_d(D38,Pintake_,Tintake_,Dintake_,Dcas_)</f>
        <v>0.94886999999999999</v>
      </c>
      <c r="F38" s="34" cm="1">
        <f t="array" ref="F38">[1]!well_ksep_natural_d(D38,Pintake_,Tintake_,Dintake_,Dcas_*cf_dcas_)</f>
        <v>0.74199000000000004</v>
      </c>
      <c r="G38" s="34" cm="1">
        <f t="array" ref="G38">[1]!feed_gas_fraction_d(Pintake_,Tintake_,D38,F38)</f>
        <v>0.3591000417218676</v>
      </c>
      <c r="H38" s="34" cm="1">
        <f t="array" ref="H38">[1]!ESP_gassep_ksep_d(gassep_type,G38,B38)</f>
        <v>0.82166359379532661</v>
      </c>
      <c r="I38" s="34" cm="1">
        <f t="array" ref="I38">[1]!well_ksep_total_d(E38,H38)</f>
        <v>0.99088165955075502</v>
      </c>
      <c r="J38" s="34" cm="1">
        <f t="array" ref="J38">[1]!feed_gas_fraction_d(Pintake_,Tintake_,D38,I38)</f>
        <v>1.9417294000764394E-2</v>
      </c>
    </row>
    <row r="39" spans="1:10" outlineLevel="1" x14ac:dyDescent="0.2">
      <c r="B39" s="15">
        <v>10</v>
      </c>
      <c r="C39" s="15">
        <v>80</v>
      </c>
      <c r="D39" s="37" t="str" cm="1">
        <f t="array" ref="D39">[1]!encode_feed(B39,wc_,Rp_,,PVT_str_)</f>
        <v>{"gamma_gas":0.9,"gamma_oil":0.875,"gamma_wat":1,"rsb_m3m3":80,"pb_atma":120,"t_res_C":120,"bob_m3m3":1.2,"muob_cP":1,"PVT_corr_set":0,"q_liq_sm3day":10,"fw_perc":0,"rp_m3m3":80}</v>
      </c>
      <c r="E39" s="34" cm="1">
        <f t="array" ref="E39">[1]!well_ksep_natural_d(D39,Pintake_,Tintake_,Dintake_,Dcas_)</f>
        <v>0.90781000000000001</v>
      </c>
      <c r="F39" s="34" cm="1">
        <f t="array" ref="F39">[1]!well_ksep_natural_d(D39,Pintake_,Tintake_,Dintake_,Dcas_*cf_dcas_)</f>
        <v>0.59257000000000004</v>
      </c>
      <c r="G39" s="34" cm="1">
        <f t="array" ref="G39">[1]!feed_gas_fraction_d(Pintake_,Tintake_,D39,F39)</f>
        <v>0.4694377575294269</v>
      </c>
      <c r="H39" s="34" cm="1">
        <f t="array" ref="H39">[1]!ESP_gassep_ksep_d(gassep_type,G39,B39)</f>
        <v>0.8263626089943038</v>
      </c>
      <c r="I39" s="34" cm="1">
        <f t="array" ref="I39">[1]!well_ksep_total_d(E39,H39)</f>
        <v>0.98399236892318487</v>
      </c>
      <c r="J39" s="34" cm="1">
        <f t="array" ref="J39">[1]!feed_gas_fraction_d(Pintake_,Tintake_,D39,I39)</f>
        <v>3.3595019662320459E-2</v>
      </c>
    </row>
    <row r="40" spans="1:10" outlineLevel="1" x14ac:dyDescent="0.2">
      <c r="B40" s="15">
        <v>20</v>
      </c>
      <c r="C40" s="15">
        <v>80</v>
      </c>
      <c r="D40" s="37" t="str" cm="1">
        <f t="array" ref="D40">[1]!encode_feed(B40,wc_,Rp_,,PVT_str_)</f>
        <v>{"gamma_gas":0.9,"gamma_oil":0.875,"gamma_wat":1,"rsb_m3m3":80,"pb_atma":120,"t_res_C":120,"bob_m3m3":1.2,"muob_cP":1,"PVT_corr_set":0,"q_liq_sm3day":20,"fw_perc":0,"rp_m3m3":80}</v>
      </c>
      <c r="E40" s="34" cm="1">
        <f t="array" ref="E40">[1]!well_ksep_natural_d(D40,Pintake_,Tintake_,Dintake_,Dcas_)</f>
        <v>0.84248000000000001</v>
      </c>
      <c r="F40" s="34" cm="1">
        <f t="array" ref="F40">[1]!well_ksep_natural_d(D40,Pintake_,Tintake_,Dintake_,Dcas_*cf_dcas_)</f>
        <v>0.42037000000000002</v>
      </c>
      <c r="G40" s="34" cm="1">
        <f t="array" ref="G40">[1]!feed_gas_fraction_d(Pintake_,Tintake_,D40,F40)</f>
        <v>0.55727728078658023</v>
      </c>
      <c r="H40" s="34" cm="1">
        <f t="array" ref="H40">[1]!ESP_gassep_ksep_d(gassep_type,G40,B40)</f>
        <v>0.76373349476455032</v>
      </c>
      <c r="I40" s="34" cm="1">
        <f t="array" ref="I40">[1]!well_ksep_total_d(E40,H40)</f>
        <v>0.96278330009531199</v>
      </c>
      <c r="J40" s="34" cm="1">
        <f t="array" ref="J40">[1]!feed_gas_fraction_d(Pintake_,Tintake_,D40,I40)</f>
        <v>7.4777783274518894E-2</v>
      </c>
    </row>
    <row r="41" spans="1:10" outlineLevel="1" x14ac:dyDescent="0.2">
      <c r="B41" s="15">
        <v>30</v>
      </c>
      <c r="C41" s="15">
        <v>80</v>
      </c>
      <c r="D41" s="37" t="str" cm="1">
        <f t="array" ref="D41">[1]!encode_feed(B41,wc_,Rp_,,PVT_str_)</f>
        <v>{"gamma_gas":0.9,"gamma_oil":0.875,"gamma_wat":1,"rsb_m3m3":80,"pb_atma":120,"t_res_C":120,"bob_m3m3":1.2,"muob_cP":1,"PVT_corr_set":0,"q_liq_sm3day":30,"fw_perc":0,"rp_m3m3":80}</v>
      </c>
      <c r="E41" s="34" cm="1">
        <f t="array" ref="E41">[1]!well_ksep_natural_d(D41,Pintake_,Tintake_,Dintake_,Dcas_)</f>
        <v>0.78642999999999996</v>
      </c>
      <c r="F41" s="34" cm="1">
        <f t="array" ref="F41">[1]!well_ksep_natural_d(D41,Pintake_,Tintake_,Dintake_,Dcas_*cf_dcas_)</f>
        <v>0.33787</v>
      </c>
      <c r="G41" s="34" cm="1">
        <f t="array" ref="G41">[1]!feed_gas_fraction_d(Pintake_,Tintake_,D41,F41)</f>
        <v>0.58981271625912124</v>
      </c>
      <c r="H41" s="34" cm="1">
        <f t="array" ref="H41">[1]!ESP_gassep_ksep_d(gassep_type,G41,B41)</f>
        <v>0.7320135896946709</v>
      </c>
      <c r="I41" s="34" cm="1">
        <f t="array" ref="I41">[1]!well_ksep_total_d(E41,H41)</f>
        <v>0.94276614235109091</v>
      </c>
      <c r="J41" s="34" cm="1">
        <f t="array" ref="J41">[1]!feed_gas_fraction_d(Pintake_,Tintake_,D41,I41)</f>
        <v>0.11055101546653667</v>
      </c>
    </row>
    <row r="42" spans="1:10" outlineLevel="1" x14ac:dyDescent="0.2">
      <c r="B42" s="15">
        <v>40</v>
      </c>
      <c r="C42" s="15">
        <v>80</v>
      </c>
      <c r="D42" s="37" t="str" cm="1">
        <f t="array" ref="D42">[1]!encode_feed(B42,wc_,Rp_,,PVT_str_)</f>
        <v>{"gamma_gas":0.9,"gamma_oil":0.875,"gamma_wat":1,"rsb_m3m3":80,"pb_atma":120,"t_res_C":120,"bob_m3m3":1.2,"muob_cP":1,"PVT_corr_set":0,"q_liq_sm3day":40,"fw_perc":0,"rp_m3m3":80}</v>
      </c>
      <c r="E42" s="34" cm="1">
        <f t="array" ref="E42">[1]!well_ksep_natural_d(D42,Pintake_,Tintake_,Dintake_,Dcas_)</f>
        <v>0.73714999999999997</v>
      </c>
      <c r="F42" s="34" cm="1">
        <f t="array" ref="F42">[1]!well_ksep_natural_d(D42,Pintake_,Tintake_,Dintake_,Dcas_*cf_dcas_)</f>
        <v>0.29913000000000001</v>
      </c>
      <c r="G42" s="34" cm="1">
        <f t="array" ref="G42">[1]!feed_gas_fraction_d(Pintake_,Tintake_,D42,F42)</f>
        <v>0.60349562608943197</v>
      </c>
      <c r="H42" s="34" cm="1">
        <f t="array" ref="H42">[1]!ESP_gassep_ksep_d(gassep_type,G42,B42)</f>
        <v>0.71772165771098273</v>
      </c>
      <c r="I42" s="34" cm="1">
        <f t="array" ref="I42">[1]!well_ksep_total_d(E42,H42)</f>
        <v>0.92580313772933187</v>
      </c>
      <c r="J42" s="34" cm="1">
        <f t="array" ref="J42">[1]!feed_gas_fraction_d(Pintake_,Tintake_,D42,I42)</f>
        <v>0.13876938756703708</v>
      </c>
    </row>
    <row r="43" spans="1:10" outlineLevel="1" x14ac:dyDescent="0.2">
      <c r="B43" s="15">
        <v>50</v>
      </c>
      <c r="C43" s="15">
        <v>80</v>
      </c>
      <c r="D43" s="37" t="str" cm="1">
        <f t="array" ref="D43">[1]!encode_feed(B43,wc_,Rp_,,PVT_str_)</f>
        <v>{"gamma_gas":0.9,"gamma_oil":0.875,"gamma_wat":1,"rsb_m3m3":80,"pb_atma":120,"t_res_C":120,"bob_m3m3":1.2,"muob_cP":1,"PVT_corr_set":0,"q_liq_sm3day":50,"fw_perc":0,"rp_m3m3":80}</v>
      </c>
      <c r="E43" s="34" cm="1">
        <f t="array" ref="E43">[1]!well_ksep_natural_d(D43,Pintake_,Tintake_,Dintake_,Dcas_)</f>
        <v>0.69325000000000003</v>
      </c>
      <c r="F43" s="34" cm="1">
        <f t="array" ref="F43">[1]!well_ksep_natural_d(D43,Pintake_,Tintake_,Dintake_,Dcas_*cf_dcas_)</f>
        <v>0.27078999999999998</v>
      </c>
      <c r="G43" s="34" cm="1">
        <f t="array" ref="G43">[1]!feed_gas_fraction_d(Pintake_,Tintake_,D43,F43)</f>
        <v>0.61294088359867349</v>
      </c>
      <c r="H43" s="34" cm="1">
        <f t="array" ref="H43">[1]!ESP_gassep_ksep_d(gassep_type,G43,B43)</f>
        <v>0.70571836341715732</v>
      </c>
      <c r="I43" s="34" cm="1">
        <f t="array" ref="I43">[1]!well_ksep_total_d(E43,H43)</f>
        <v>0.90972910797821305</v>
      </c>
      <c r="J43" s="34" cm="1">
        <f t="array" ref="J43">[1]!feed_gas_fraction_d(Pintake_,Tintake_,D43,I43)</f>
        <v>0.16390494688537688</v>
      </c>
    </row>
    <row r="44" spans="1:10" outlineLevel="1" x14ac:dyDescent="0.2">
      <c r="B44" s="15">
        <v>60</v>
      </c>
      <c r="C44" s="15">
        <v>80</v>
      </c>
      <c r="D44" s="37" t="str" cm="1">
        <f t="array" ref="D44">[1]!encode_feed(B44,wc_,Rp_,,PVT_str_)</f>
        <v>{"gamma_gas":0.9,"gamma_oil":0.875,"gamma_wat":1,"rsb_m3m3":80,"pb_atma":120,"t_res_C":120,"bob_m3m3":1.2,"muob_cP":1,"PVT_corr_set":0,"q_liq_sm3day":60,"fw_perc":0,"rp_m3m3":80}</v>
      </c>
      <c r="E44" s="34" cm="1">
        <f t="array" ref="E44">[1]!well_ksep_natural_d(D44,Pintake_,Tintake_,Dintake_,Dcas_)</f>
        <v>0.67188000000000003</v>
      </c>
      <c r="F44" s="34" cm="1">
        <f t="array" ref="F44">[1]!well_ksep_natural_d(D44,Pintake_,Tintake_,Dintake_,Dcas_*cf_dcas_)</f>
        <v>0.24643000000000001</v>
      </c>
      <c r="G44" s="34" cm="1">
        <f t="array" ref="G44">[1]!feed_gas_fraction_d(Pintake_,Tintake_,D44,F44)</f>
        <v>0.6207072486673878</v>
      </c>
      <c r="H44" s="34" cm="1">
        <f t="array" ref="H44">[1]!ESP_gassep_ksep_d(gassep_type,G44,B44)</f>
        <v>0.69312052445927352</v>
      </c>
      <c r="I44" s="34" cm="1">
        <f t="array" ref="I44">[1]!well_ksep_total_d(E44,H44)</f>
        <v>0.89930670648557687</v>
      </c>
      <c r="J44" s="34" cm="1">
        <f t="array" ref="J44">[1]!feed_gas_fraction_d(Pintake_,Tintake_,D44,I44)</f>
        <v>0.17943332164075118</v>
      </c>
    </row>
    <row r="45" spans="1:10" outlineLevel="1" x14ac:dyDescent="0.2">
      <c r="B45" s="15">
        <v>70</v>
      </c>
      <c r="C45" s="15">
        <v>80</v>
      </c>
      <c r="D45" s="37" t="str" cm="1">
        <f t="array" ref="D45">[1]!encode_feed(B45,wc_,Rp_,,PVT_str_)</f>
        <v>{"gamma_gas":0.9,"gamma_oil":0.875,"gamma_wat":1,"rsb_m3m3":80,"pb_atma":120,"t_res_C":120,"bob_m3m3":1.2,"muob_cP":1,"PVT_corr_set":0,"q_liq_sm3day":70,"fw_perc":0,"rp_m3m3":80}</v>
      </c>
      <c r="E45" s="34" cm="1">
        <f t="array" ref="E45">[1]!well_ksep_natural_d(D45,Pintake_,Tintake_,Dintake_,Dcas_)</f>
        <v>0.63739000000000001</v>
      </c>
      <c r="F45" s="34" cm="1">
        <f t="array" ref="F45">[1]!well_ksep_natural_d(D45,Pintake_,Tintake_,Dintake_,Dcas_*cf_dcas_)</f>
        <v>0.20619999999999999</v>
      </c>
      <c r="G45" s="34" cm="1">
        <f t="array" ref="G45">[1]!feed_gas_fraction_d(Pintake_,Tintake_,D45,F45)</f>
        <v>0.63287274619355438</v>
      </c>
      <c r="H45" s="34" cm="1">
        <f t="array" ref="H45">[1]!ESP_gassep_ksep_d(gassep_type,G45,B45)</f>
        <v>0.67294889138763125</v>
      </c>
      <c r="I45" s="34" cm="1">
        <f t="array" ref="I45">[1]!well_ksep_total_d(E45,H45)</f>
        <v>0.88140799750606891</v>
      </c>
      <c r="J45" s="34" cm="1">
        <f t="array" ref="J45">[1]!feed_gas_fraction_d(Pintake_,Tintake_,D45,I45)</f>
        <v>0.2047964357379255</v>
      </c>
    </row>
    <row r="46" spans="1:10" outlineLevel="1" x14ac:dyDescent="0.2">
      <c r="B46" s="15">
        <v>80</v>
      </c>
      <c r="C46" s="15">
        <v>80</v>
      </c>
      <c r="D46" s="37" t="str" cm="1">
        <f t="array" ref="D46">[1]!encode_feed(B46,wc_,Rp_,,PVT_str_)</f>
        <v>{"gamma_gas":0.9,"gamma_oil":0.875,"gamma_wat":1,"rsb_m3m3":80,"pb_atma":120,"t_res_C":120,"bob_m3m3":1.2,"muob_cP":1,"PVT_corr_set":0,"q_liq_sm3day":80,"fw_perc":0,"rp_m3m3":80}</v>
      </c>
      <c r="E46" s="34" cm="1">
        <f t="array" ref="E46">[1]!well_ksep_natural_d(D46,Pintake_,Tintake_,Dintake_,Dcas_)</f>
        <v>0.60597000000000001</v>
      </c>
      <c r="F46" s="34" cm="1">
        <f t="array" ref="F46">[1]!well_ksep_natural_d(D46,Pintake_,Tintake_,Dintake_,Dcas_*cf_dcas_)</f>
        <v>0.14263999999999999</v>
      </c>
      <c r="G46" s="34" cm="1">
        <f t="array" ref="G46">[1]!feed_gas_fraction_d(Pintake_,Tintake_,D46,F46)</f>
        <v>0.65057944643538057</v>
      </c>
      <c r="H46" s="34" cm="1">
        <f t="array" ref="H46">[1]!ESP_gassep_ksep_d(gassep_type,G46,B46)</f>
        <v>0.64410200401865325</v>
      </c>
      <c r="I46" s="34" cm="1">
        <f t="array" ref="I46">[1]!well_ksep_total_d(E46,H46)</f>
        <v>0.85976551264347001</v>
      </c>
      <c r="J46" s="34" cm="1">
        <f t="array" ref="J46">[1]!feed_gas_fraction_d(Pintake_,Tintake_,D46,I46)</f>
        <v>0.23344592668367858</v>
      </c>
    </row>
    <row r="47" spans="1:10" outlineLevel="1" x14ac:dyDescent="0.2">
      <c r="B47" s="15">
        <v>90</v>
      </c>
      <c r="C47" s="15">
        <v>80</v>
      </c>
      <c r="D47" s="37" t="str" cm="1">
        <f t="array" ref="D47">[1]!encode_feed(B47,wc_,Rp_,,PVT_str_)</f>
        <v>{"gamma_gas":0.9,"gamma_oil":0.875,"gamma_wat":1,"rsb_m3m3":80,"pb_atma":120,"t_res_C":120,"bob_m3m3":1.2,"muob_cP":1,"PVT_corr_set":0,"q_liq_sm3day":90,"fw_perc":0,"rp_m3m3":80}</v>
      </c>
      <c r="E47" s="34" cm="1">
        <f t="array" ref="E47">[1]!well_ksep_natural_d(D47,Pintake_,Tintake_,Dintake_,Dcas_)</f>
        <v>0.57726999999999995</v>
      </c>
      <c r="F47" s="34" cm="1">
        <f t="array" ref="F47">[1]!well_ksep_natural_d(D47,Pintake_,Tintake_,Dintake_,Dcas_*cf_dcas_)</f>
        <v>5.6869999999999997E-2</v>
      </c>
      <c r="G47" s="34" cm="1">
        <f t="array" ref="G47">[1]!feed_gas_fraction_d(Pintake_,Tintake_,D47,F47)</f>
        <v>0.67193138061359625</v>
      </c>
      <c r="H47" s="34" cm="1">
        <f t="array" ref="H47">[1]!ESP_gassep_ksep_d(gassep_type,G47,B47)</f>
        <v>0.61096090067816777</v>
      </c>
      <c r="I47" s="34" cm="1">
        <f t="array" ref="I47">[1]!well_ksep_total_d(E47,H47)</f>
        <v>0.83554150154368179</v>
      </c>
      <c r="J47" s="34" cm="1">
        <f t="array" ref="J47">[1]!feed_gas_fraction_d(Pintake_,Tintake_,D47,I47)</f>
        <v>0.26315924561921283</v>
      </c>
    </row>
    <row r="48" spans="1:10" outlineLevel="1" x14ac:dyDescent="0.2">
      <c r="B48" s="15">
        <v>100</v>
      </c>
      <c r="C48" s="15">
        <v>80</v>
      </c>
      <c r="D48" s="37" t="str" cm="1">
        <f t="array" ref="D48">[1]!encode_feed(B48,wc_,Rp_,,PVT_str_)</f>
        <v>{"gamma_gas":0.9,"gamma_oil":0.875,"gamma_wat":1,"rsb_m3m3":80,"pb_atma":120,"t_res_C":120,"bob_m3m3":1.2,"muob_cP":1,"PVT_corr_set":0,"q_liq_sm3day":100,"fw_perc":0,"rp_m3m3":80}</v>
      </c>
      <c r="E48" s="34" cm="1">
        <f t="array" ref="E48">[1]!well_ksep_natural_d(D48,Pintake_,Tintake_,Dintake_,Dcas_)</f>
        <v>0.55101999999999995</v>
      </c>
      <c r="F48" s="34" cm="1">
        <f t="array" ref="F48">[1]!well_ksep_natural_d(D48,Pintake_,Tintake_,Dintake_,Dcas_*cf_dcas_)</f>
        <v>4.7699999999999999E-3</v>
      </c>
      <c r="G48" s="34" cm="1">
        <f t="array" ref="G48">[1]!feed_gas_fraction_d(Pintake_,Tintake_,D48,F48)</f>
        <v>0.68367298311006908</v>
      </c>
      <c r="H48" s="34" cm="1">
        <f t="array" ref="H48">[1]!ESP_gassep_ksep_d(gassep_type,G48,B48)</f>
        <v>0.58881460567865906</v>
      </c>
      <c r="I48" s="34" cm="1">
        <f t="array" ref="I48">[1]!well_ksep_total_d(E48,H48)</f>
        <v>0.81538598165760434</v>
      </c>
      <c r="J48" s="34" cm="1">
        <f t="array" ref="J48">[1]!feed_gas_fraction_d(Pintake_,Tintake_,D48,I48)</f>
        <v>0.28618130833677047</v>
      </c>
    </row>
    <row r="49" spans="2:10" outlineLevel="1" x14ac:dyDescent="0.2">
      <c r="B49" s="15">
        <v>110</v>
      </c>
      <c r="C49" s="15">
        <v>80</v>
      </c>
      <c r="D49" s="37" t="str" cm="1">
        <f t="array" ref="D49">[1]!encode_feed(B49,wc_,Rp_,,PVT_str_)</f>
        <v>{"gamma_gas":0.9,"gamma_oil":0.875,"gamma_wat":1,"rsb_m3m3":80,"pb_atma":120,"t_res_C":120,"bob_m3m3":1.2,"muob_cP":1,"PVT_corr_set":0,"q_liq_sm3day":110,"fw_perc":0,"rp_m3m3":80}</v>
      </c>
      <c r="E49" s="34" cm="1">
        <f t="array" ref="E49">[1]!well_ksep_natural_d(D49,Pintake_,Tintake_,Dintake_,Dcas_)</f>
        <v>0.52697000000000005</v>
      </c>
      <c r="F49" s="34" cm="1">
        <f t="array" ref="F49">[1]!well_ksep_natural_d(D49,Pintake_,Tintake_,Dintake_,Dcas_*cf_dcas_)</f>
        <v>1.3999999999999999E-4</v>
      </c>
      <c r="G49" s="34" cm="1">
        <f t="array" ref="G49">[1]!feed_gas_fraction_d(Pintake_,Tintake_,D49,F49)</f>
        <v>0.68467589578714705</v>
      </c>
      <c r="H49" s="34" cm="1">
        <f t="array" ref="H49">[1]!ESP_gassep_ksep_d(gassep_type,G49,B49)</f>
        <v>0.57729646263182</v>
      </c>
      <c r="I49" s="34" cm="1">
        <f t="array" ref="I49">[1]!well_ksep_total_d(E49,H49)</f>
        <v>0.80004854571872985</v>
      </c>
      <c r="J49" s="34" cm="1">
        <f t="array" ref="J49">[1]!feed_gas_fraction_d(Pintake_,Tintake_,D49,I49)</f>
        <v>0.30275856043893656</v>
      </c>
    </row>
    <row r="50" spans="2:10" outlineLevel="1" x14ac:dyDescent="0.2">
      <c r="B50" s="15">
        <v>120</v>
      </c>
      <c r="C50" s="15">
        <v>80</v>
      </c>
      <c r="D50" s="37" t="str" cm="1">
        <f t="array" ref="D50">[1]!encode_feed(B50,wc_,Rp_,,PVT_str_)</f>
        <v>{"gamma_gas":0.9,"gamma_oil":0.875,"gamma_wat":1,"rsb_m3m3":80,"pb_atma":120,"t_res_C":120,"bob_m3m3":1.2,"muob_cP":1,"PVT_corr_set":0,"q_liq_sm3day":120,"fw_perc":0,"rp_m3m3":80}</v>
      </c>
      <c r="E50" s="34" cm="1">
        <f t="array" ref="E50">[1]!well_ksep_natural_d(D50,Pintake_,Tintake_,Dintake_,Dcas_)</f>
        <v>0.50492999999999999</v>
      </c>
      <c r="F50" s="34" cm="1">
        <f t="array" ref="F50">[1]!well_ksep_natural_d(D50,Pintake_,Tintake_,Dintake_,Dcas_*cf_dcas_)</f>
        <v>0</v>
      </c>
      <c r="G50" s="34" cm="1">
        <f t="array" ref="G50">[1]!feed_gas_fraction_d(Pintake_,Tintake_,D50,F50)</f>
        <v>0.68470612239540418</v>
      </c>
      <c r="H50" s="34" cm="1">
        <f t="array" ref="H50">[1]!ESP_gassep_ksep_d(gassep_type,G50,B50)</f>
        <v>0.56687818222299358</v>
      </c>
      <c r="I50" s="34" cm="1">
        <f t="array" ref="I50">[1]!well_ksep_total_d(E50,H50)</f>
        <v>0.78557438167313742</v>
      </c>
      <c r="J50" s="34" cm="1">
        <f t="array" ref="J50">[1]!feed_gas_fraction_d(Pintake_,Tintake_,D50,I50)</f>
        <v>0.31771173005909603</v>
      </c>
    </row>
    <row r="51" spans="2:10" outlineLevel="1" x14ac:dyDescent="0.2">
      <c r="B51" s="15">
        <v>130</v>
      </c>
      <c r="C51" s="15">
        <v>80</v>
      </c>
      <c r="D51" s="37" t="str" cm="1">
        <f t="array" ref="D51">[1]!encode_feed(B51,wc_,Rp_,,PVT_str_)</f>
        <v>{"gamma_gas":0.9,"gamma_oil":0.875,"gamma_wat":1,"rsb_m3m3":80,"pb_atma":120,"t_res_C":120,"bob_m3m3":1.2,"muob_cP":1,"PVT_corr_set":0,"q_liq_sm3day":130,"fw_perc":0,"rp_m3m3":80}</v>
      </c>
      <c r="E51" s="34" cm="1">
        <f t="array" ref="E51">[1]!well_ksep_natural_d(D51,Pintake_,Tintake_,Dintake_,Dcas_)</f>
        <v>0.48470000000000002</v>
      </c>
      <c r="F51" s="34" cm="1">
        <f t="array" ref="F51">[1]!well_ksep_natural_d(D51,Pintake_,Tintake_,Dintake_,Dcas_*cf_dcas_)</f>
        <v>0</v>
      </c>
      <c r="G51" s="34" cm="1">
        <f t="array" ref="G51">[1]!feed_gas_fraction_d(Pintake_,Tintake_,D51,F51)</f>
        <v>0.68470612239540407</v>
      </c>
      <c r="H51" s="34" cm="1">
        <f t="array" ref="H51">[1]!ESP_gassep_ksep_d(gassep_type,G51,B51)</f>
        <v>0.55667077383227459</v>
      </c>
      <c r="I51" s="34" cm="1">
        <f t="array" ref="I51">[1]!well_ksep_total_d(E51,H51)</f>
        <v>0.77155244975577109</v>
      </c>
      <c r="J51" s="34" cm="1">
        <f t="array" ref="J51">[1]!feed_gas_fraction_d(Pintake_,Tintake_,D51,I51)</f>
        <v>0.33159851903311621</v>
      </c>
    </row>
    <row r="52" spans="2:10" outlineLevel="1" x14ac:dyDescent="0.2">
      <c r="B52" s="15">
        <v>140</v>
      </c>
      <c r="C52" s="15">
        <v>80</v>
      </c>
      <c r="D52" s="37" t="str" cm="1">
        <f t="array" ref="D52">[1]!encode_feed(B52,wc_,Rp_,,PVT_str_)</f>
        <v>{"gamma_gas":0.9,"gamma_oil":0.875,"gamma_wat":1,"rsb_m3m3":80,"pb_atma":120,"t_res_C":120,"bob_m3m3":1.2,"muob_cP":1,"PVT_corr_set":0,"q_liq_sm3day":140,"fw_perc":0,"rp_m3m3":80}</v>
      </c>
      <c r="E52" s="34" cm="1">
        <f t="array" ref="E52">[1]!well_ksep_natural_d(D52,Pintake_,Tintake_,Dintake_,Dcas_)</f>
        <v>0.46615000000000001</v>
      </c>
      <c r="F52" s="34" cm="1">
        <f t="array" ref="F52">[1]!well_ksep_natural_d(D52,Pintake_,Tintake_,Dintake_,Dcas_*cf_dcas_)</f>
        <v>0</v>
      </c>
      <c r="G52" s="34" cm="1">
        <f t="array" ref="G52">[1]!feed_gas_fraction_d(Pintake_,Tintake_,D52,F52)</f>
        <v>0.68470612239540418</v>
      </c>
      <c r="H52" s="34" cm="1">
        <f t="array" ref="H52">[1]!ESP_gassep_ksep_d(gassep_type,G52,B52)</f>
        <v>0.54664523984155289</v>
      </c>
      <c r="I52" s="34" cm="1">
        <f t="array" ref="I52">[1]!well_ksep_total_d(E52,H52)</f>
        <v>0.75797656128941293</v>
      </c>
      <c r="J52" s="34" cm="1">
        <f t="array" ref="J52">[1]!feed_gas_fraction_d(Pintake_,Tintake_,D52,I52)</f>
        <v>0.34451537589930759</v>
      </c>
    </row>
    <row r="53" spans="2:10" outlineLevel="1" x14ac:dyDescent="0.2">
      <c r="B53" s="15">
        <v>150</v>
      </c>
      <c r="C53" s="15">
        <v>80</v>
      </c>
      <c r="D53" s="37" t="str" cm="1">
        <f t="array" ref="D53">[1]!encode_feed(B53,wc_,Rp_,,PVT_str_)</f>
        <v>{"gamma_gas":0.9,"gamma_oil":0.875,"gamma_wat":1,"rsb_m3m3":80,"pb_atma":120,"t_res_C":120,"bob_m3m3":1.2,"muob_cP":1,"PVT_corr_set":0,"q_liq_sm3day":150,"fw_perc":0,"rp_m3m3":80}</v>
      </c>
      <c r="E53" s="34" cm="1">
        <f t="array" ref="E53">[1]!well_ksep_natural_d(D53,Pintake_,Tintake_,Dintake_,Dcas_)</f>
        <v>0.44912000000000002</v>
      </c>
      <c r="F53" s="34" cm="1">
        <f t="array" ref="F53">[1]!well_ksep_natural_d(D53,Pintake_,Tintake_,Dintake_,Dcas_*cf_dcas_)</f>
        <v>0</v>
      </c>
      <c r="G53" s="34" cm="1">
        <f t="array" ref="G53">[1]!feed_gas_fraction_d(Pintake_,Tintake_,D53,F53)</f>
        <v>0.68470612239540407</v>
      </c>
      <c r="H53" s="34" cm="1">
        <f t="array" ref="H53">[1]!ESP_gassep_ksep_d(gassep_type,G53,B53)</f>
        <v>0.5368015802508338</v>
      </c>
      <c r="I53" s="34" cm="1">
        <f t="array" ref="I53">[1]!well_ksep_total_d(E53,H53)</f>
        <v>0.7448332545285794</v>
      </c>
      <c r="J53" s="34" cm="1">
        <f t="array" ref="J53">[1]!feed_gas_fraction_d(Pintake_,Tintake_,D53,I53)</f>
        <v>0.35655375722611471</v>
      </c>
    </row>
    <row r="54" spans="2:10" outlineLevel="1" x14ac:dyDescent="0.2">
      <c r="B54" s="15">
        <v>160</v>
      </c>
      <c r="C54" s="15">
        <v>80</v>
      </c>
      <c r="D54" s="37" t="str" cm="1">
        <f t="array" ref="D54">[1]!encode_feed(B54,wc_,Rp_,,PVT_str_)</f>
        <v>{"gamma_gas":0.9,"gamma_oil":0.875,"gamma_wat":1,"rsb_m3m3":80,"pb_atma":120,"t_res_C":120,"bob_m3m3":1.2,"muob_cP":1,"PVT_corr_set":0,"q_liq_sm3day":160,"fw_perc":0,"rp_m3m3":80}</v>
      </c>
      <c r="E54" s="34" cm="1">
        <f t="array" ref="E54">[1]!well_ksep_natural_d(D54,Pintake_,Tintake_,Dintake_,Dcas_)</f>
        <v>0.43348999999999999</v>
      </c>
      <c r="F54" s="34" cm="1">
        <f t="array" ref="F54">[1]!well_ksep_natural_d(D54,Pintake_,Tintake_,Dintake_,Dcas_*cf_dcas_)</f>
        <v>0</v>
      </c>
      <c r="G54" s="34" cm="1">
        <f t="array" ref="G54">[1]!feed_gas_fraction_d(Pintake_,Tintake_,D54,F54)</f>
        <v>0.68470612239540418</v>
      </c>
      <c r="H54" s="34" cm="1">
        <f t="array" ref="H54">[1]!ESP_gassep_ksep_d(gassep_type,G54,B54)</f>
        <v>0.5271397950601121</v>
      </c>
      <c r="I54" s="34" cm="1">
        <f t="array" ref="I54">[1]!well_ksep_total_d(E54,H54)</f>
        <v>0.73211996529950407</v>
      </c>
      <c r="J54" s="34" cm="1">
        <f t="array" ref="J54">[1]!feed_gas_fraction_d(Pintake_,Tintake_,D54,I54)</f>
        <v>0.3677848945731701</v>
      </c>
    </row>
    <row r="55" spans="2:10" outlineLevel="1" x14ac:dyDescent="0.2">
      <c r="B55" s="15">
        <v>170</v>
      </c>
      <c r="C55" s="15">
        <v>80</v>
      </c>
      <c r="D55" s="37" t="str" cm="1">
        <f t="array" ref="D55">[1]!encode_feed(B55,wc_,Rp_,,PVT_str_)</f>
        <v>{"gamma_gas":0.9,"gamma_oil":0.875,"gamma_wat":1,"rsb_m3m3":80,"pb_atma":120,"t_res_C":120,"bob_m3m3":1.2,"muob_cP":1,"PVT_corr_set":0,"q_liq_sm3day":170,"fw_perc":0,"rp_m3m3":80}</v>
      </c>
      <c r="E55" s="34" cm="1">
        <f t="array" ref="E55">[1]!well_ksep_natural_d(D55,Pintake_,Tintake_,Dintake_,Dcas_)</f>
        <v>0.41915999999999998</v>
      </c>
      <c r="F55" s="34" cm="1">
        <f t="array" ref="F55">[1]!well_ksep_natural_d(D55,Pintake_,Tintake_,Dintake_,Dcas_*cf_dcas_)</f>
        <v>0</v>
      </c>
      <c r="G55" s="34" cm="1">
        <f t="array" ref="G55">[1]!feed_gas_fraction_d(Pintake_,Tintake_,D55,F55)</f>
        <v>0.68470612239540418</v>
      </c>
      <c r="H55" s="34" cm="1">
        <f t="array" ref="H55">[1]!ESP_gassep_ksep_d(gassep_type,G55,B55)</f>
        <v>0.51765988426939169</v>
      </c>
      <c r="I55" s="34" cm="1">
        <f t="array" ref="I55">[1]!well_ksep_total_d(E55,H55)</f>
        <v>0.71983756717903347</v>
      </c>
      <c r="J55" s="34" cm="1">
        <f t="array" ref="J55">[1]!feed_gas_fraction_d(Pintake_,Tintake_,D55,I55)</f>
        <v>0.37826918647636643</v>
      </c>
    </row>
    <row r="56" spans="2:10" outlineLevel="1" x14ac:dyDescent="0.2">
      <c r="B56" s="15">
        <v>180</v>
      </c>
      <c r="C56" s="15">
        <v>80</v>
      </c>
      <c r="D56" s="37" t="str" cm="1">
        <f t="array" ref="D56">[1]!encode_feed(B56,wc_,Rp_,,PVT_str_)</f>
        <v>{"gamma_gas":0.9,"gamma_oil":0.875,"gamma_wat":1,"rsb_m3m3":80,"pb_atma":120,"t_res_C":120,"bob_m3m3":1.2,"muob_cP":1,"PVT_corr_set":0,"q_liq_sm3day":180,"fw_perc":0,"rp_m3m3":80}</v>
      </c>
      <c r="E56" s="34" cm="1">
        <f t="array" ref="E56">[1]!well_ksep_natural_d(D56,Pintake_,Tintake_,Dintake_,Dcas_)</f>
        <v>0.40600999999999998</v>
      </c>
      <c r="F56" s="34" cm="1">
        <f t="array" ref="F56">[1]!well_ksep_natural_d(D56,Pintake_,Tintake_,Dintake_,Dcas_*cf_dcas_)</f>
        <v>0</v>
      </c>
      <c r="G56" s="34" cm="1">
        <f t="array" ref="G56">[1]!feed_gas_fraction_d(Pintake_,Tintake_,D56,F56)</f>
        <v>0.68470612239540407</v>
      </c>
      <c r="H56" s="34" cm="1">
        <f t="array" ref="H56">[1]!ESP_gassep_ksep_d(gassep_type,G56,B56)</f>
        <v>0.50836184787867267</v>
      </c>
      <c r="I56" s="34" cm="1">
        <f t="array" ref="I56">[1]!well_ksep_total_d(E56,H56)</f>
        <v>0.7079718540214528</v>
      </c>
      <c r="J56" s="34" cm="1">
        <f t="array" ref="J56">[1]!feed_gas_fraction_d(Pintake_,Tintake_,D56,I56)</f>
        <v>0.38807276637500676</v>
      </c>
    </row>
    <row r="57" spans="2:10" outlineLevel="1" x14ac:dyDescent="0.2">
      <c r="B57" s="15">
        <v>190</v>
      </c>
      <c r="C57" s="15">
        <v>80</v>
      </c>
      <c r="D57" s="37" t="str" cm="1">
        <f t="array" ref="D57">[1]!encode_feed(B57,wc_,Rp_,,PVT_str_)</f>
        <v>{"gamma_gas":0.9,"gamma_oil":0.875,"gamma_wat":1,"rsb_m3m3":80,"pb_atma":120,"t_res_C":120,"bob_m3m3":1.2,"muob_cP":1,"PVT_corr_set":0,"q_liq_sm3day":190,"fw_perc":0,"rp_m3m3":80}</v>
      </c>
      <c r="E57" s="34" cm="1">
        <f t="array" ref="E57">[1]!well_ksep_natural_d(D57,Pintake_,Tintake_,Dintake_,Dcas_)</f>
        <v>0.39395999999999998</v>
      </c>
      <c r="F57" s="34" cm="1">
        <f t="array" ref="F57">[1]!well_ksep_natural_d(D57,Pintake_,Tintake_,Dintake_,Dcas_*cf_dcas_)</f>
        <v>0</v>
      </c>
      <c r="G57" s="34" cm="1">
        <f t="array" ref="G57">[1]!feed_gas_fraction_d(Pintake_,Tintake_,D57,F57)</f>
        <v>0.68470612239540407</v>
      </c>
      <c r="H57" s="34" cm="1">
        <f t="array" ref="H57">[1]!ESP_gassep_ksep_d(gassep_type,G57,B57)</f>
        <v>0.49924568588795226</v>
      </c>
      <c r="I57" s="34" cm="1">
        <f t="array" ref="I57">[1]!well_ksep_total_d(E57,H57)</f>
        <v>0.6965228554755345</v>
      </c>
      <c r="J57" s="34" cm="1">
        <f t="array" ref="J57">[1]!feed_gas_fraction_d(Pintake_,Tintake_,D57,I57)</f>
        <v>0.39724337060213766</v>
      </c>
    </row>
    <row r="58" spans="2:10" outlineLevel="1" x14ac:dyDescent="0.2">
      <c r="B58" s="15">
        <v>200</v>
      </c>
      <c r="C58" s="15">
        <v>80</v>
      </c>
      <c r="D58" s="37" t="str" cm="1">
        <f t="array" ref="D58">[1]!encode_feed(B58,wc_,Rp_,,PVT_str_)</f>
        <v>{"gamma_gas":0.9,"gamma_oil":0.875,"gamma_wat":1,"rsb_m3m3":80,"pb_atma":120,"t_res_C":120,"bob_m3m3":1.2,"muob_cP":1,"PVT_corr_set":0,"q_liq_sm3day":200,"fw_perc":0,"rp_m3m3":80}</v>
      </c>
      <c r="E58" s="34" cm="1">
        <f t="array" ref="E58">[1]!well_ksep_natural_d(D58,Pintake_,Tintake_,Dintake_,Dcas_)</f>
        <v>0.38291999999999998</v>
      </c>
      <c r="F58" s="34" cm="1">
        <f t="array" ref="F58">[1]!well_ksep_natural_d(D58,Pintake_,Tintake_,Dintake_,Dcas_*cf_dcas_)</f>
        <v>0</v>
      </c>
      <c r="G58" s="34" cm="1">
        <f t="array" ref="G58">[1]!feed_gas_fraction_d(Pintake_,Tintake_,D58,F58)</f>
        <v>0.68470612239540418</v>
      </c>
      <c r="H58" s="34" cm="1">
        <f t="array" ref="H58">[1]!ESP_gassep_ksep_d(gassep_type,G58,B58)</f>
        <v>0.49031139829723053</v>
      </c>
      <c r="I58" s="34" cm="1">
        <f t="array" ref="I58">[1]!well_ksep_total_d(E58,H58)</f>
        <v>0.68548135766125506</v>
      </c>
      <c r="J58" s="34" cm="1">
        <f t="array" ref="J58">[1]!feed_gas_fraction_d(Pintake_,Tintake_,D58,I58)</f>
        <v>0.40583090946482875</v>
      </c>
    </row>
    <row r="59" spans="2:10" outlineLevel="1" x14ac:dyDescent="0.2">
      <c r="B59" s="15">
        <v>210</v>
      </c>
      <c r="C59" s="15">
        <v>80</v>
      </c>
      <c r="D59" s="37" t="str" cm="1">
        <f t="array" ref="D59">[1]!encode_feed(B59,wc_,Rp_,,PVT_str_)</f>
        <v>{"gamma_gas":0.9,"gamma_oil":0.875,"gamma_wat":1,"rsb_m3m3":80,"pb_atma":120,"t_res_C":120,"bob_m3m3":1.2,"muob_cP":1,"PVT_corr_set":0,"q_liq_sm3day":210,"fw_perc":0,"rp_m3m3":80}</v>
      </c>
      <c r="E59" s="34" cm="1">
        <f t="array" ref="E59">[1]!well_ksep_natural_d(D59,Pintake_,Tintake_,Dintake_,Dcas_)</f>
        <v>0.37281999999999998</v>
      </c>
      <c r="F59" s="34" cm="1">
        <f t="array" ref="F59">[1]!well_ksep_natural_d(D59,Pintake_,Tintake_,Dintake_,Dcas_*cf_dcas_)</f>
        <v>0</v>
      </c>
      <c r="G59" s="34" cm="1">
        <f t="array" ref="G59">[1]!feed_gas_fraction_d(Pintake_,Tintake_,D59,F59)</f>
        <v>0.68470612239540407</v>
      </c>
      <c r="H59" s="34" cm="1">
        <f t="array" ref="H59">[1]!ESP_gassep_ksep_d(gassep_type,G59,B59)</f>
        <v>0.48155898510651146</v>
      </c>
      <c r="I59" s="34" cm="1">
        <f t="array" ref="I59">[1]!well_ksep_total_d(E59,H59)</f>
        <v>0.67484416427910188</v>
      </c>
      <c r="J59" s="34" cm="1">
        <f t="array" ref="J59">[1]!feed_gas_fraction_d(Pintake_,Tintake_,D59,I59)</f>
        <v>0.41387571407132173</v>
      </c>
    </row>
    <row r="60" spans="2:10" outlineLevel="1" x14ac:dyDescent="0.2">
      <c r="B60" s="15">
        <v>220</v>
      </c>
      <c r="C60" s="15">
        <v>80</v>
      </c>
      <c r="D60" s="37" t="str" cm="1">
        <f t="array" ref="D60">[1]!encode_feed(B60,wc_,Rp_,,PVT_str_)</f>
        <v>{"gamma_gas":0.9,"gamma_oil":0.875,"gamma_wat":1,"rsb_m3m3":80,"pb_atma":120,"t_res_C":120,"bob_m3m3":1.2,"muob_cP":1,"PVT_corr_set":0,"q_liq_sm3day":220,"fw_perc":0,"rp_m3m3":80}</v>
      </c>
      <c r="E60" s="34" cm="1">
        <f t="array" ref="E60">[1]!well_ksep_natural_d(D60,Pintake_,Tintake_,Dintake_,Dcas_)</f>
        <v>0.36357</v>
      </c>
      <c r="F60" s="34" cm="1">
        <f t="array" ref="F60">[1]!well_ksep_natural_d(D60,Pintake_,Tintake_,Dintake_,Dcas_*cf_dcas_)</f>
        <v>0</v>
      </c>
      <c r="G60" s="34" cm="1">
        <f t="array" ref="G60">[1]!feed_gas_fraction_d(Pintake_,Tintake_,D60,F60)</f>
        <v>0.68470612239540418</v>
      </c>
      <c r="H60" s="34" cm="1">
        <f t="array" ref="H60">[1]!ESP_gassep_ksep_d(gassep_type,G60,B60)</f>
        <v>0.47298844631578979</v>
      </c>
      <c r="I60" s="34" cm="1">
        <f t="array" ref="I60">[1]!well_ksep_total_d(E60,H60)</f>
        <v>0.66459403688875818</v>
      </c>
      <c r="J60" s="34" cm="1">
        <f t="array" ref="J60">[1]!feed_gas_fraction_d(Pintake_,Tintake_,D60,I60)</f>
        <v>0.42142433842191102</v>
      </c>
    </row>
    <row r="61" spans="2:10" outlineLevel="1" x14ac:dyDescent="0.2">
      <c r="B61" s="15">
        <v>230</v>
      </c>
      <c r="C61" s="15">
        <v>80</v>
      </c>
      <c r="D61" s="37" t="str" cm="1">
        <f t="array" ref="D61">[1]!encode_feed(B61,wc_,Rp_,,PVT_str_)</f>
        <v>{"gamma_gas":0.9,"gamma_oil":0.875,"gamma_wat":1,"rsb_m3m3":80,"pb_atma":120,"t_res_C":120,"bob_m3m3":1.2,"muob_cP":1,"PVT_corr_set":0,"q_liq_sm3day":230,"fw_perc":0,"rp_m3m3":80}</v>
      </c>
      <c r="E61" s="34" cm="1">
        <f t="array" ref="E61">[1]!well_ksep_natural_d(D61,Pintake_,Tintake_,Dintake_,Dcas_)</f>
        <v>0.35510999999999998</v>
      </c>
      <c r="F61" s="34" cm="1">
        <f t="array" ref="F61">[1]!well_ksep_natural_d(D61,Pintake_,Tintake_,Dintake_,Dcas_*cf_dcas_)</f>
        <v>0</v>
      </c>
      <c r="G61" s="34" cm="1">
        <f t="array" ref="G61">[1]!feed_gas_fraction_d(Pintake_,Tintake_,D61,F61)</f>
        <v>0.68470612239540407</v>
      </c>
      <c r="H61" s="34" cm="1">
        <f t="array" ref="H61">[1]!ESP_gassep_ksep_d(gassep_type,G61,B61)</f>
        <v>0.46459978192507073</v>
      </c>
      <c r="I61" s="34" cm="1">
        <f t="array" ref="I61">[1]!well_ksep_total_d(E61,H61)</f>
        <v>0.65472575336565875</v>
      </c>
      <c r="J61" s="34" cm="1">
        <f t="array" ref="J61">[1]!feed_gas_fraction_d(Pintake_,Tintake_,D61,I61)</f>
        <v>0.42851030108091964</v>
      </c>
    </row>
    <row r="62" spans="2:10" outlineLevel="1" x14ac:dyDescent="0.2">
      <c r="B62" s="15">
        <v>240</v>
      </c>
      <c r="C62" s="15">
        <v>80</v>
      </c>
      <c r="D62" s="37" t="str" cm="1">
        <f t="array" ref="D62">[1]!encode_feed(B62,wc_,Rp_,,PVT_str_)</f>
        <v>{"gamma_gas":0.9,"gamma_oil":0.875,"gamma_wat":1,"rsb_m3m3":80,"pb_atma":120,"t_res_C":120,"bob_m3m3":1.2,"muob_cP":1,"PVT_corr_set":0,"q_liq_sm3day":240,"fw_perc":0,"rp_m3m3":80}</v>
      </c>
      <c r="E62" s="34" cm="1">
        <f t="array" ref="E62">[1]!well_ksep_natural_d(D62,Pintake_,Tintake_,Dintake_,Dcas_)</f>
        <v>0.34737000000000001</v>
      </c>
      <c r="F62" s="34" cm="1">
        <f t="array" ref="F62">[1]!well_ksep_natural_d(D62,Pintake_,Tintake_,Dintake_,Dcas_*cf_dcas_)</f>
        <v>0</v>
      </c>
      <c r="G62" s="34" cm="1">
        <f t="array" ref="G62">[1]!feed_gas_fraction_d(Pintake_,Tintake_,D62,F62)</f>
        <v>0.68470612239540418</v>
      </c>
      <c r="H62" s="34" cm="1">
        <f t="array" ref="H62">[1]!ESP_gassep_ksep_d(gassep_type,G62,B62)</f>
        <v>0.45639299193434901</v>
      </c>
      <c r="I62" s="34" cm="1">
        <f t="array" ref="I62">[1]!well_ksep_total_d(E62,H62)</f>
        <v>0.64522575832611428</v>
      </c>
      <c r="J62" s="34" cm="1">
        <f t="array" ref="J62">[1]!feed_gas_fraction_d(Pintake_,Tintake_,D62,I62)</f>
        <v>0.43516975173320166</v>
      </c>
    </row>
    <row r="63" spans="2:10" outlineLevel="1" x14ac:dyDescent="0.2"/>
    <row r="64" spans="2:10" outlineLevel="1" x14ac:dyDescent="0.2"/>
    <row r="66" spans="3:8" outlineLevel="1" x14ac:dyDescent="0.2"/>
    <row r="67" spans="3:8" outlineLevel="1" x14ac:dyDescent="0.2">
      <c r="E67" t="str" cm="1">
        <f t="array" ref="E67">[1]!encode_arange(12,15,1)</f>
        <v>[12,13,14,15]</v>
      </c>
    </row>
    <row r="68" spans="3:8" outlineLevel="1" x14ac:dyDescent="0.2"/>
    <row r="69" spans="3:8" outlineLevel="1" x14ac:dyDescent="0.2"/>
    <row r="70" spans="3:8" outlineLevel="1" x14ac:dyDescent="0.2">
      <c r="E70" t="str" cm="1">
        <f t="array" ref="E70">[1]!well_ksep_natural_d(D61,E67,Tintake_,Dintake_,Dcas_)</f>
        <v>{"p_atma":[12,13,14,15],"t_C":[80,80,80,80],"feed":[{"gamma_gas":0.9,"gamma_oil":0.875,"gamma_wat":1,"rsb_m3m3":53.309,"pb_atma":86.034,"t_res_C":120,"bob_m3m3":1.15,"muob_cP":1.221,"PVT_corr_set":0,"q_liq_sm3day":230,"fw_perc":0,"rp_m3m3":53.309},{"gamma_gas":0.9,"gamma_oil":0.875,"gamma_wat":1,"rsb_m3m3":53.548,"pb_atma":86.353,"t_res_C":120,"bob_m3m3":1.151,"muob_cP":1.219,"PVT_corr_set":0,"q_liq_sm3day":230,"fw_perc":0,"rp_m3m3":53.548},{"gamma_gas":0.9,"gamma_oil":0.875,"gamma_wat":1,"rsb_m3m3":53.79,"pb_atma":86.676,"t_res_C":120,"bob_m3m3":1.151,"muob_cP":1.216,"PVT_corr_set":0,"q_liq_sm3day":230,"fw_perc":0,"rp_m3m3":53.79},{"gamma_gas":0.9,"gamma_oil":0.875,"gamma_wat":1,"rsb_m3m3":54.034,"pb_atma":87.003,"t_res_C":120,"bob_m3m3":1.152,"muob_cP":1.214,"PVT_corr_set":0,"q_liq_sm3day":230,"fw_perc":0,"rp_m3m3":54.034}],"k_sep":[0.36054,0.36026,0.35997,0.35968]}</v>
      </c>
    </row>
    <row r="71" spans="3:8" outlineLevel="1" x14ac:dyDescent="0.2"/>
    <row r="72" spans="3:8" outlineLevel="1" x14ac:dyDescent="0.2">
      <c r="E72" s="4"/>
    </row>
    <row r="73" spans="3:8" outlineLevel="1" x14ac:dyDescent="0.2">
      <c r="E73" t="str" cm="1">
        <f t="array" ref="E73:F76">[1]!decode_json(E70)</f>
        <v>p_atma</v>
      </c>
      <c r="F73" t="str">
        <v>[12,13,14,15]</v>
      </c>
    </row>
    <row r="74" spans="3:8" outlineLevel="1" x14ac:dyDescent="0.2">
      <c r="E74" t="str">
        <v>t_C</v>
      </c>
      <c r="F74" t="str">
        <v>[80,80,80,80]</v>
      </c>
    </row>
    <row r="75" spans="3:8" outlineLevel="1" x14ac:dyDescent="0.2">
      <c r="E75" t="str">
        <v>feed</v>
      </c>
      <c r="F75" s="39" t="str">
        <v>[{"gamma_gas":0.9,"gamma_oil":0.875,"gamma_wat":1,"rsb_m3m3":53.309,"pb_atma":86.034,"t_res_C":120,"bob_m3m3":1.15,"muob_cP":1.221,"PVT_corr_set":0,"q_liq_sm3day":230,"fw_perc":0,"rp_m3m3":53.309},{"gamma_gas":0.9,"gamma_oil":0.875,"gamma_wat":1,"rsb_m3m3":53.548,"pb_atma":86.353,"t_res_C":120,"bob_m3m3":1.151,"muob_cP":1.219,"PVT_corr_set":0,"q_liq_sm3day":230,"fw_perc":0,"rp_m3m3":53.548},{"gamma_gas":0.9,"gamma_oil":0.875,"gamma_wat":1,"rsb_m3m3":53.79,"pb_atma":86.676,"t_res_C":120,"bob_m3m3":1.151,"muob_cP":1.216,"PVT_corr_set":0,"q_liq_sm3day":230,"fw_perc":0,"rp_m3m3":53.79},{"gamma_gas":0.9,"gamma_oil":0.875,"gamma_wat":1,"rsb_m3m3":54.034,"pb_atma":87.003,"t_res_C":120,"bob_m3m3":1.152,"muob_cP":1.214,"PVT_corr_set":0,"q_liq_sm3day":230,"fw_perc":0,"rp_m3m3":54.034}]</v>
      </c>
      <c r="G75" s="7"/>
      <c r="H75" s="7"/>
    </row>
    <row r="76" spans="3:8" outlineLevel="1" x14ac:dyDescent="0.2">
      <c r="C76" s="8"/>
      <c r="D76" s="8"/>
      <c r="E76" s="9" t="str">
        <v>k_sep</v>
      </c>
      <c r="F76" s="9" t="str">
        <v>[0.36054,0.36026,0.35997,0.35968]</v>
      </c>
      <c r="G76" s="9"/>
      <c r="H76" s="9"/>
    </row>
    <row r="77" spans="3:8" outlineLevel="1" x14ac:dyDescent="0.2">
      <c r="C77" s="8"/>
      <c r="D77" s="8"/>
      <c r="E77" s="9"/>
      <c r="F77" s="9"/>
      <c r="G77" s="9"/>
      <c r="H77" s="9"/>
    </row>
    <row r="78" spans="3:8" outlineLevel="1" x14ac:dyDescent="0.2">
      <c r="C78" s="8"/>
      <c r="D78" s="8"/>
      <c r="E78" s="9"/>
      <c r="F78" s="9"/>
      <c r="G78" s="9"/>
      <c r="H78" s="9"/>
    </row>
    <row r="79" spans="3:8" outlineLevel="1" x14ac:dyDescent="0.2">
      <c r="C79" s="8"/>
      <c r="D79" s="8"/>
      <c r="E79" s="38" t="str" cm="1">
        <f t="array" ref="E79">[1]!well_ksep_total_d(F76,0.4)</f>
        <v>[0.616324,0.616156,0.615982,0.615808]</v>
      </c>
      <c r="F79" s="9"/>
      <c r="G79" s="9"/>
      <c r="H79" s="9"/>
    </row>
    <row r="80" spans="3:8" outlineLevel="1" x14ac:dyDescent="0.2">
      <c r="C80" s="8"/>
      <c r="D80" s="8"/>
      <c r="E80" s="9"/>
      <c r="F80" s="9"/>
      <c r="G80" s="9"/>
      <c r="H80" s="9"/>
    </row>
    <row r="81" spans="3:8" outlineLevel="1" x14ac:dyDescent="0.2">
      <c r="C81" s="8"/>
      <c r="D81" s="8"/>
      <c r="E81" s="9"/>
      <c r="F81" s="9"/>
      <c r="G81" s="9"/>
      <c r="H81" s="9"/>
    </row>
    <row r="82" spans="3:8" outlineLevel="1" x14ac:dyDescent="0.2">
      <c r="C82" s="8"/>
      <c r="D82" s="8"/>
      <c r="E82" s="9"/>
      <c r="F82" s="9"/>
      <c r="G82" s="9"/>
      <c r="H82" s="9"/>
    </row>
    <row r="83" spans="3:8" outlineLevel="1" x14ac:dyDescent="0.2">
      <c r="C83" s="8"/>
      <c r="D83" s="8"/>
      <c r="E83" s="9"/>
      <c r="F83" s="9"/>
      <c r="G83" s="9"/>
      <c r="H83" s="9"/>
    </row>
    <row r="84" spans="3:8" outlineLevel="1" x14ac:dyDescent="0.2">
      <c r="C84" s="8"/>
      <c r="D84" s="8"/>
      <c r="E84" s="9"/>
      <c r="F84" s="9"/>
      <c r="G84" s="9"/>
      <c r="H84" s="9"/>
    </row>
    <row r="85" spans="3:8" outlineLevel="1" x14ac:dyDescent="0.2">
      <c r="C85" s="8"/>
      <c r="D85" s="8"/>
      <c r="E85" s="9"/>
      <c r="F85" s="9"/>
      <c r="G85" s="9"/>
      <c r="H85" s="9"/>
    </row>
    <row r="86" spans="3:8" outlineLevel="1" x14ac:dyDescent="0.2">
      <c r="C86" s="8"/>
      <c r="D86" s="8"/>
      <c r="E86" s="9"/>
      <c r="F86" s="9"/>
      <c r="G86" s="9"/>
      <c r="H86" s="9"/>
    </row>
    <row r="87" spans="3:8" outlineLevel="1" x14ac:dyDescent="0.2">
      <c r="C87" s="8"/>
      <c r="D87" s="8"/>
      <c r="E87" s="9"/>
      <c r="F87" s="9"/>
      <c r="G87" s="9"/>
      <c r="H87" s="9"/>
    </row>
    <row r="88" spans="3:8" outlineLevel="1" x14ac:dyDescent="0.2">
      <c r="C88" s="8"/>
      <c r="D88" s="8"/>
      <c r="E88" s="9"/>
      <c r="F88" s="9"/>
      <c r="G88" s="9"/>
      <c r="H88" s="9"/>
    </row>
    <row r="89" spans="3:8" outlineLevel="1" x14ac:dyDescent="0.2">
      <c r="C89" s="8"/>
      <c r="D89" s="8"/>
      <c r="E89" s="9"/>
      <c r="F89" s="9"/>
      <c r="G89" s="9"/>
      <c r="H89" s="9"/>
    </row>
    <row r="90" spans="3:8" outlineLevel="1" x14ac:dyDescent="0.2">
      <c r="C90" s="8"/>
      <c r="D90" s="8"/>
      <c r="E90" s="9"/>
      <c r="F90" s="9"/>
      <c r="G90" s="9"/>
      <c r="H90" s="9"/>
    </row>
    <row r="91" spans="3:8" outlineLevel="1" x14ac:dyDescent="0.2">
      <c r="C91" s="8"/>
      <c r="D91" s="8"/>
      <c r="E91" s="9"/>
      <c r="F91" s="9"/>
      <c r="G91" s="9"/>
      <c r="H91" s="9"/>
    </row>
    <row r="92" spans="3:8" outlineLevel="1" x14ac:dyDescent="0.2">
      <c r="C92" s="8"/>
      <c r="D92" s="8"/>
      <c r="E92" s="9"/>
      <c r="F92" s="9"/>
      <c r="G92" s="9"/>
      <c r="H92" s="9"/>
    </row>
    <row r="93" spans="3:8" outlineLevel="1" x14ac:dyDescent="0.2">
      <c r="C93" s="8"/>
      <c r="D93" s="8"/>
      <c r="E93" s="9"/>
      <c r="F93" s="9"/>
      <c r="G93" s="9"/>
      <c r="H93" s="9"/>
    </row>
    <row r="94" spans="3:8" outlineLevel="1" x14ac:dyDescent="0.2">
      <c r="C94" s="8"/>
      <c r="D94" s="8"/>
      <c r="E94" s="9"/>
      <c r="F94" s="9"/>
      <c r="G94" s="9"/>
      <c r="H94" s="9"/>
    </row>
    <row r="95" spans="3:8" outlineLevel="1" x14ac:dyDescent="0.2">
      <c r="C95" s="8"/>
      <c r="D95" s="8"/>
      <c r="E95" s="9"/>
      <c r="F95" s="9"/>
      <c r="G95" s="9"/>
      <c r="H95" s="9"/>
    </row>
    <row r="96" spans="3:8" outlineLevel="1" x14ac:dyDescent="0.2">
      <c r="C96" s="8"/>
      <c r="D96" s="8"/>
      <c r="E96" s="9"/>
      <c r="F96" s="9"/>
      <c r="G96" s="9"/>
      <c r="H96" s="9"/>
    </row>
    <row r="97" outlineLevel="1" x14ac:dyDescent="0.2"/>
    <row r="98" outlineLevel="1" x14ac:dyDescent="0.2"/>
    <row r="99" outlineLevel="1" x14ac:dyDescent="0.2"/>
    <row r="154" spans="11:11" x14ac:dyDescent="0.2">
      <c r="K154" t="s">
        <v>6</v>
      </c>
    </row>
    <row r="165" spans="11:11" x14ac:dyDescent="0.2">
      <c r="K165" s="6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CAF23-A8EC-43B8-ABB2-C1DC0C4CED7A}">
  <sheetPr codeName="WorksheetSeparation1">
    <outlinePr summaryBelow="0"/>
  </sheetPr>
  <dimension ref="A1:T165"/>
  <sheetViews>
    <sheetView tabSelected="1" topLeftCell="A10" zoomScaleNormal="100" workbookViewId="0">
      <selection activeCell="G24" sqref="G24"/>
    </sheetView>
  </sheetViews>
  <sheetFormatPr defaultRowHeight="12.75" outlineLevelRow="1" x14ac:dyDescent="0.2"/>
  <cols>
    <col min="2" max="2" width="12.42578125" customWidth="1"/>
    <col min="3" max="3" width="9.85546875" customWidth="1"/>
    <col min="4" max="4" width="16.140625" customWidth="1"/>
    <col min="5" max="5" width="15.7109375" customWidth="1"/>
    <col min="6" max="6" width="21.140625" customWidth="1"/>
    <col min="7" max="9" width="15.7109375" customWidth="1"/>
    <col min="10" max="10" width="17.140625" customWidth="1"/>
    <col min="11" max="11" width="10.140625" customWidth="1"/>
    <col min="13" max="13" width="21.28515625" customWidth="1"/>
    <col min="16" max="16" width="10" bestFit="1" customWidth="1"/>
  </cols>
  <sheetData>
    <row r="1" spans="1:12" x14ac:dyDescent="0.2">
      <c r="A1" s="1" t="s">
        <v>31</v>
      </c>
      <c r="F1" t="s">
        <v>32</v>
      </c>
      <c r="G1" t="str">
        <f>[1]!unf_version()</f>
        <v>7.46</v>
      </c>
      <c r="H1" t="s">
        <v>39</v>
      </c>
      <c r="I1" s="25">
        <v>45041</v>
      </c>
      <c r="J1" s="26"/>
      <c r="K1" s="26"/>
      <c r="L1" s="26"/>
    </row>
    <row r="2" spans="1:12" x14ac:dyDescent="0.2">
      <c r="A2" t="s">
        <v>53</v>
      </c>
      <c r="H2" t="s">
        <v>40</v>
      </c>
      <c r="I2" s="27">
        <v>7.46</v>
      </c>
      <c r="J2" s="26"/>
      <c r="K2" s="26"/>
      <c r="L2" s="26"/>
    </row>
    <row r="3" spans="1:12" ht="15" x14ac:dyDescent="0.25">
      <c r="A3" s="28" t="s">
        <v>41</v>
      </c>
      <c r="B3" s="40" t="s">
        <v>42</v>
      </c>
      <c r="C3" s="41"/>
      <c r="D3" s="41"/>
      <c r="E3" s="42"/>
      <c r="H3" t="s">
        <v>43</v>
      </c>
      <c r="I3" s="26" t="s">
        <v>42</v>
      </c>
      <c r="J3" s="26"/>
      <c r="K3" s="26"/>
      <c r="L3" s="26"/>
    </row>
    <row r="4" spans="1:12" ht="15" x14ac:dyDescent="0.25">
      <c r="A4" s="28" t="s">
        <v>44</v>
      </c>
      <c r="B4" s="40" t="s">
        <v>45</v>
      </c>
      <c r="C4" s="41"/>
      <c r="D4" s="41"/>
      <c r="E4" s="42"/>
      <c r="H4" t="s">
        <v>46</v>
      </c>
      <c r="I4" s="26" t="s">
        <v>45</v>
      </c>
      <c r="J4" s="26"/>
      <c r="K4" s="26"/>
      <c r="L4" s="26"/>
    </row>
    <row r="5" spans="1:12" ht="15" x14ac:dyDescent="0.25">
      <c r="A5" s="28" t="s">
        <v>47</v>
      </c>
      <c r="B5" s="40" t="s">
        <v>48</v>
      </c>
      <c r="C5" s="41"/>
      <c r="D5" s="41"/>
      <c r="E5" s="42"/>
      <c r="H5" t="s">
        <v>49</v>
      </c>
      <c r="I5" s="26" t="s">
        <v>48</v>
      </c>
      <c r="J5" s="26"/>
      <c r="K5" s="26"/>
      <c r="L5" s="26"/>
    </row>
    <row r="6" spans="1:12" x14ac:dyDescent="0.2">
      <c r="A6" s="29" t="s">
        <v>50</v>
      </c>
      <c r="B6" s="43" t="s">
        <v>51</v>
      </c>
      <c r="C6" s="44"/>
      <c r="D6" s="44"/>
      <c r="E6" s="45"/>
      <c r="H6" s="30" t="s">
        <v>52</v>
      </c>
      <c r="I6" s="31" t="s">
        <v>51</v>
      </c>
      <c r="J6" s="31"/>
      <c r="K6" s="31"/>
      <c r="L6" s="31"/>
    </row>
    <row r="7" spans="1:12" x14ac:dyDescent="0.2">
      <c r="A7" s="32"/>
      <c r="B7" s="46"/>
      <c r="C7" s="47"/>
      <c r="D7" s="47"/>
      <c r="E7" s="48"/>
      <c r="H7" s="30"/>
      <c r="I7" s="31"/>
      <c r="J7" s="31"/>
      <c r="K7" s="31"/>
      <c r="L7" s="31"/>
    </row>
    <row r="8" spans="1:12" x14ac:dyDescent="0.2">
      <c r="A8" s="33"/>
      <c r="B8" s="49"/>
      <c r="C8" s="50"/>
      <c r="D8" s="50"/>
      <c r="E8" s="51"/>
      <c r="H8" s="30"/>
      <c r="I8" s="31"/>
      <c r="J8" s="31"/>
      <c r="K8" s="31"/>
      <c r="L8" s="31"/>
    </row>
    <row r="10" spans="1:12" x14ac:dyDescent="0.2">
      <c r="A10" s="1" t="s">
        <v>7</v>
      </c>
    </row>
    <row r="11" spans="1:12" ht="18.75" outlineLevel="1" x14ac:dyDescent="0.35">
      <c r="B11" s="10" t="s">
        <v>15</v>
      </c>
      <c r="C11" s="2">
        <v>0.875</v>
      </c>
      <c r="D11" s="13"/>
      <c r="E11" s="14"/>
      <c r="F11" s="15">
        <f>gamma_oil_*1000</f>
        <v>875</v>
      </c>
      <c r="G11" s="11" t="s">
        <v>33</v>
      </c>
    </row>
    <row r="12" spans="1:12" ht="18.75" outlineLevel="1" x14ac:dyDescent="0.35">
      <c r="B12" s="11" t="s">
        <v>17</v>
      </c>
      <c r="C12" s="2">
        <v>1</v>
      </c>
      <c r="D12" s="13"/>
      <c r="E12" s="14"/>
      <c r="F12" s="15">
        <f>gamma_wat_*1000</f>
        <v>1000</v>
      </c>
      <c r="G12" s="11" t="s">
        <v>33</v>
      </c>
    </row>
    <row r="13" spans="1:12" ht="18.75" outlineLevel="1" x14ac:dyDescent="0.35">
      <c r="B13" s="11" t="s">
        <v>16</v>
      </c>
      <c r="C13" s="2">
        <v>0.9</v>
      </c>
      <c r="D13" s="13"/>
      <c r="E13" s="14"/>
      <c r="F13" s="15">
        <f>gamma_gas_*1.22</f>
        <v>1.0980000000000001</v>
      </c>
      <c r="G13" s="11" t="s">
        <v>33</v>
      </c>
    </row>
    <row r="14" spans="1:12" ht="18.75" outlineLevel="1" x14ac:dyDescent="0.35">
      <c r="B14" s="12" t="s">
        <v>18</v>
      </c>
      <c r="C14" s="2">
        <v>80</v>
      </c>
      <c r="D14" s="13" t="s">
        <v>1</v>
      </c>
      <c r="E14" s="11" t="s">
        <v>34</v>
      </c>
      <c r="F14" s="16">
        <f>Rsb_/gamma_oil_</f>
        <v>91.428571428571431</v>
      </c>
      <c r="G14" s="11" t="s">
        <v>35</v>
      </c>
    </row>
    <row r="15" spans="1:12" ht="18.75" outlineLevel="1" x14ac:dyDescent="0.35">
      <c r="B15" s="12" t="s">
        <v>19</v>
      </c>
      <c r="C15" s="2">
        <v>120</v>
      </c>
      <c r="D15" s="13" t="s">
        <v>1</v>
      </c>
      <c r="E15" s="11" t="s">
        <v>34</v>
      </c>
      <c r="F15" s="16">
        <f>Rsb_/gamma_oil_</f>
        <v>91.428571428571431</v>
      </c>
      <c r="G15" s="11" t="s">
        <v>35</v>
      </c>
    </row>
    <row r="16" spans="1:12" ht="18" outlineLevel="1" x14ac:dyDescent="0.35">
      <c r="B16" s="11" t="s">
        <v>20</v>
      </c>
      <c r="C16" s="2">
        <v>120</v>
      </c>
      <c r="D16" s="13" t="s">
        <v>2</v>
      </c>
      <c r="E16" s="14" t="s">
        <v>36</v>
      </c>
      <c r="F16" s="16">
        <f>Pb_*1.01325</f>
        <v>121.59</v>
      </c>
      <c r="G16" s="14" t="s">
        <v>37</v>
      </c>
    </row>
    <row r="17" spans="1:20" ht="18" outlineLevel="1" x14ac:dyDescent="0.35">
      <c r="B17" s="11" t="s">
        <v>21</v>
      </c>
      <c r="C17" s="2">
        <v>80</v>
      </c>
      <c r="D17" s="13" t="s">
        <v>3</v>
      </c>
      <c r="E17" s="14" t="s">
        <v>3</v>
      </c>
      <c r="F17" s="16">
        <f>Tres_*9/5+32</f>
        <v>176</v>
      </c>
      <c r="G17" s="14" t="s">
        <v>38</v>
      </c>
    </row>
    <row r="18" spans="1:20" ht="18" outlineLevel="1" x14ac:dyDescent="0.35">
      <c r="B18" s="12" t="s">
        <v>22</v>
      </c>
      <c r="C18" s="2">
        <v>1.2</v>
      </c>
      <c r="D18" s="13" t="s">
        <v>1</v>
      </c>
    </row>
    <row r="19" spans="1:20" ht="18" outlineLevel="1" x14ac:dyDescent="0.35">
      <c r="B19" s="13" t="s">
        <v>23</v>
      </c>
      <c r="C19" s="2">
        <v>0.3</v>
      </c>
      <c r="D19" s="13" t="s">
        <v>28</v>
      </c>
      <c r="J19" t="s">
        <v>56</v>
      </c>
    </row>
    <row r="20" spans="1:20" ht="15.75" x14ac:dyDescent="0.3">
      <c r="B20" s="13" t="s">
        <v>29</v>
      </c>
      <c r="C20" s="2">
        <v>10</v>
      </c>
      <c r="D20" s="13" t="s">
        <v>4</v>
      </c>
      <c r="J20" t="s">
        <v>57</v>
      </c>
      <c r="K20">
        <v>1</v>
      </c>
      <c r="L20" t="str">
        <f t="array" ref="L20">[1]!encode_json(J20:K22)</f>
        <v>{"show_array":1,"gas_goes_into_solution":1,"calibr_li":2}</v>
      </c>
    </row>
    <row r="21" spans="1:20" x14ac:dyDescent="0.2">
      <c r="J21" t="s">
        <v>59</v>
      </c>
      <c r="K21">
        <v>1</v>
      </c>
    </row>
    <row r="22" spans="1:20" x14ac:dyDescent="0.2">
      <c r="A22" s="1" t="s">
        <v>8</v>
      </c>
      <c r="B22" s="3"/>
      <c r="C22" s="4"/>
      <c r="J22" t="s">
        <v>60</v>
      </c>
      <c r="K22">
        <v>2</v>
      </c>
    </row>
    <row r="23" spans="1:20" ht="18" outlineLevel="1" x14ac:dyDescent="0.35">
      <c r="B23" s="13" t="s">
        <v>24</v>
      </c>
      <c r="C23" s="2">
        <v>130</v>
      </c>
      <c r="D23" s="13" t="s">
        <v>5</v>
      </c>
      <c r="F23" t="s">
        <v>61</v>
      </c>
      <c r="G23">
        <v>0.3</v>
      </c>
    </row>
    <row r="24" spans="1:20" ht="18" outlineLevel="1" x14ac:dyDescent="0.35">
      <c r="B24" s="13" t="s">
        <v>25</v>
      </c>
      <c r="C24" s="2">
        <v>102</v>
      </c>
      <c r="D24" s="13" t="s">
        <v>5</v>
      </c>
    </row>
    <row r="25" spans="1:20" ht="18" outlineLevel="1" x14ac:dyDescent="0.35">
      <c r="B25" s="13" t="s">
        <v>26</v>
      </c>
      <c r="C25" s="2">
        <v>50</v>
      </c>
      <c r="D25" s="13" t="s">
        <v>2</v>
      </c>
    </row>
    <row r="26" spans="1:20" ht="18" outlineLevel="1" x14ac:dyDescent="0.35">
      <c r="B26" s="13" t="s">
        <v>27</v>
      </c>
      <c r="C26" s="2">
        <v>80</v>
      </c>
      <c r="D26" s="13" t="s">
        <v>3</v>
      </c>
    </row>
    <row r="29" spans="1:20" x14ac:dyDescent="0.2">
      <c r="B29" s="17" t="s">
        <v>14</v>
      </c>
      <c r="C29" s="18" t="str" cm="1">
        <f t="array" ref="C29">[1]!encode_PVT(gamma_gas_,gamma_oil_,gamma_wat_,Rsb_,Pb_,Tres_,Bob_,muob_)</f>
        <v>{"gamma_gas":0.9,"gamma_oil":0.875,"gamma_wat":1,"rsb_m3m3":80,"pb_atma":120,"t_res_C":80,"bob_m3m3":1.2,"muob_cP":0.3,"PVT_corr_set":0}</v>
      </c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24"/>
      <c r="T29" s="24"/>
    </row>
    <row r="30" spans="1:20" x14ac:dyDescent="0.2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24"/>
      <c r="T30" s="24"/>
    </row>
    <row r="31" spans="1:20" ht="12.75" customHeight="1" outlineLevel="1" x14ac:dyDescent="0.2"/>
    <row r="32" spans="1:20" x14ac:dyDescent="0.2">
      <c r="A32" t="s">
        <v>12</v>
      </c>
    </row>
    <row r="33" spans="1:13" outlineLevel="1" x14ac:dyDescent="0.2">
      <c r="A33" t="s">
        <v>9</v>
      </c>
    </row>
    <row r="34" spans="1:13" outlineLevel="1" x14ac:dyDescent="0.2"/>
    <row r="35" spans="1:13" ht="31.5" customHeight="1" outlineLevel="1" x14ac:dyDescent="0.2">
      <c r="F35" s="57" t="s">
        <v>63</v>
      </c>
      <c r="G35" s="58"/>
      <c r="H35" s="59"/>
      <c r="I35" s="57" t="s">
        <v>65</v>
      </c>
      <c r="J35" s="58"/>
      <c r="K35" s="59"/>
    </row>
    <row r="36" spans="1:13" ht="38.25" outlineLevel="1" x14ac:dyDescent="0.2">
      <c r="A36" t="s">
        <v>69</v>
      </c>
      <c r="B36" s="20" t="s">
        <v>0</v>
      </c>
      <c r="C36" s="20" t="s">
        <v>13</v>
      </c>
      <c r="D36" s="21" t="s">
        <v>54</v>
      </c>
      <c r="E36" s="22" t="s">
        <v>58</v>
      </c>
      <c r="F36" s="55" t="s">
        <v>62</v>
      </c>
      <c r="G36" s="56" t="s">
        <v>64</v>
      </c>
      <c r="H36" s="56" t="s">
        <v>70</v>
      </c>
      <c r="I36" s="55" t="s">
        <v>66</v>
      </c>
      <c r="J36" s="56" t="s">
        <v>67</v>
      </c>
      <c r="K36" s="56" t="s">
        <v>68</v>
      </c>
      <c r="M36" s="23"/>
    </row>
    <row r="37" spans="1:13" outlineLevel="1" x14ac:dyDescent="0.2">
      <c r="A37" s="4">
        <f>B37*(1-ПКВ_отношение)/ПКВ_отношение+B37</f>
        <v>3.3333333333333335</v>
      </c>
      <c r="B37" s="15">
        <v>1</v>
      </c>
      <c r="C37" s="15">
        <v>80</v>
      </c>
      <c r="D37" s="37" t="str" cm="1">
        <f t="array" ref="D37">[1]!encode_feed(B37,wc_,Rp_,,PVT_str_)</f>
        <v>{"gamma_gas":0.9,"gamma_oil":0.875,"gamma_wat":1,"rsb_m3m3":80,"pb_atma":120,"t_res_C":80,"bob_m3m3":1.2,"muob_cP":0.3,"PVT_corr_set":0,"q_liq_sm3day":1,"fw_perc":10,"rp_m3m3":120}</v>
      </c>
      <c r="E37" s="34" cm="1">
        <f t="array" ref="E37">[1]!feed_gas_fraction_d(Pintake_,C37,D37)</f>
        <v>0.61477952239535605</v>
      </c>
      <c r="F37" s="52">
        <f t="array" ref="F37:G37">[1]!well_ksep_natural_d(D37,Pintake_,Tintake_,Dintake_,Dcas_,1,,,,prm)</f>
        <v>0.99478</v>
      </c>
      <c r="G37" s="52" t="str">
        <v>{"gamma_gas":0.9,"gamma_oil":0.875,"gamma_wat":1,"rsb_m3m3":28.206,"pb_atma":50.681,"t_res_C":80,"bob_m3m3":1.092,"muob_cP":0.539,"PVT_corr_set":0,"q_liq_sm3day":1,"fw_perc":10,"rp_m3m3":28.206}</v>
      </c>
      <c r="H37" s="34" cm="1">
        <f t="array" ref="H37">[1]!feed_gas_fraction_d(Pintake_,Tintake_,G37)</f>
        <v>1.0156575858899104E-2</v>
      </c>
      <c r="I37" s="53">
        <f t="array" ref="I37:J37">[1]!well_ksep_natural_d(D37,Pintake_,Tintake_,Dintake_,Dcas_,3,ПКВ_отношение,,,prm)</f>
        <v>0.98399999999999999</v>
      </c>
      <c r="J37" s="54" t="str">
        <v>{"gamma_gas":0.9,"gamma_oil":0.875,"gamma_wat":1,"rsb_m3m3":28.813,"pb_atma":51.575,"t_res_C":80,"bob_m3m3":1.093,"muob_cP":0.534,"PVT_corr_set":0,"q_liq_sm3day":3.333,"fw_perc":10,"rp_m3m3":28.813}</v>
      </c>
      <c r="K37" s="34" cm="1">
        <f t="array" ref="K37">[1]!feed_gas_fraction_d(Pintake_,Tintake_,J37)</f>
        <v>2.0239159921576745E-2</v>
      </c>
    </row>
    <row r="38" spans="1:13" outlineLevel="1" x14ac:dyDescent="0.2">
      <c r="A38" s="4">
        <f>B38*(1-ПКВ_отношение)/ПКВ_отношение+B38</f>
        <v>16.666666666666668</v>
      </c>
      <c r="B38" s="15">
        <v>5</v>
      </c>
      <c r="C38" s="15">
        <v>80</v>
      </c>
      <c r="D38" s="37" t="str" cm="1">
        <f t="array" ref="D38">[1]!encode_feed(B38,wc_,Rp_,,PVT_str_)</f>
        <v>{"gamma_gas":0.9,"gamma_oil":0.875,"gamma_wat":1,"rsb_m3m3":80,"pb_atma":120,"t_res_C":80,"bob_m3m3":1.2,"muob_cP":0.3,"PVT_corr_set":0,"q_liq_sm3day":5,"fw_perc":10,"rp_m3m3":120}</v>
      </c>
      <c r="E38" s="34" cm="1">
        <f t="array" ref="E38">[1]!feed_gas_fraction_d(Pintake_,C38,D38)</f>
        <v>0.61477952239535605</v>
      </c>
      <c r="F38" s="52">
        <f t="array" ref="F38:G38">[1]!well_ksep_natural_d(D38,Pintake_,Tintake_,Dintake_,Dcas_,1,,,,prm)</f>
        <v>0.97336</v>
      </c>
      <c r="G38" s="52" t="str">
        <v>{"gamma_gas":0.9,"gamma_oil":0.875,"gamma_wat":1,"rsb_m3m3":30.182,"pb_atma":53.59,"t_res_C":80,"bob_m3m3":1.096,"muob_cP":0.522,"PVT_corr_set":0,"q_liq_sm3day":5,"fw_perc":10,"rp_m3m3":30.182}</v>
      </c>
      <c r="H38" s="34" cm="1">
        <f t="array" ref="H38">[1]!feed_gas_fraction_d(Pintake_,Tintake_,G38)</f>
        <v>4.2343636776293263E-2</v>
      </c>
      <c r="I38" s="53">
        <f t="array" ref="I38:J38">[1]!well_ksep_natural_d(D38,Pintake_,Tintake_,Dintake_,Dcas_,3,ПКВ_отношение,,,prm)</f>
        <v>0.91561999999999999</v>
      </c>
      <c r="J38" s="54" t="str">
        <v>{"gamma_gas":0.9,"gamma_oil":0.875,"gamma_wat":1,"rsb_m3m3":30.706,"pb_atma":54.35,"t_res_C":80,"bob_m3m3":1.097,"muob_cP":0.518,"PVT_corr_set":0,"q_liq_sm3day":16.667,"fw_perc":10,"rp_m3m3":30.706}</v>
      </c>
      <c r="K38" s="34" cm="1">
        <f t="array" ref="K38">[1]!feed_gas_fraction_d(Pintake_,Tintake_,J38)</f>
        <v>5.0479659692016898E-2</v>
      </c>
    </row>
    <row r="39" spans="1:13" outlineLevel="1" x14ac:dyDescent="0.2">
      <c r="A39" s="4">
        <f>B39*(1-ПКВ_отношение)/ПКВ_отношение+B39</f>
        <v>30</v>
      </c>
      <c r="B39" s="15">
        <v>9</v>
      </c>
      <c r="C39" s="15">
        <v>80</v>
      </c>
      <c r="D39" s="37" t="str" cm="1">
        <f t="array" ref="D39">[1]!encode_feed(B39,wc_,Rp_,,PVT_str_)</f>
        <v>{"gamma_gas":0.9,"gamma_oil":0.875,"gamma_wat":1,"rsb_m3m3":80,"pb_atma":120,"t_res_C":80,"bob_m3m3":1.2,"muob_cP":0.3,"PVT_corr_set":0,"q_liq_sm3day":9,"fw_perc":10,"rp_m3m3":120}</v>
      </c>
      <c r="E39" s="34" cm="1">
        <f t="array" ref="E39">[1]!feed_gas_fraction_d(Pintake_,C39,D39)</f>
        <v>0.61477952239535605</v>
      </c>
      <c r="F39" s="52">
        <f t="array" ref="F39:G39">[1]!well_ksep_natural_d(D39,Pintake_,Tintake_,Dintake_,Dcas_,1,,,,prm)</f>
        <v>0.95154000000000005</v>
      </c>
      <c r="G39" s="52" t="str">
        <v>{"gamma_gas":0.9,"gamma_oil":0.875,"gamma_wat":1,"rsb_m3m3":32.196,"pb_atma":56.555,"t_res_C":80,"bob_m3m3":1.1,"muob_cP":0.505,"PVT_corr_set":0,"q_liq_sm3day":9,"fw_perc":10,"rp_m3m3":32.196}</v>
      </c>
      <c r="H39" s="34" cm="1">
        <f t="array" ref="H39">[1]!feed_gas_fraction_d(Pintake_,Tintake_,G39)</f>
        <v>7.3378948534339364E-2</v>
      </c>
      <c r="I39" s="53">
        <f t="array" ref="I39:J39">[1]!well_ksep_natural_d(D39,Pintake_,Tintake_,Dintake_,Dcas_,3,ПКВ_отношение,,,prm)</f>
        <v>0.84216000000000002</v>
      </c>
      <c r="J39" s="54" t="str">
        <v>{"gamma_gas":0.9,"gamma_oil":0.875,"gamma_wat":1,"rsb_m3m3":32.739,"pb_atma":57.225,"t_res_C":80,"bob_m3m3":1.101,"muob_cP":0.506,"PVT_corr_set":0,"q_liq_sm3day":30,"fw_perc":10,"rp_m3m3":32.739}</v>
      </c>
      <c r="K39" s="34" cm="1">
        <f t="array" ref="K39">[1]!feed_gas_fraction_d(Pintake_,Tintake_,J39)</f>
        <v>8.0346379285461469E-2</v>
      </c>
    </row>
    <row r="40" spans="1:13" outlineLevel="1" x14ac:dyDescent="0.2">
      <c r="A40" s="4">
        <f>B40*(1-ПКВ_отношение)/ПКВ_отношение+B40</f>
        <v>43.333333333333329</v>
      </c>
      <c r="B40" s="15">
        <v>13</v>
      </c>
      <c r="C40" s="15">
        <v>80</v>
      </c>
      <c r="D40" s="37" t="str" cm="1">
        <f t="array" ref="D40">[1]!encode_feed(B40,wc_,Rp_,,PVT_str_)</f>
        <v>{"gamma_gas":0.9,"gamma_oil":0.875,"gamma_wat":1,"rsb_m3m3":80,"pb_atma":120,"t_res_C":80,"bob_m3m3":1.2,"muob_cP":0.3,"PVT_corr_set":0,"q_liq_sm3day":13,"fw_perc":10,"rp_m3m3":120}</v>
      </c>
      <c r="E40" s="34" cm="1">
        <f t="array" ref="E40">[1]!feed_gas_fraction_d(Pintake_,C40,D40)</f>
        <v>0.61477952239535605</v>
      </c>
      <c r="F40" s="52">
        <f t="array" ref="F40:G40">[1]!well_ksep_natural_d(D40,Pintake_,Tintake_,Dintake_,Dcas_,1,,,,prm)</f>
        <v>0.92974000000000001</v>
      </c>
      <c r="G40" s="52" t="str">
        <v>{"gamma_gas":0.9,"gamma_oil":0.875,"gamma_wat":1,"rsb_m3m3":34.207,"pb_atma":59.515,"t_res_C":80,"bob_m3m3":1.104,"muob_cP":0.489,"PVT_corr_set":0,"q_liq_sm3day":13,"fw_perc":10,"rp_m3m3":34.207}</v>
      </c>
      <c r="H40" s="34" cm="1">
        <f t="array" ref="H40">[1]!feed_gas_fraction_d(Pintake_,Tintake_,G40)</f>
        <v>0.10265534709758001</v>
      </c>
      <c r="I40" s="53">
        <f t="array" ref="I40:J40">[1]!well_ksep_natural_d(D40,Pintake_,Tintake_,Dintake_,Dcas_,3,ПКВ_отношение,,,prm)</f>
        <v>0.76592000000000005</v>
      </c>
      <c r="J40" s="54" t="str">
        <v>{"gamma_gas":0.9,"gamma_oil":0.875,"gamma_wat":1,"rsb_m3m3":34.85,"pb_atma":60.124,"t_res_C":80,"bob_m3m3":1.106,"muob_cP":0.495,"PVT_corr_set":0,"q_liq_sm3day":43.333,"fw_perc":10,"rp_m3m3":34.85}</v>
      </c>
      <c r="K40" s="34" cm="1">
        <f t="array" ref="K40">[1]!feed_gas_fraction_d(Pintake_,Tintake_,J40)</f>
        <v>0.10903793272893927</v>
      </c>
    </row>
    <row r="41" spans="1:13" outlineLevel="1" x14ac:dyDescent="0.2">
      <c r="A41" s="4">
        <f>B41*(1-ПКВ_отношение)/ПКВ_отношение+B41</f>
        <v>56.666666666666664</v>
      </c>
      <c r="B41" s="15">
        <v>17</v>
      </c>
      <c r="C41" s="15">
        <v>80</v>
      </c>
      <c r="D41" s="37" t="str" cm="1">
        <f t="array" ref="D41">[1]!encode_feed(B41,wc_,Rp_,,PVT_str_)</f>
        <v>{"gamma_gas":0.9,"gamma_oil":0.875,"gamma_wat":1,"rsb_m3m3":80,"pb_atma":120,"t_res_C":80,"bob_m3m3":1.2,"muob_cP":0.3,"PVT_corr_set":0,"q_liq_sm3day":17,"fw_perc":10,"rp_m3m3":120}</v>
      </c>
      <c r="E41" s="34" cm="1">
        <f t="array" ref="E41">[1]!feed_gas_fraction_d(Pintake_,C41,D41)</f>
        <v>0.61477952239535605</v>
      </c>
      <c r="F41" s="52">
        <f t="array" ref="F41:G41">[1]!well_ksep_natural_d(D41,Pintake_,Tintake_,Dintake_,Dcas_,1,,,,prm)</f>
        <v>0.90827999999999998</v>
      </c>
      <c r="G41" s="52" t="str">
        <v>{"gamma_gas":0.9,"gamma_oil":0.875,"gamma_wat":1,"rsb_m3m3":36.187,"pb_atma":62.354,"t_res_C":80,"bob_m3m3":1.108,"muob_cP":0.475,"PVT_corr_set":0,"q_liq_sm3day":17,"fw_perc":10,"rp_m3m3":36.187}</v>
      </c>
      <c r="H41" s="34" cm="1">
        <f t="array" ref="H41">[1]!feed_gas_fraction_d(Pintake_,Tintake_,G41)</f>
        <v>0.1293646132016347</v>
      </c>
      <c r="I41" s="53">
        <f t="array" ref="I41:J41">[1]!well_ksep_natural_d(D41,Pintake_,Tintake_,Dintake_,Dcas_,3,ПКВ_отношение,,,prm)</f>
        <v>0.6885</v>
      </c>
      <c r="J41" s="54" t="str">
        <v>{"gamma_gas":0.9,"gamma_oil":0.875,"gamma_wat":1,"rsb_m3m3":36.993,"pb_atma":63.002,"t_res_C":80,"bob_m3m3":1.11,"muob_cP":0.486,"PVT_corr_set":0,"q_liq_sm3day":56.667,"fw_perc":10,"rp_m3m3":36.993}</v>
      </c>
      <c r="K41" s="34" cm="1">
        <f t="array" ref="K41">[1]!feed_gas_fraction_d(Pintake_,Tintake_,J41)</f>
        <v>0.13631575497379678</v>
      </c>
    </row>
    <row r="42" spans="1:13" outlineLevel="1" x14ac:dyDescent="0.2">
      <c r="A42" s="4">
        <f>B42*(1-ПКВ_отношение)/ПКВ_отношение+B42</f>
        <v>70</v>
      </c>
      <c r="B42" s="15">
        <v>21</v>
      </c>
      <c r="C42" s="15">
        <v>80</v>
      </c>
      <c r="D42" s="37" t="str" cm="1">
        <f t="array" ref="D42">[1]!encode_feed(B42,wc_,Rp_,,PVT_str_)</f>
        <v>{"gamma_gas":0.9,"gamma_oil":0.875,"gamma_wat":1,"rsb_m3m3":80,"pb_atma":120,"t_res_C":80,"bob_m3m3":1.2,"muob_cP":0.3,"PVT_corr_set":0,"q_liq_sm3day":21,"fw_perc":10,"rp_m3m3":120}</v>
      </c>
      <c r="E42" s="34" cm="1">
        <f t="array" ref="E42">[1]!feed_gas_fraction_d(Pintake_,C42,D42)</f>
        <v>0.61477952239535605</v>
      </c>
      <c r="F42" s="52">
        <f t="array" ref="F42:G42">[1]!well_ksep_natural_d(D42,Pintake_,Tintake_,Dintake_,Dcas_,1,,,,prm)</f>
        <v>0.88737999999999995</v>
      </c>
      <c r="G42" s="52" t="str">
        <v>{"gamma_gas":0.9,"gamma_oil":0.875,"gamma_wat":1,"rsb_m3m3":38.116,"pb_atma":65.08,"t_res_C":80,"bob_m3m3":1.112,"muob_cP":0.463,"PVT_corr_set":0,"q_liq_sm3day":21,"fw_perc":10,"rp_m3m3":38.116}</v>
      </c>
      <c r="H42" s="34" cm="1">
        <f t="array" ref="H42">[1]!feed_gas_fraction_d(Pintake_,Tintake_,G42)</f>
        <v>0.1538017186967415</v>
      </c>
      <c r="I42" s="53">
        <f t="array" ref="I42:J42">[1]!well_ksep_natural_d(D42,Pintake_,Tintake_,Dintake_,Dcas_,3,ПКВ_отношение,,,prm)</f>
        <v>0.61112999999999995</v>
      </c>
      <c r="J42" s="54" t="str">
        <v>{"gamma_gas":0.9,"gamma_oil":0.875,"gamma_wat":1,"rsb_m3m3":39.135,"pb_atma":65.82,"t_res_C":80,"bob_m3m3":1.115,"muob_cP":0.478,"PVT_corr_set":0,"q_liq_sm3day":70,"fw_perc":10,"rp_m3m3":39.135}</v>
      </c>
      <c r="K42" s="34" cm="1">
        <f t="array" ref="K42">[1]!feed_gas_fraction_d(Pintake_,Tintake_,J42)</f>
        <v>0.1617913828450542</v>
      </c>
    </row>
    <row r="43" spans="1:13" outlineLevel="1" x14ac:dyDescent="0.2">
      <c r="A43" s="4">
        <f>B43*(1-ПКВ_отношение)/ПКВ_отношение+B43</f>
        <v>83.333333333333343</v>
      </c>
      <c r="B43" s="15">
        <v>25</v>
      </c>
      <c r="C43" s="15">
        <v>80</v>
      </c>
      <c r="D43" s="37" t="str" cm="1">
        <f t="array" ref="D43">[1]!encode_feed(B43,wc_,Rp_,,PVT_str_)</f>
        <v>{"gamma_gas":0.9,"gamma_oil":0.875,"gamma_wat":1,"rsb_m3m3":80,"pb_atma":120,"t_res_C":80,"bob_m3m3":1.2,"muob_cP":0.3,"PVT_corr_set":0,"q_liq_sm3day":25,"fw_perc":10,"rp_m3m3":120}</v>
      </c>
      <c r="E43" s="34" cm="1">
        <f t="array" ref="E43">[1]!feed_gas_fraction_d(Pintake_,C43,D43)</f>
        <v>0.61477952239535605</v>
      </c>
      <c r="F43" s="52">
        <f t="array" ref="F43:G43">[1]!well_ksep_natural_d(D43,Pintake_,Tintake_,Dintake_,Dcas_,1,,,,prm)</f>
        <v>0.86714999999999998</v>
      </c>
      <c r="G43" s="52" t="str">
        <v>{"gamma_gas":0.9,"gamma_oil":0.875,"gamma_wat":1,"rsb_m3m3":39.983,"pb_atma":67.72,"t_res_C":80,"bob_m3m3":1.116,"muob_cP":0.451,"PVT_corr_set":0,"q_liq_sm3day":25,"fw_perc":10,"rp_m3m3":39.983}</v>
      </c>
      <c r="H43" s="34" cm="1">
        <f t="array" ref="H43">[1]!feed_gas_fraction_d(Pintake_,Tintake_,G43)</f>
        <v>0.17631860055934589</v>
      </c>
      <c r="I43" s="53">
        <f t="array" ref="I43:J43">[1]!well_ksep_natural_d(D43,Pintake_,Tintake_,Dintake_,Dcas_,3,ПКВ_отношение,,,prm)</f>
        <v>0.53466999999999998</v>
      </c>
      <c r="J43" s="54" t="str">
        <v>{"gamma_gas":0.9,"gamma_oil":0.875,"gamma_wat":1,"rsb_m3m3":41.251,"pb_atma":68.547,"t_res_C":80,"bob_m3m3":1.119,"muob_cP":0.472,"PVT_corr_set":0,"q_liq_sm3day":83.333,"fw_perc":10,"rp_m3m3":41.251}</v>
      </c>
      <c r="K43" s="34" cm="1">
        <f t="array" ref="K43">[1]!feed_gas_fraction_d(Pintake_,Tintake_,J43)</f>
        <v>0.1855172575269852</v>
      </c>
    </row>
    <row r="44" spans="1:13" outlineLevel="1" x14ac:dyDescent="0.2">
      <c r="A44" s="4">
        <f>B44*(1-ПКВ_отношение)/ПКВ_отношение+B44</f>
        <v>96.666666666666657</v>
      </c>
      <c r="B44" s="15">
        <v>29</v>
      </c>
      <c r="C44" s="15">
        <v>80</v>
      </c>
      <c r="D44" s="37" t="str" cm="1">
        <f t="array" ref="D44">[1]!encode_feed(B44,wc_,Rp_,,PVT_str_)</f>
        <v>{"gamma_gas":0.9,"gamma_oil":0.875,"gamma_wat":1,"rsb_m3m3":80,"pb_atma":120,"t_res_C":80,"bob_m3m3":1.2,"muob_cP":0.3,"PVT_corr_set":0,"q_liq_sm3day":29,"fw_perc":10,"rp_m3m3":120}</v>
      </c>
      <c r="E44" s="34" cm="1">
        <f t="array" ref="E44">[1]!feed_gas_fraction_d(Pintake_,C44,D44)</f>
        <v>0.61477952239535605</v>
      </c>
      <c r="F44" s="52">
        <f t="array" ref="F44:G44">[1]!well_ksep_natural_d(D44,Pintake_,Tintake_,Dintake_,Dcas_,1,,,,prm)</f>
        <v>0.84772999999999998</v>
      </c>
      <c r="G44" s="52" t="str">
        <v>{"gamma_gas":0.9,"gamma_oil":0.875,"gamma_wat":1,"rsb_m3m3":41.775,"pb_atma":70.253,"t_res_C":80,"bob_m3m3":1.119,"muob_cP":0.44,"PVT_corr_set":0,"q_liq_sm3day":29,"fw_perc":10,"rp_m3m3":41.775}</v>
      </c>
      <c r="H44" s="34" cm="1">
        <f t="array" ref="H44">[1]!feed_gas_fraction_d(Pintake_,Tintake_,G44)</f>
        <v>0.19701213141470994</v>
      </c>
      <c r="I44" s="53">
        <f t="array" ref="I44:J44">[1]!well_ksep_natural_d(D44,Pintake_,Tintake_,Dintake_,Dcas_,3,ПКВ_отношение,,,prm)</f>
        <v>0</v>
      </c>
      <c r="J44" s="54" t="str">
        <v>{"gamma_gas":0.9,"gamma_oil":0.875,"gamma_wat":1,"rsb_m3m3":44.053,"pb_atma":71.931,"t_res_C":80,"bob_m3m3":1.125,"muob_cP":0.465,"PVT_corr_set":0,"q_liq_sm3day":96.667,"fw_perc":10,"rp_m3m3":56.053}</v>
      </c>
      <c r="K44" s="34" cm="1">
        <f t="array" ref="K44">[1]!feed_gas_fraction_d(Pintake_,Tintake_,J44)</f>
        <v>0.32410974624379912</v>
      </c>
    </row>
    <row r="45" spans="1:13" outlineLevel="1" x14ac:dyDescent="0.2">
      <c r="A45" s="4">
        <f>B45*(1-ПКВ_отношение)/ПКВ_отношение+B45</f>
        <v>110</v>
      </c>
      <c r="B45" s="15">
        <v>33</v>
      </c>
      <c r="C45" s="15">
        <v>80</v>
      </c>
      <c r="D45" s="37" t="str" cm="1">
        <f t="array" ref="D45">[1]!encode_feed(B45,wc_,Rp_,,PVT_str_)</f>
        <v>{"gamma_gas":0.9,"gamma_oil":0.875,"gamma_wat":1,"rsb_m3m3":80,"pb_atma":120,"t_res_C":80,"bob_m3m3":1.2,"muob_cP":0.3,"PVT_corr_set":0,"q_liq_sm3day":33,"fw_perc":10,"rp_m3m3":120}</v>
      </c>
      <c r="E45" s="34" cm="1">
        <f t="array" ref="E45">[1]!feed_gas_fraction_d(Pintake_,C45,D45)</f>
        <v>0.61477952239535605</v>
      </c>
      <c r="F45" s="52">
        <f t="array" ref="F45:G45">[1]!well_ksep_natural_d(D45,Pintake_,Tintake_,Dintake_,Dcas_,1,,,,prm)</f>
        <v>0.82916000000000001</v>
      </c>
      <c r="G45" s="52" t="str">
        <v>{"gamma_gas":0.9,"gamma_oil":0.875,"gamma_wat":1,"rsb_m3m3":43.489,"pb_atma":72.667,"t_res_C":80,"bob_m3m3":1.123,"muob_cP":0.429,"PVT_corr_set":0,"q_liq_sm3day":33,"fw_perc":10,"rp_m3m3":43.489}</v>
      </c>
      <c r="H45" s="34" cm="1">
        <f t="array" ref="H45">[1]!feed_gas_fraction_d(Pintake_,Tintake_,G45)</f>
        <v>0.21578417136244199</v>
      </c>
      <c r="I45" s="53">
        <f t="array" ref="I45:J45">[1]!well_ksep_natural_d(D45,Pintake_,Tintake_,Dintake_,Dcas_,3,ПКВ_отношение,,,prm)</f>
        <v>0</v>
      </c>
      <c r="J45" s="54" t="str">
        <v>{"gamma_gas":0.9,"gamma_oil":0.875,"gamma_wat":1,"rsb_m3m3":44.053,"pb_atma":71.931,"t_res_C":80,"bob_m3m3":1.125,"muob_cP":0.465,"PVT_corr_set":0,"q_liq_sm3day":110,"fw_perc":10,"rp_m3m3":56.053}</v>
      </c>
      <c r="K45" s="34" cm="1">
        <f t="array" ref="K45">[1]!feed_gas_fraction_d(Pintake_,Tintake_,J45)</f>
        <v>0.32410974624379912</v>
      </c>
    </row>
    <row r="46" spans="1:13" outlineLevel="1" x14ac:dyDescent="0.2">
      <c r="A46" s="4">
        <f>B46*(1-ПКВ_отношение)/ПКВ_отношение+B46</f>
        <v>123.33333333333333</v>
      </c>
      <c r="B46" s="15">
        <v>37</v>
      </c>
      <c r="C46" s="15">
        <v>80</v>
      </c>
      <c r="D46" s="37" t="str" cm="1">
        <f t="array" ref="D46">[1]!encode_feed(B46,wc_,Rp_,,PVT_str_)</f>
        <v>{"gamma_gas":0.9,"gamma_oil":0.875,"gamma_wat":1,"rsb_m3m3":80,"pb_atma":120,"t_res_C":80,"bob_m3m3":1.2,"muob_cP":0.3,"PVT_corr_set":0,"q_liq_sm3day":37,"fw_perc":10,"rp_m3m3":120}</v>
      </c>
      <c r="E46" s="34" cm="1">
        <f t="array" ref="E46">[1]!feed_gas_fraction_d(Pintake_,C46,D46)</f>
        <v>0.61477952239535605</v>
      </c>
      <c r="F46" s="52">
        <f t="array" ref="F46:G46">[1]!well_ksep_natural_d(D46,Pintake_,Tintake_,Dintake_,Dcas_,1,,,,prm)</f>
        <v>0.81140000000000001</v>
      </c>
      <c r="G46" s="52" t="str">
        <v>{"gamma_gas":0.9,"gamma_oil":0.875,"gamma_wat":1,"rsb_m3m3":45.127,"pb_atma":74.907,"t_res_C":80,"bob_m3m3":1.126,"muob_cP":0.421,"PVT_corr_set":0,"q_liq_sm3day":37,"fw_perc":10,"rp_m3m3":45.127}</v>
      </c>
      <c r="H46" s="34" cm="1">
        <f t="array" ref="H46">[1]!feed_gas_fraction_d(Pintake_,Tintake_,G46)</f>
        <v>0.2327538720907221</v>
      </c>
      <c r="I46" s="53">
        <f t="array" ref="I46:J46">[1]!well_ksep_natural_d(D46,Pintake_,Tintake_,Dintake_,Dcas_,3,ПКВ_отношение,,,prm)</f>
        <v>0</v>
      </c>
      <c r="J46" s="54" t="str">
        <v>{"gamma_gas":0.9,"gamma_oil":0.875,"gamma_wat":1,"rsb_m3m3":44.053,"pb_atma":71.931,"t_res_C":80,"bob_m3m3":1.125,"muob_cP":0.465,"PVT_corr_set":0,"q_liq_sm3day":123.333,"fw_perc":10,"rp_m3m3":56.053}</v>
      </c>
      <c r="K46" s="34" cm="1">
        <f t="array" ref="K46">[1]!feed_gas_fraction_d(Pintake_,Tintake_,J46)</f>
        <v>0.32410974624379918</v>
      </c>
    </row>
    <row r="47" spans="1:13" outlineLevel="1" x14ac:dyDescent="0.2">
      <c r="A47" s="4">
        <f>B47*(1-ПКВ_отношение)/ПКВ_отношение+B47</f>
        <v>136.66666666666669</v>
      </c>
      <c r="B47" s="15">
        <v>41</v>
      </c>
      <c r="C47" s="15">
        <v>80</v>
      </c>
      <c r="D47" s="37" t="str" cm="1">
        <f t="array" ref="D47">[1]!encode_feed(B47,wc_,Rp_,,PVT_str_)</f>
        <v>{"gamma_gas":0.9,"gamma_oil":0.875,"gamma_wat":1,"rsb_m3m3":80,"pb_atma":120,"t_res_C":80,"bob_m3m3":1.2,"muob_cP":0.3,"PVT_corr_set":0,"q_liq_sm3day":41,"fw_perc":10,"rp_m3m3":120}</v>
      </c>
      <c r="E47" s="34" cm="1">
        <f t="array" ref="E47">[1]!feed_gas_fraction_d(Pintake_,C47,D47)</f>
        <v>0.61477952239535605</v>
      </c>
      <c r="F47" s="52">
        <f t="array" ref="F47:G47">[1]!well_ksep_natural_d(D47,Pintake_,Tintake_,Dintake_,Dcas_,1,,,,prm)</f>
        <v>0.7944</v>
      </c>
      <c r="G47" s="52" t="str">
        <v>{"gamma_gas":0.9,"gamma_oil":0.875,"gamma_wat":1,"rsb_m3m3":46.696,"pb_atma":77.052,"t_res_C":80,"bob_m3m3":1.129,"muob_cP":0.414,"PVT_corr_set":0,"q_liq_sm3day":41,"fw_perc":10,"rp_m3m3":46.696}</v>
      </c>
      <c r="H47" s="34" cm="1">
        <f t="array" ref="H47">[1]!feed_gas_fraction_d(Pintake_,Tintake_,G47)</f>
        <v>0.2483854089407905</v>
      </c>
      <c r="I47" s="53">
        <f t="array" ref="I47:J47">[1]!well_ksep_natural_d(D47,Pintake_,Tintake_,Dintake_,Dcas_,3,ПКВ_отношение,,,prm)</f>
        <v>0</v>
      </c>
      <c r="J47" s="54" t="str">
        <v>{"gamma_gas":0.9,"gamma_oil":0.875,"gamma_wat":1,"rsb_m3m3":44.053,"pb_atma":71.931,"t_res_C":80,"bob_m3m3":1.125,"muob_cP":0.465,"PVT_corr_set":0,"q_liq_sm3day":136.667,"fw_perc":10,"rp_m3m3":56.053}</v>
      </c>
      <c r="K47" s="34" cm="1">
        <f t="array" ref="K47">[1]!feed_gas_fraction_d(Pintake_,Tintake_,J47)</f>
        <v>0.32410974624379918</v>
      </c>
    </row>
    <row r="48" spans="1:13" outlineLevel="1" x14ac:dyDescent="0.2">
      <c r="A48" s="4">
        <f>B48*(1-ПКВ_отношение)/ПКВ_отношение+B48</f>
        <v>150</v>
      </c>
      <c r="B48" s="15">
        <v>45</v>
      </c>
      <c r="C48" s="15">
        <v>80</v>
      </c>
      <c r="D48" s="37" t="str" cm="1">
        <f t="array" ref="D48">[1]!encode_feed(B48,wc_,Rp_,,PVT_str_)</f>
        <v>{"gamma_gas":0.9,"gamma_oil":0.875,"gamma_wat":1,"rsb_m3m3":80,"pb_atma":120,"t_res_C":80,"bob_m3m3":1.2,"muob_cP":0.3,"PVT_corr_set":0,"q_liq_sm3day":45,"fw_perc":10,"rp_m3m3":120}</v>
      </c>
      <c r="E48" s="34" cm="1">
        <f t="array" ref="E48">[1]!feed_gas_fraction_d(Pintake_,C48,D48)</f>
        <v>0.61477952239535605</v>
      </c>
      <c r="F48" s="52">
        <f t="array" ref="F48:G48">[1]!well_ksep_natural_d(D48,Pintake_,Tintake_,Dintake_,Dcas_,1,,,,prm)</f>
        <v>0.77810999999999997</v>
      </c>
      <c r="G48" s="52" t="str">
        <v>{"gamma_gas":0.9,"gamma_oil":0.875,"gamma_wat":1,"rsb_m3m3":48.199,"pb_atma":79.106,"t_res_C":80,"bob_m3m3":1.132,"muob_cP":0.406,"PVT_corr_set":0,"q_liq_sm3day":45,"fw_perc":10,"rp_m3m3":48.199}</v>
      </c>
      <c r="H48" s="34" cm="1">
        <f t="array" ref="H48">[1]!feed_gas_fraction_d(Pintake_,Tintake_,G48)</f>
        <v>0.26280897457059554</v>
      </c>
      <c r="I48" s="53">
        <f t="array" ref="I48:J48">[1]!well_ksep_natural_d(D48,Pintake_,Tintake_,Dintake_,Dcas_,3,ПКВ_отношение,,,prm)</f>
        <v>0</v>
      </c>
      <c r="J48" s="54" t="str">
        <v>{"gamma_gas":0.9,"gamma_oil":0.875,"gamma_wat":1,"rsb_m3m3":44.053,"pb_atma":71.931,"t_res_C":80,"bob_m3m3":1.125,"muob_cP":0.465,"PVT_corr_set":0,"q_liq_sm3day":150,"fw_perc":10,"rp_m3m3":56.053}</v>
      </c>
      <c r="K48" s="34" cm="1">
        <f t="array" ref="K48">[1]!feed_gas_fraction_d(Pintake_,Tintake_,J48)</f>
        <v>0.32410974624379918</v>
      </c>
    </row>
    <row r="49" spans="1:11" outlineLevel="1" x14ac:dyDescent="0.2">
      <c r="A49" s="4">
        <f>B49*(1-ПКВ_отношение)/ПКВ_отношение+B49</f>
        <v>163.33333333333331</v>
      </c>
      <c r="B49" s="15">
        <v>49</v>
      </c>
      <c r="C49" s="15">
        <v>80</v>
      </c>
      <c r="D49" s="37" t="str" cm="1">
        <f t="array" ref="D49">[1]!encode_feed(B49,wc_,Rp_,,PVT_str_)</f>
        <v>{"gamma_gas":0.9,"gamma_oil":0.875,"gamma_wat":1,"rsb_m3m3":80,"pb_atma":120,"t_res_C":80,"bob_m3m3":1.2,"muob_cP":0.3,"PVT_corr_set":0,"q_liq_sm3day":49,"fw_perc":10,"rp_m3m3":120}</v>
      </c>
      <c r="E49" s="34" cm="1">
        <f t="array" ref="E49">[1]!feed_gas_fraction_d(Pintake_,C49,D49)</f>
        <v>0.61477952239535605</v>
      </c>
      <c r="F49" s="52">
        <f t="array" ref="F49:G49">[1]!well_ksep_natural_d(D49,Pintake_,Tintake_,Dintake_,Dcas_,1,,,,prm)</f>
        <v>0.76249</v>
      </c>
      <c r="G49" s="52" t="str">
        <v>{"gamma_gas":0.9,"gamma_oil":0.875,"gamma_wat":1,"rsb_m3m3":49.64,"pb_atma":81.076,"t_res_C":80,"bob_m3m3":1.135,"muob_cP":0.399,"PVT_corr_set":0,"q_liq_sm3day":49,"fw_perc":10,"rp_m3m3":49.64}</v>
      </c>
      <c r="H49" s="34" cm="1">
        <f t="array" ref="H49">[1]!feed_gas_fraction_d(Pintake_,Tintake_,G49)</f>
        <v>0.27615708681676326</v>
      </c>
      <c r="I49" s="53">
        <f t="array" ref="I49:J49">[1]!well_ksep_natural_d(D49,Pintake_,Tintake_,Dintake_,Dcas_,3,ПКВ_отношение,,,prm)</f>
        <v>0</v>
      </c>
      <c r="J49" s="54" t="str">
        <v>{"gamma_gas":0.9,"gamma_oil":0.875,"gamma_wat":1,"rsb_m3m3":44.053,"pb_atma":71.931,"t_res_C":80,"bob_m3m3":1.125,"muob_cP":0.465,"PVT_corr_set":0,"q_liq_sm3day":163.333,"fw_perc":10,"rp_m3m3":56.053}</v>
      </c>
      <c r="K49" s="34" cm="1">
        <f t="array" ref="K49">[1]!feed_gas_fraction_d(Pintake_,Tintake_,J49)</f>
        <v>0.32410974624379912</v>
      </c>
    </row>
    <row r="50" spans="1:11" outlineLevel="1" x14ac:dyDescent="0.2">
      <c r="A50" s="4">
        <f>B50*(1-ПКВ_отношение)/ПКВ_отношение+B50</f>
        <v>176.66666666666666</v>
      </c>
      <c r="B50" s="15">
        <v>53</v>
      </c>
      <c r="C50" s="15">
        <v>80</v>
      </c>
      <c r="D50" s="37" t="str" cm="1">
        <f t="array" ref="D50">[1]!encode_feed(B50,wc_,Rp_,,PVT_str_)</f>
        <v>{"gamma_gas":0.9,"gamma_oil":0.875,"gamma_wat":1,"rsb_m3m3":80,"pb_atma":120,"t_res_C":80,"bob_m3m3":1.2,"muob_cP":0.3,"PVT_corr_set":0,"q_liq_sm3day":53,"fw_perc":10,"rp_m3m3":120}</v>
      </c>
      <c r="E50" s="34" cm="1">
        <f t="array" ref="E50">[1]!feed_gas_fraction_d(Pintake_,C50,D50)</f>
        <v>0.61477952239535605</v>
      </c>
      <c r="F50" s="52">
        <f t="array" ref="F50:G50">[1]!well_ksep_natural_d(D50,Pintake_,Tintake_,Dintake_,Dcas_,1,,,,prm)</f>
        <v>0.74751999999999996</v>
      </c>
      <c r="G50" s="52" t="str">
        <v>{"gamma_gas":0.9,"gamma_oil":0.875,"gamma_wat":1,"rsb_m3m3":51.022,"pb_atma":82.965,"t_res_C":80,"bob_m3m3":1.138,"muob_cP":0.393,"PVT_corr_set":0,"q_liq_sm3day":53,"fw_perc":10,"rp_m3m3":51.022}</v>
      </c>
      <c r="H50" s="34" cm="1">
        <f t="array" ref="H50">[1]!feed_gas_fraction_d(Pintake_,Tintake_,G50)</f>
        <v>0.28852915634885745</v>
      </c>
      <c r="I50" s="53">
        <f t="array" ref="I50:J50">[1]!well_ksep_natural_d(D50,Pintake_,Tintake_,Dintake_,Dcas_,3,ПКВ_отношение,,,prm)</f>
        <v>0</v>
      </c>
      <c r="J50" s="54" t="str">
        <v>{"gamma_gas":0.9,"gamma_oil":0.875,"gamma_wat":1,"rsb_m3m3":80,"pb_atma":120,"t_res_C":80,"bob_m3m3":1.2,"muob_cP":0.3,"PVT_corr_set":0,"q_liq_sm3day":176.667,"fw_perc":10,"rp_m3m3":92}</v>
      </c>
      <c r="K50" s="34" cm="1">
        <f t="array" ref="K50">[1]!feed_gas_fraction_d(Pintake_,Tintake_,J50)</f>
        <v>0.52643818059281777</v>
      </c>
    </row>
    <row r="51" spans="1:11" outlineLevel="1" x14ac:dyDescent="0.2">
      <c r="A51" s="4">
        <f>B51*(1-ПКВ_отношение)/ПКВ_отношение+B51</f>
        <v>190</v>
      </c>
      <c r="B51" s="15">
        <v>57</v>
      </c>
      <c r="C51" s="15">
        <v>80</v>
      </c>
      <c r="D51" s="37" t="str" cm="1">
        <f t="array" ref="D51">[1]!encode_feed(B51,wc_,Rp_,,PVT_str_)</f>
        <v>{"gamma_gas":0.9,"gamma_oil":0.875,"gamma_wat":1,"rsb_m3m3":80,"pb_atma":120,"t_res_C":80,"bob_m3m3":1.2,"muob_cP":0.3,"PVT_corr_set":0,"q_liq_sm3day":57,"fw_perc":10,"rp_m3m3":120}</v>
      </c>
      <c r="E51" s="34" cm="1">
        <f t="array" ref="E51">[1]!feed_gas_fraction_d(Pintake_,C51,D51)</f>
        <v>0.61477952239535605</v>
      </c>
      <c r="F51" s="52">
        <f t="array" ref="F51:G51">[1]!well_ksep_natural_d(D51,Pintake_,Tintake_,Dintake_,Dcas_,1,,,,prm)</f>
        <v>0.73311000000000004</v>
      </c>
      <c r="G51" s="52" t="str">
        <v>{"gamma_gas":0.9,"gamma_oil":0.875,"gamma_wat":1,"rsb_m3m3":52.351,"pb_atma":84.769,"t_res_C":80,"bob_m3m3":1.141,"muob_cP":0.387,"PVT_corr_set":0,"q_liq_sm3day":57,"fw_perc":10,"rp_m3m3":52.351}</v>
      </c>
      <c r="H51" s="34" cm="1">
        <f t="array" ref="H51">[1]!feed_gas_fraction_d(Pintake_,Tintake_,G51)</f>
        <v>0.30000305134665628</v>
      </c>
      <c r="I51" s="53">
        <f t="array" ref="I51:J51">[1]!well_ksep_natural_d(D51,Pintake_,Tintake_,Dintake_,Dcas_,3,ПКВ_отношение,,,prm)</f>
        <v>0</v>
      </c>
      <c r="J51" s="54" t="str">
        <v>{"gamma_gas":0.9,"gamma_oil":0.875,"gamma_wat":1,"rsb_m3m3":80,"pb_atma":120,"t_res_C":80,"bob_m3m3":1.2,"muob_cP":0.3,"PVT_corr_set":0,"q_liq_sm3day":190,"fw_perc":10,"rp_m3m3":92}</v>
      </c>
      <c r="K51" s="34" cm="1">
        <f t="array" ref="K51">[1]!feed_gas_fraction_d(Pintake_,Tintake_,J51)</f>
        <v>0.52643818059281777</v>
      </c>
    </row>
    <row r="52" spans="1:11" outlineLevel="1" x14ac:dyDescent="0.2">
      <c r="A52" s="4">
        <f>B52*(1-ПКВ_отношение)/ПКВ_отношение+B52</f>
        <v>203.33333333333331</v>
      </c>
      <c r="B52" s="15">
        <v>61</v>
      </c>
      <c r="C52" s="15">
        <v>80</v>
      </c>
      <c r="D52" s="37" t="str" cm="1">
        <f t="array" ref="D52">[1]!encode_feed(B52,wc_,Rp_,,PVT_str_)</f>
        <v>{"gamma_gas":0.9,"gamma_oil":0.875,"gamma_wat":1,"rsb_m3m3":80,"pb_atma":120,"t_res_C":80,"bob_m3m3":1.2,"muob_cP":0.3,"PVT_corr_set":0,"q_liq_sm3day":61,"fw_perc":10,"rp_m3m3":120}</v>
      </c>
      <c r="E52" s="34" cm="1">
        <f t="array" ref="E52">[1]!feed_gas_fraction_d(Pintake_,C52,D52)</f>
        <v>0.61477952239535605</v>
      </c>
      <c r="F52" s="52">
        <f t="array" ref="F52:G52">[1]!well_ksep_natural_d(D52,Pintake_,Tintake_,Dintake_,Dcas_,1,,,,prm)</f>
        <v>0.71923999999999999</v>
      </c>
      <c r="G52" s="52" t="str">
        <v>{"gamma_gas":0.9,"gamma_oil":0.875,"gamma_wat":1,"rsb_m3m3":53.631,"pb_atma":86.469,"t_res_C":80,"bob_m3m3":1.144,"muob_cP":0.382,"PVT_corr_set":0,"q_liq_sm3day":61,"fw_perc":10,"rp_m3m3":53.631}</v>
      </c>
      <c r="H52" s="34" cm="1">
        <f t="array" ref="H52">[1]!feed_gas_fraction_d(Pintake_,Tintake_,G52)</f>
        <v>0.3105950022874705</v>
      </c>
      <c r="I52" s="53">
        <f t="array" ref="I52:J52">[1]!well_ksep_natural_d(D52,Pintake_,Tintake_,Dintake_,Dcas_,3,ПКВ_отношение,,,prm)</f>
        <v>0</v>
      </c>
      <c r="J52" s="54" t="str">
        <v>{"gamma_gas":0.9,"gamma_oil":0.875,"gamma_wat":1,"rsb_m3m3":80,"pb_atma":120,"t_res_C":80,"bob_m3m3":1.2,"muob_cP":0.3,"PVT_corr_set":0,"q_liq_sm3day":203.333,"fw_perc":10,"rp_m3m3":92}</v>
      </c>
      <c r="K52" s="34" cm="1">
        <f t="array" ref="K52">[1]!feed_gas_fraction_d(Pintake_,Tintake_,J52)</f>
        <v>0.52643818059281777</v>
      </c>
    </row>
    <row r="53" spans="1:11" outlineLevel="1" x14ac:dyDescent="0.2">
      <c r="A53" s="4">
        <f>B53*(1-ПКВ_отношение)/ПКВ_отношение+B53</f>
        <v>216.66666666666669</v>
      </c>
      <c r="B53" s="15">
        <v>65</v>
      </c>
      <c r="C53" s="15">
        <v>80</v>
      </c>
      <c r="D53" s="37" t="str" cm="1">
        <f t="array" ref="D53">[1]!encode_feed(B53,wc_,Rp_,,PVT_str_)</f>
        <v>{"gamma_gas":0.9,"gamma_oil":0.875,"gamma_wat":1,"rsb_m3m3":80,"pb_atma":120,"t_res_C":80,"bob_m3m3":1.2,"muob_cP":0.3,"PVT_corr_set":0,"q_liq_sm3day":65,"fw_perc":10,"rp_m3m3":120}</v>
      </c>
      <c r="E53" s="34" cm="1">
        <f t="array" ref="E53">[1]!feed_gas_fraction_d(Pintake_,C53,D53)</f>
        <v>0.61477952239535605</v>
      </c>
      <c r="F53" s="52">
        <f t="array" ref="F53:G53">[1]!well_ksep_natural_d(D53,Pintake_,Tintake_,Dintake_,Dcas_,1,,,,prm)</f>
        <v>0.70584999999999998</v>
      </c>
      <c r="G53" s="52" t="str">
        <v>{"gamma_gas":0.9,"gamma_oil":0.875,"gamma_wat":1,"rsb_m3m3":54.867,"pb_atma":88.11,"t_res_C":80,"bob_m3m3":1.146,"muob_cP":0.377,"PVT_corr_set":0,"q_liq_sm3day":65,"fw_perc":10,"rp_m3m3":54.867}</v>
      </c>
      <c r="H53" s="34" cm="1">
        <f t="array" ref="H53">[1]!feed_gas_fraction_d(Pintake_,Tintake_,G53)</f>
        <v>0.32064305171191471</v>
      </c>
      <c r="I53" s="53">
        <f t="array" ref="I53:J53">[1]!well_ksep_natural_d(D53,Pintake_,Tintake_,Dintake_,Dcas_,3,ПКВ_отношение,,,prm)</f>
        <v>0</v>
      </c>
      <c r="J53" s="54" t="str">
        <v>{"gamma_gas":0.9,"gamma_oil":0.875,"gamma_wat":1,"rsb_m3m3":80,"pb_atma":120,"t_res_C":80,"bob_m3m3":1.2,"muob_cP":0.3,"PVT_corr_set":0,"q_liq_sm3day":216.667,"fw_perc":10,"rp_m3m3":92}</v>
      </c>
      <c r="K53" s="34" cm="1">
        <f t="array" ref="K53">[1]!feed_gas_fraction_d(Pintake_,Tintake_,J53)</f>
        <v>0.52643818059281777</v>
      </c>
    </row>
    <row r="54" spans="1:11" outlineLevel="1" x14ac:dyDescent="0.2">
      <c r="A54" s="4">
        <f>B54*(1-ПКВ_отношение)/ПКВ_отношение+B54</f>
        <v>230</v>
      </c>
      <c r="B54" s="15">
        <v>69</v>
      </c>
      <c r="C54" s="15">
        <v>80</v>
      </c>
      <c r="D54" s="37" t="str" cm="1">
        <f t="array" ref="D54">[1]!encode_feed(B54,wc_,Rp_,,PVT_str_)</f>
        <v>{"gamma_gas":0.9,"gamma_oil":0.875,"gamma_wat":1,"rsb_m3m3":80,"pb_atma":120,"t_res_C":80,"bob_m3m3":1.2,"muob_cP":0.3,"PVT_corr_set":0,"q_liq_sm3day":69,"fw_perc":10,"rp_m3m3":120}</v>
      </c>
      <c r="E54" s="34" cm="1">
        <f t="array" ref="E54">[1]!feed_gas_fraction_d(Pintake_,C54,D54)</f>
        <v>0.61477952239535605</v>
      </c>
      <c r="F54" s="52">
        <f t="array" ref="F54:G54">[1]!well_ksep_natural_d(D54,Pintake_,Tintake_,Dintake_,Dcas_,1,,,,prm)</f>
        <v>0.69291999999999998</v>
      </c>
      <c r="G54" s="52" t="str">
        <v>{"gamma_gas":0.9,"gamma_oil":0.875,"gamma_wat":1,"rsb_m3m3":56.06,"pb_atma":89.694,"t_res_C":80,"bob_m3m3":1.149,"muob_cP":0.372,"PVT_corr_set":0,"q_liq_sm3day":69,"fw_perc":10,"rp_m3m3":56.06}</v>
      </c>
      <c r="H54" s="34" cm="1">
        <f t="array" ref="H54">[1]!feed_gas_fraction_d(Pintake_,Tintake_,G54)</f>
        <v>0.32997094019430318</v>
      </c>
      <c r="I54" s="53">
        <f t="array" ref="I54:J54">[1]!well_ksep_natural_d(D54,Pintake_,Tintake_,Dintake_,Dcas_,3,ПКВ_отношение,,,prm)</f>
        <v>0</v>
      </c>
      <c r="J54" s="54" t="str">
        <v>{"gamma_gas":0.9,"gamma_oil":0.875,"gamma_wat":1,"rsb_m3m3":80,"pb_atma":120,"t_res_C":80,"bob_m3m3":1.2,"muob_cP":0.3,"PVT_corr_set":0,"q_liq_sm3day":230,"fw_perc":10,"rp_m3m3":92}</v>
      </c>
      <c r="K54" s="34" cm="1">
        <f t="array" ref="K54">[1]!feed_gas_fraction_d(Pintake_,Tintake_,J54)</f>
        <v>0.52643818059281777</v>
      </c>
    </row>
    <row r="55" spans="1:11" outlineLevel="1" x14ac:dyDescent="0.2">
      <c r="A55" s="4">
        <f>B55*(1-ПКВ_отношение)/ПКВ_отношение+B55</f>
        <v>243.33333333333331</v>
      </c>
      <c r="B55" s="15">
        <v>73</v>
      </c>
      <c r="C55" s="15">
        <v>80</v>
      </c>
      <c r="D55" s="37" t="str" cm="1">
        <f t="array" ref="D55">[1]!encode_feed(B55,wc_,Rp_,,PVT_str_)</f>
        <v>{"gamma_gas":0.9,"gamma_oil":0.875,"gamma_wat":1,"rsb_m3m3":80,"pb_atma":120,"t_res_C":80,"bob_m3m3":1.2,"muob_cP":0.3,"PVT_corr_set":0,"q_liq_sm3day":73,"fw_perc":10,"rp_m3m3":120}</v>
      </c>
      <c r="E55" s="34" cm="1">
        <f t="array" ref="E55">[1]!feed_gas_fraction_d(Pintake_,C55,D55)</f>
        <v>0.61477952239535605</v>
      </c>
      <c r="F55" s="52">
        <f t="array" ref="F55:G55">[1]!well_ksep_natural_d(D55,Pintake_,Tintake_,Dintake_,Dcas_,1,,,,prm)</f>
        <v>0.68039000000000005</v>
      </c>
      <c r="G55" s="52" t="str">
        <v>{"gamma_gas":0.9,"gamma_oil":0.875,"gamma_wat":1,"rsb_m3m3":57.216,"pb_atma":91.23,"t_res_C":80,"bob_m3m3":1.151,"muob_cP":0.368,"PVT_corr_set":0,"q_liq_sm3day":73,"fw_perc":10,"rp_m3m3":57.216}</v>
      </c>
      <c r="H55" s="34" cm="1">
        <f t="array" ref="H55">[1]!feed_gas_fraction_d(Pintake_,Tintake_,G55)</f>
        <v>0.33888697774823473</v>
      </c>
      <c r="I55" s="53">
        <f t="array" ref="I55:J55">[1]!well_ksep_natural_d(D55,Pintake_,Tintake_,Dintake_,Dcas_,3,ПКВ_отношение,,,prm)</f>
        <v>0</v>
      </c>
      <c r="J55" s="54" t="str">
        <v>{"gamma_gas":0.9,"gamma_oil":0.875,"gamma_wat":1,"rsb_m3m3":80,"pb_atma":120,"t_res_C":80,"bob_m3m3":1.2,"muob_cP":0.3,"PVT_corr_set":0,"q_liq_sm3day":243.333,"fw_perc":10,"rp_m3m3":92}</v>
      </c>
      <c r="K55" s="34" cm="1">
        <f t="array" ref="K55">[1]!feed_gas_fraction_d(Pintake_,Tintake_,J55)</f>
        <v>0.52643818059281777</v>
      </c>
    </row>
    <row r="56" spans="1:11" outlineLevel="1" x14ac:dyDescent="0.2">
      <c r="A56" s="4">
        <f>B56*(1-ПКВ_отношение)/ПКВ_отношение+B56</f>
        <v>256.66666666666663</v>
      </c>
      <c r="B56" s="15">
        <v>77</v>
      </c>
      <c r="C56" s="15">
        <v>80</v>
      </c>
      <c r="D56" s="37" t="str" cm="1">
        <f t="array" ref="D56">[1]!encode_feed(B56,wc_,Rp_,,PVT_str_)</f>
        <v>{"gamma_gas":0.9,"gamma_oil":0.875,"gamma_wat":1,"rsb_m3m3":80,"pb_atma":120,"t_res_C":80,"bob_m3m3":1.2,"muob_cP":0.3,"PVT_corr_set":0,"q_liq_sm3day":77,"fw_perc":10,"rp_m3m3":120}</v>
      </c>
      <c r="E56" s="34" cm="1">
        <f t="array" ref="E56">[1]!feed_gas_fraction_d(Pintake_,C56,D56)</f>
        <v>0.61477952239535605</v>
      </c>
      <c r="F56" s="52">
        <f t="array" ref="F56:G56">[1]!well_ksep_natural_d(D56,Pintake_,Tintake_,Dintake_,Dcas_,1,,,,prm)</f>
        <v>0.66822999999999999</v>
      </c>
      <c r="G56" s="52" t="str">
        <v>{"gamma_gas":0.9,"gamma_oil":0.875,"gamma_wat":1,"rsb_m3m3":58.338,"pb_atma":92.72,"t_res_C":80,"bob_m3m3":1.154,"muob_cP":0.364,"PVT_corr_set":0,"q_liq_sm3day":77,"fw_perc":10,"rp_m3m3":58.338}</v>
      </c>
      <c r="H56" s="34" cm="1">
        <f t="array" ref="H56">[1]!feed_gas_fraction_d(Pintake_,Tintake_,G56)</f>
        <v>0.3472128997923471</v>
      </c>
      <c r="I56" s="53">
        <f t="array" ref="I56:J56">[1]!well_ksep_natural_d(D56,Pintake_,Tintake_,Dintake_,Dcas_,3,ПКВ_отношение,,,prm)</f>
        <v>0</v>
      </c>
      <c r="J56" s="54" t="str">
        <v>{"gamma_gas":0.9,"gamma_oil":0.875,"gamma_wat":1,"rsb_m3m3":80,"pb_atma":120,"t_res_C":80,"bob_m3m3":1.2,"muob_cP":0.3,"PVT_corr_set":0,"q_liq_sm3day":256.667,"fw_perc":10,"rp_m3m3":92}</v>
      </c>
      <c r="K56" s="34" cm="1">
        <f t="array" ref="K56">[1]!feed_gas_fraction_d(Pintake_,Tintake_,J56)</f>
        <v>0.52643818059281777</v>
      </c>
    </row>
    <row r="57" spans="1:11" outlineLevel="1" x14ac:dyDescent="0.2">
      <c r="A57" s="4">
        <f>B57*(1-ПКВ_отношение)/ПКВ_отношение+B57</f>
        <v>270</v>
      </c>
      <c r="B57" s="15">
        <v>81</v>
      </c>
      <c r="C57" s="15">
        <v>80</v>
      </c>
      <c r="D57" s="37" t="str" cm="1">
        <f t="array" ref="D57">[1]!encode_feed(B57,wc_,Rp_,,PVT_str_)</f>
        <v>{"gamma_gas":0.9,"gamma_oil":0.875,"gamma_wat":1,"rsb_m3m3":80,"pb_atma":120,"t_res_C":80,"bob_m3m3":1.2,"muob_cP":0.3,"PVT_corr_set":0,"q_liq_sm3day":81,"fw_perc":10,"rp_m3m3":120}</v>
      </c>
      <c r="E57" s="34" cm="1">
        <f t="array" ref="E57">[1]!feed_gas_fraction_d(Pintake_,C57,D57)</f>
        <v>0.61477952239535605</v>
      </c>
      <c r="F57" s="52">
        <f t="array" ref="F57:G57">[1]!well_ksep_natural_d(D57,Pintake_,Tintake_,Dintake_,Dcas_,1,,,,prm)</f>
        <v>0.65641000000000005</v>
      </c>
      <c r="G57" s="52" t="str">
        <v>{"gamma_gas":0.9,"gamma_oil":0.875,"gamma_wat":1,"rsb_m3m3":59.429,"pb_atma":94.168,"t_res_C":80,"bob_m3m3":1.156,"muob_cP":0.36,"PVT_corr_set":0,"q_liq_sm3day":81,"fw_perc":10,"rp_m3m3":59.429}</v>
      </c>
      <c r="H57" s="34" cm="1">
        <f t="array" ref="H57">[1]!feed_gas_fraction_d(Pintake_,Tintake_,G57)</f>
        <v>0.35521901452012755</v>
      </c>
      <c r="I57" s="53">
        <f t="array" ref="I57:J57">[1]!well_ksep_natural_d(D57,Pintake_,Tintake_,Dintake_,Dcas_,3,ПКВ_отношение,,,prm)</f>
        <v>0</v>
      </c>
      <c r="J57" s="54" t="str">
        <v>{"gamma_gas":0.9,"gamma_oil":0.875,"gamma_wat":1,"rsb_m3m3":80,"pb_atma":120,"t_res_C":80,"bob_m3m3":1.2,"muob_cP":0.3,"PVT_corr_set":0,"q_liq_sm3day":270,"fw_perc":10,"rp_m3m3":92}</v>
      </c>
      <c r="K57" s="34" cm="1">
        <f t="array" ref="K57">[1]!feed_gas_fraction_d(Pintake_,Tintake_,J57)</f>
        <v>0.52643818059281777</v>
      </c>
    </row>
    <row r="58" spans="1:11" outlineLevel="1" x14ac:dyDescent="0.2">
      <c r="A58" s="4">
        <f>B58*(1-ПКВ_отношение)/ПКВ_отношение+B58</f>
        <v>283.33333333333331</v>
      </c>
      <c r="B58" s="15">
        <v>85</v>
      </c>
      <c r="C58" s="15">
        <v>80</v>
      </c>
      <c r="D58" s="37" t="str" cm="1">
        <f t="array" ref="D58">[1]!encode_feed(B58,wc_,Rp_,,PVT_str_)</f>
        <v>{"gamma_gas":0.9,"gamma_oil":0.875,"gamma_wat":1,"rsb_m3m3":80,"pb_atma":120,"t_res_C":80,"bob_m3m3":1.2,"muob_cP":0.3,"PVT_corr_set":0,"q_liq_sm3day":85,"fw_perc":10,"rp_m3m3":120}</v>
      </c>
      <c r="E58" s="34" cm="1">
        <f t="array" ref="E58">[1]!feed_gas_fraction_d(Pintake_,C58,D58)</f>
        <v>0.61477952239535605</v>
      </c>
      <c r="F58" s="52">
        <f t="array" ref="F58:G58">[1]!well_ksep_natural_d(D58,Pintake_,Tintake_,Dintake_,Dcas_,1,,,,prm)</f>
        <v>0.64490999999999998</v>
      </c>
      <c r="G58" s="52" t="str">
        <v>{"gamma_gas":0.9,"gamma_oil":0.875,"gamma_wat":1,"rsb_m3m3":60.49,"pb_atma":95.578,"t_res_C":80,"bob_m3m3":1.158,"muob_cP":0.355,"PVT_corr_set":0,"q_liq_sm3day":85,"fw_perc":10,"rp_m3m3":60.49}</v>
      </c>
      <c r="H58" s="34" cm="1">
        <f t="array" ref="H58">[1]!feed_gas_fraction_d(Pintake_,Tintake_,G58)</f>
        <v>0.36282945457678195</v>
      </c>
      <c r="I58" s="53">
        <f t="array" ref="I58:J58">[1]!well_ksep_natural_d(D58,Pintake_,Tintake_,Dintake_,Dcas_,3,ПКВ_отношение,,,prm)</f>
        <v>0</v>
      </c>
      <c r="J58" s="54" t="str">
        <v>{"gamma_gas":0.9,"gamma_oil":0.875,"gamma_wat":1,"rsb_m3m3":80,"pb_atma":120,"t_res_C":80,"bob_m3m3":1.2,"muob_cP":0.3,"PVT_corr_set":0,"q_liq_sm3day":283.333,"fw_perc":10,"rp_m3m3":92}</v>
      </c>
      <c r="K58" s="34" cm="1">
        <f t="array" ref="K58">[1]!feed_gas_fraction_d(Pintake_,Tintake_,J58)</f>
        <v>0.52643818059281788</v>
      </c>
    </row>
    <row r="59" spans="1:11" outlineLevel="1" x14ac:dyDescent="0.2">
      <c r="A59" s="4">
        <f>B59*(1-ПКВ_отношение)/ПКВ_отношение+B59</f>
        <v>296.66666666666663</v>
      </c>
      <c r="B59" s="15">
        <v>89</v>
      </c>
      <c r="C59" s="15">
        <v>80</v>
      </c>
      <c r="D59" s="37" t="str" cm="1">
        <f t="array" ref="D59">[1]!encode_feed(B59,wc_,Rp_,,PVT_str_)</f>
        <v>{"gamma_gas":0.9,"gamma_oil":0.875,"gamma_wat":1,"rsb_m3m3":80,"pb_atma":120,"t_res_C":80,"bob_m3m3":1.2,"muob_cP":0.3,"PVT_corr_set":0,"q_liq_sm3day":89,"fw_perc":10,"rp_m3m3":120}</v>
      </c>
      <c r="E59" s="34" cm="1">
        <f t="array" ref="E59">[1]!feed_gas_fraction_d(Pintake_,C59,D59)</f>
        <v>0.61477952239535605</v>
      </c>
      <c r="F59" s="52">
        <f t="array" ref="F59:G59">[1]!well_ksep_natural_d(D59,Pintake_,Tintake_,Dintake_,Dcas_,1,,,,prm)</f>
        <v>0.64278000000000002</v>
      </c>
      <c r="G59" s="52" t="str">
        <v>{"gamma_gas":0.9,"gamma_oil":0.875,"gamma_wat":1,"rsb_m3m3":60.687,"pb_atma":95.839,"t_res_C":80,"bob_m3m3":1.159,"muob_cP":0.355,"PVT_corr_set":0,"q_liq_sm3day":89,"fw_perc":10,"rp_m3m3":60.687}</v>
      </c>
      <c r="H59" s="34" cm="1">
        <f t="array" ref="H59">[1]!feed_gas_fraction_d(Pintake_,Tintake_,G59)</f>
        <v>0.36415275292421917</v>
      </c>
      <c r="I59" s="53">
        <f t="array" ref="I59:J59">[1]!well_ksep_natural_d(D59,Pintake_,Tintake_,Dintake_,Dcas_,3,ПКВ_отношение,,,prm)</f>
        <v>0</v>
      </c>
      <c r="J59" s="54" t="str">
        <v>{"gamma_gas":0.9,"gamma_oil":0.875,"gamma_wat":1,"rsb_m3m3":80,"pb_atma":120,"t_res_C":80,"bob_m3m3":1.2,"muob_cP":0.3,"PVT_corr_set":0,"q_liq_sm3day":296.667,"fw_perc":10,"rp_m3m3":92}</v>
      </c>
      <c r="K59" s="34" cm="1">
        <f t="array" ref="K59">[1]!feed_gas_fraction_d(Pintake_,Tintake_,J59)</f>
        <v>0.52643818059281777</v>
      </c>
    </row>
    <row r="60" spans="1:11" outlineLevel="1" x14ac:dyDescent="0.2">
      <c r="A60" s="4">
        <f>B60*(1-ПКВ_отношение)/ПКВ_отношение+B60</f>
        <v>310</v>
      </c>
      <c r="B60" s="15">
        <v>93</v>
      </c>
      <c r="C60" s="15">
        <v>80</v>
      </c>
      <c r="D60" s="37" t="str" cm="1">
        <f t="array" ref="D60">[1]!encode_feed(B60,wc_,Rp_,,PVT_str_)</f>
        <v>{"gamma_gas":0.9,"gamma_oil":0.875,"gamma_wat":1,"rsb_m3m3":80,"pb_atma":120,"t_res_C":80,"bob_m3m3":1.2,"muob_cP":0.3,"PVT_corr_set":0,"q_liq_sm3day":93,"fw_perc":10,"rp_m3m3":120}</v>
      </c>
      <c r="E60" s="34" cm="1">
        <f t="array" ref="E60">[1]!feed_gas_fraction_d(Pintake_,C60,D60)</f>
        <v>0.61477952239535605</v>
      </c>
      <c r="F60" s="52">
        <f t="array" ref="F60:G60">[1]!well_ksep_natural_d(D60,Pintake_,Tintake_,Dintake_,Dcas_,1,,,,prm)</f>
        <v>0.63151000000000002</v>
      </c>
      <c r="G60" s="52" t="str">
        <v>{"gamma_gas":0.9,"gamma_oil":0.875,"gamma_wat":1,"rsb_m3m3":61.726,"pb_atma":97.194,"t_res_C":80,"bob_m3m3":1.161,"muob_cP":0.351,"PVT_corr_set":0,"q_liq_sm3day":93,"fw_perc":10,"rp_m3m3":61.726}</v>
      </c>
      <c r="H60" s="34" cm="1">
        <f t="array" ref="H60">[1]!feed_gas_fraction_d(Pintake_,Tintake_,G60)</f>
        <v>0.37134612903823688</v>
      </c>
      <c r="I60" s="53">
        <f t="array" ref="I60:J60">[1]!well_ksep_natural_d(D60,Pintake_,Tintake_,Dintake_,Dcas_,3,ПКВ_отношение,,,prm)</f>
        <v>0</v>
      </c>
      <c r="J60" s="54" t="str">
        <v>{"gamma_gas":0.9,"gamma_oil":0.875,"gamma_wat":1,"rsb_m3m3":80,"pb_atma":120,"t_res_C":80,"bob_m3m3":1.2,"muob_cP":0.3,"PVT_corr_set":0,"q_liq_sm3day":310,"fw_perc":10,"rp_m3m3":92}</v>
      </c>
      <c r="K60" s="34" cm="1">
        <f t="array" ref="K60">[1]!feed_gas_fraction_d(Pintake_,Tintake_,J60)</f>
        <v>0.52643818059281777</v>
      </c>
    </row>
    <row r="61" spans="1:11" outlineLevel="1" x14ac:dyDescent="0.2">
      <c r="A61" s="4">
        <f>B61*(1-ПКВ_отношение)/ПКВ_отношение+B61</f>
        <v>323.33333333333331</v>
      </c>
      <c r="B61" s="15">
        <v>97</v>
      </c>
      <c r="C61" s="15">
        <v>80</v>
      </c>
      <c r="D61" s="37" t="str" cm="1">
        <f t="array" ref="D61">[1]!encode_feed(B61,wc_,Rp_,,PVT_str_)</f>
        <v>{"gamma_gas":0.9,"gamma_oil":0.875,"gamma_wat":1,"rsb_m3m3":80,"pb_atma":120,"t_res_C":80,"bob_m3m3":1.2,"muob_cP":0.3,"PVT_corr_set":0,"q_liq_sm3day":97,"fw_perc":10,"rp_m3m3":120}</v>
      </c>
      <c r="E61" s="34" cm="1">
        <f t="array" ref="E61">[1]!feed_gas_fraction_d(Pintake_,C61,D61)</f>
        <v>0.61477952239535605</v>
      </c>
      <c r="F61" s="52">
        <f t="array" ref="F61:G61">[1]!well_ksep_natural_d(D61,Pintake_,Tintake_,Dintake_,Dcas_,1,,,,prm)</f>
        <v>0.62050000000000005</v>
      </c>
      <c r="G61" s="52" t="str">
        <v>{"gamma_gas":0.9,"gamma_oil":0.875,"gamma_wat":1,"rsb_m3m3":62.743,"pb_atma":98.511,"t_res_C":80,"bob_m3m3":1.163,"muob_cP":0.348,"PVT_corr_set":0,"q_liq_sm3day":97,"fw_perc":10,"rp_m3m3":62.743}</v>
      </c>
      <c r="H61" s="34" cm="1">
        <f t="array" ref="H61">[1]!feed_gas_fraction_d(Pintake_,Tintake_,G61)</f>
        <v>0.37821486929871651</v>
      </c>
      <c r="I61" s="53">
        <f t="array" ref="I61:J61">[1]!well_ksep_natural_d(D61,Pintake_,Tintake_,Dintake_,Dcas_,3,ПКВ_отношение,,,prm)</f>
        <v>0</v>
      </c>
      <c r="J61" s="54" t="str">
        <v>{"gamma_gas":0.9,"gamma_oil":0.875,"gamma_wat":1,"rsb_m3m3":80,"pb_atma":120,"t_res_C":80,"bob_m3m3":1.2,"muob_cP":0.3,"PVT_corr_set":0,"q_liq_sm3day":323.333,"fw_perc":10,"rp_m3m3":92}</v>
      </c>
      <c r="K61" s="34" cm="1">
        <f t="array" ref="K61">[1]!feed_gas_fraction_d(Pintake_,Tintake_,J61)</f>
        <v>0.52643818059281777</v>
      </c>
    </row>
    <row r="62" spans="1:11" outlineLevel="1" x14ac:dyDescent="0.2">
      <c r="A62" s="4">
        <f>B62*(1-ПКВ_отношение)/ПКВ_отношение+B62</f>
        <v>336.66666666666663</v>
      </c>
      <c r="B62" s="15">
        <v>101</v>
      </c>
      <c r="C62" s="15">
        <v>80</v>
      </c>
      <c r="D62" s="37" t="str" cm="1">
        <f t="array" ref="D62">[1]!encode_feed(B62,wc_,Rp_,,PVT_str_)</f>
        <v>{"gamma_gas":0.9,"gamma_oil":0.875,"gamma_wat":1,"rsb_m3m3":80,"pb_atma":120,"t_res_C":80,"bob_m3m3":1.2,"muob_cP":0.3,"PVT_corr_set":0,"q_liq_sm3day":101,"fw_perc":10,"rp_m3m3":120}</v>
      </c>
      <c r="E62" s="34" cm="1">
        <f t="array" ref="E62">[1]!feed_gas_fraction_d(Pintake_,C62,D62)</f>
        <v>0.61477952239535605</v>
      </c>
      <c r="F62" s="52">
        <f t="array" ref="F62:G62">[1]!well_ksep_natural_d(D62,Pintake_,Tintake_,Dintake_,Dcas_,1,,,,prm)</f>
        <v>0.60970999999999997</v>
      </c>
      <c r="G62" s="52" t="str">
        <v>{"gamma_gas":0.9,"gamma_oil":0.875,"gamma_wat":1,"rsb_m3m3":63.738,"pb_atma":99.799,"t_res_C":80,"bob_m3m3":1.165,"muob_cP":0.345,"PVT_corr_set":0,"q_liq_sm3day":101,"fw_perc":10,"rp_m3m3":63.738}</v>
      </c>
      <c r="H62" s="34" cm="1">
        <f t="array" ref="H62">[1]!feed_gas_fraction_d(Pintake_,Tintake_,G62)</f>
        <v>0.38479504201242121</v>
      </c>
      <c r="I62" s="53">
        <f t="array" ref="I62:J62">[1]!well_ksep_natural_d(D62,Pintake_,Tintake_,Dintake_,Dcas_,3,ПКВ_отношение,,,prm)</f>
        <v>0</v>
      </c>
      <c r="J62" s="54" t="str">
        <v>{"gamma_gas":0.9,"gamma_oil":0.875,"gamma_wat":1,"rsb_m3m3":80,"pb_atma":120,"t_res_C":80,"bob_m3m3":1.2,"muob_cP":0.3,"PVT_corr_set":0,"q_liq_sm3day":336.667,"fw_perc":10,"rp_m3m3":92}</v>
      </c>
      <c r="K62" s="34" cm="1">
        <f t="array" ref="K62">[1]!feed_gas_fraction_d(Pintake_,Tintake_,J62)</f>
        <v>0.52643818059281777</v>
      </c>
    </row>
    <row r="63" spans="1:11" outlineLevel="1" x14ac:dyDescent="0.2"/>
    <row r="64" spans="1:11" outlineLevel="1" x14ac:dyDescent="0.2"/>
    <row r="66" spans="3:8" outlineLevel="1" x14ac:dyDescent="0.2"/>
    <row r="67" spans="3:8" outlineLevel="1" x14ac:dyDescent="0.2"/>
    <row r="68" spans="3:8" outlineLevel="1" x14ac:dyDescent="0.2"/>
    <row r="69" spans="3:8" outlineLevel="1" x14ac:dyDescent="0.2"/>
    <row r="70" spans="3:8" outlineLevel="1" x14ac:dyDescent="0.2"/>
    <row r="71" spans="3:8" outlineLevel="1" x14ac:dyDescent="0.2"/>
    <row r="72" spans="3:8" outlineLevel="1" x14ac:dyDescent="0.2"/>
    <row r="73" spans="3:8" outlineLevel="1" x14ac:dyDescent="0.2"/>
    <row r="74" spans="3:8" outlineLevel="1" x14ac:dyDescent="0.2"/>
    <row r="75" spans="3:8" outlineLevel="1" x14ac:dyDescent="0.2">
      <c r="F75" s="39"/>
      <c r="G75" s="7"/>
      <c r="H75" s="7"/>
    </row>
    <row r="76" spans="3:8" outlineLevel="1" x14ac:dyDescent="0.2">
      <c r="C76" s="8"/>
      <c r="D76" s="8"/>
      <c r="E76" s="9"/>
      <c r="F76" s="9"/>
      <c r="G76" s="9"/>
      <c r="H76" s="9"/>
    </row>
    <row r="77" spans="3:8" outlineLevel="1" x14ac:dyDescent="0.2">
      <c r="C77" s="8"/>
      <c r="D77" s="8"/>
      <c r="E77" s="9"/>
      <c r="F77" s="9"/>
      <c r="G77" s="9"/>
      <c r="H77" s="9"/>
    </row>
    <row r="78" spans="3:8" outlineLevel="1" x14ac:dyDescent="0.2">
      <c r="C78" s="8"/>
      <c r="D78" s="8"/>
      <c r="E78" s="9"/>
      <c r="F78" s="9"/>
      <c r="G78" s="9"/>
      <c r="H78" s="38"/>
    </row>
    <row r="79" spans="3:8" outlineLevel="1" x14ac:dyDescent="0.2">
      <c r="C79" s="8"/>
      <c r="D79" s="8"/>
      <c r="E79" s="38"/>
      <c r="F79" s="9"/>
      <c r="G79" s="9"/>
      <c r="H79" s="38"/>
    </row>
    <row r="80" spans="3:8" outlineLevel="1" x14ac:dyDescent="0.2">
      <c r="C80" s="8"/>
      <c r="D80" s="8"/>
      <c r="E80" s="9"/>
      <c r="F80" s="9"/>
      <c r="G80" s="9"/>
      <c r="H80" s="9"/>
    </row>
    <row r="81" spans="3:8" outlineLevel="1" x14ac:dyDescent="0.2">
      <c r="C81" s="8"/>
      <c r="D81" s="8"/>
      <c r="E81" s="9"/>
      <c r="F81" s="9"/>
      <c r="G81" s="9"/>
      <c r="H81" s="9"/>
    </row>
    <row r="82" spans="3:8" outlineLevel="1" x14ac:dyDescent="0.2">
      <c r="C82" s="8"/>
      <c r="D82" s="8"/>
      <c r="E82" s="9"/>
      <c r="F82" s="9"/>
      <c r="G82" s="9"/>
      <c r="H82" s="9"/>
    </row>
    <row r="83" spans="3:8" outlineLevel="1" x14ac:dyDescent="0.2">
      <c r="C83" s="8"/>
      <c r="D83" s="8"/>
      <c r="E83" s="9"/>
      <c r="F83" s="9"/>
      <c r="G83" s="9"/>
      <c r="H83" s="9"/>
    </row>
    <row r="84" spans="3:8" outlineLevel="1" x14ac:dyDescent="0.2">
      <c r="C84" s="8"/>
      <c r="D84" s="8"/>
      <c r="E84" s="9"/>
      <c r="F84" s="9"/>
      <c r="G84" s="9"/>
      <c r="H84" s="9"/>
    </row>
    <row r="85" spans="3:8" outlineLevel="1" x14ac:dyDescent="0.2">
      <c r="C85" s="8"/>
      <c r="D85" s="8"/>
      <c r="E85" s="9"/>
      <c r="F85" s="9"/>
      <c r="G85" s="9"/>
      <c r="H85" s="9"/>
    </row>
    <row r="86" spans="3:8" outlineLevel="1" x14ac:dyDescent="0.2">
      <c r="C86" s="8"/>
      <c r="D86" s="8"/>
      <c r="E86" s="9"/>
      <c r="F86" s="9"/>
      <c r="G86" s="9"/>
      <c r="H86" s="9"/>
    </row>
    <row r="87" spans="3:8" outlineLevel="1" x14ac:dyDescent="0.2">
      <c r="C87" s="8"/>
      <c r="D87" s="8"/>
      <c r="E87" s="9"/>
      <c r="F87" s="9"/>
      <c r="G87" s="9"/>
      <c r="H87" s="9"/>
    </row>
    <row r="88" spans="3:8" outlineLevel="1" x14ac:dyDescent="0.2">
      <c r="C88" s="8"/>
      <c r="D88" s="8"/>
      <c r="E88" s="9"/>
      <c r="F88" s="9"/>
      <c r="G88" s="9"/>
      <c r="H88" s="9"/>
    </row>
    <row r="89" spans="3:8" outlineLevel="1" x14ac:dyDescent="0.2">
      <c r="C89" s="8"/>
      <c r="D89" s="8"/>
      <c r="E89" s="9"/>
      <c r="F89" s="9"/>
      <c r="G89" s="9"/>
      <c r="H89" s="9"/>
    </row>
    <row r="90" spans="3:8" outlineLevel="1" x14ac:dyDescent="0.2">
      <c r="C90" s="8"/>
      <c r="D90" s="8"/>
      <c r="E90" s="9"/>
      <c r="F90" s="9"/>
      <c r="G90" s="9"/>
      <c r="H90" s="9"/>
    </row>
    <row r="91" spans="3:8" outlineLevel="1" x14ac:dyDescent="0.2">
      <c r="C91" s="8"/>
      <c r="D91" s="8"/>
      <c r="E91" s="9"/>
      <c r="F91" s="9"/>
      <c r="G91" s="9"/>
      <c r="H91" s="9"/>
    </row>
    <row r="92" spans="3:8" outlineLevel="1" x14ac:dyDescent="0.2">
      <c r="C92" s="8"/>
      <c r="D92" s="8"/>
      <c r="E92" s="9"/>
      <c r="F92" s="9"/>
      <c r="G92" s="9"/>
      <c r="H92" s="9"/>
    </row>
    <row r="93" spans="3:8" outlineLevel="1" x14ac:dyDescent="0.2">
      <c r="C93" s="8"/>
      <c r="D93" s="8"/>
      <c r="E93" s="9"/>
      <c r="F93" s="9"/>
      <c r="G93" s="9"/>
      <c r="H93" s="9"/>
    </row>
    <row r="94" spans="3:8" outlineLevel="1" x14ac:dyDescent="0.2">
      <c r="C94" s="8"/>
      <c r="D94" s="8"/>
      <c r="E94" s="9"/>
      <c r="F94" s="9"/>
      <c r="G94" s="9"/>
      <c r="H94" s="9"/>
    </row>
    <row r="95" spans="3:8" outlineLevel="1" x14ac:dyDescent="0.2">
      <c r="C95" s="8"/>
      <c r="D95" s="8"/>
      <c r="E95" s="9"/>
      <c r="F95" s="9"/>
      <c r="G95" s="9"/>
      <c r="H95" s="9"/>
    </row>
    <row r="96" spans="3:8" outlineLevel="1" x14ac:dyDescent="0.2">
      <c r="C96" s="8"/>
      <c r="D96" s="8"/>
      <c r="E96" s="9"/>
      <c r="F96" s="9"/>
      <c r="G96" s="9"/>
      <c r="H96" s="9"/>
    </row>
    <row r="97" outlineLevel="1" x14ac:dyDescent="0.2"/>
    <row r="98" outlineLevel="1" x14ac:dyDescent="0.2"/>
    <row r="99" outlineLevel="1" x14ac:dyDescent="0.2"/>
    <row r="154" spans="11:11" x14ac:dyDescent="0.2">
      <c r="K154" t="s">
        <v>6</v>
      </c>
    </row>
    <row r="165" spans="11:11" x14ac:dyDescent="0.2">
      <c r="K165" s="6"/>
    </row>
  </sheetData>
  <mergeCells count="6">
    <mergeCell ref="I35:K35"/>
    <mergeCell ref="B3:E3"/>
    <mergeCell ref="B4:E4"/>
    <mergeCell ref="B5:E5"/>
    <mergeCell ref="B6:E8"/>
    <mergeCell ref="F35:H3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57</vt:i4>
      </vt:variant>
    </vt:vector>
  </HeadingPairs>
  <TitlesOfParts>
    <vt:vector size="59" baseType="lpstr">
      <vt:lpstr>Separation</vt:lpstr>
      <vt:lpstr>Сепарация ПКВ</vt:lpstr>
      <vt:lpstr>Separation!Bob_</vt:lpstr>
      <vt:lpstr>'Сепарация ПКВ'!Bob_</vt:lpstr>
      <vt:lpstr>'Сепарация ПКВ'!cf_dcas_</vt:lpstr>
      <vt:lpstr>cf_dcas_</vt:lpstr>
      <vt:lpstr>'Сепарация ПКВ'!course</vt:lpstr>
      <vt:lpstr>course</vt:lpstr>
      <vt:lpstr>Separation!Dcas_</vt:lpstr>
      <vt:lpstr>'Сепарация ПКВ'!Dcas_</vt:lpstr>
      <vt:lpstr>Separation!Dintake_</vt:lpstr>
      <vt:lpstr>'Сепарация ПКВ'!Dintake_</vt:lpstr>
      <vt:lpstr>'Сепарация ПКВ'!feed</vt:lpstr>
      <vt:lpstr>feed</vt:lpstr>
      <vt:lpstr>Separation!gamma_gas_</vt:lpstr>
      <vt:lpstr>'Сепарация ПКВ'!gamma_gas_</vt:lpstr>
      <vt:lpstr>Separation!gamma_oil_</vt:lpstr>
      <vt:lpstr>'Сепарация ПКВ'!gamma_oil_</vt:lpstr>
      <vt:lpstr>Separation!gamma_wat_</vt:lpstr>
      <vt:lpstr>'Сепарация ПКВ'!gamma_wat_</vt:lpstr>
      <vt:lpstr>'Сепарация ПКВ'!gassep_type</vt:lpstr>
      <vt:lpstr>gassep_type</vt:lpstr>
      <vt:lpstr>'Сепарация ПКВ'!Group</vt:lpstr>
      <vt:lpstr>Group</vt:lpstr>
      <vt:lpstr>'Сепарация ПКВ'!input_Course</vt:lpstr>
      <vt:lpstr>input_Course</vt:lpstr>
      <vt:lpstr>'Сепарация ПКВ'!input_Date</vt:lpstr>
      <vt:lpstr>input_Date</vt:lpstr>
      <vt:lpstr>'Сепарация ПКВ'!input_Group</vt:lpstr>
      <vt:lpstr>input_Group</vt:lpstr>
      <vt:lpstr>'Сепарация ПКВ'!input_Notes</vt:lpstr>
      <vt:lpstr>input_Notes</vt:lpstr>
      <vt:lpstr>'Сепарация ПКВ'!input_Student_Name</vt:lpstr>
      <vt:lpstr>input_Student_Name</vt:lpstr>
      <vt:lpstr>'Сепарация ПКВ'!input_Version</vt:lpstr>
      <vt:lpstr>input_Version</vt:lpstr>
      <vt:lpstr>Separation!muob_</vt:lpstr>
      <vt:lpstr>'Сепарация ПКВ'!muob_</vt:lpstr>
      <vt:lpstr>Separation!Pb_</vt:lpstr>
      <vt:lpstr>'Сепарация ПКВ'!Pb_</vt:lpstr>
      <vt:lpstr>Separation!Pintake_</vt:lpstr>
      <vt:lpstr>'Сепарация ПКВ'!Pintake_</vt:lpstr>
      <vt:lpstr>prm</vt:lpstr>
      <vt:lpstr>'Сепарация ПКВ'!PVT_str_</vt:lpstr>
      <vt:lpstr>PVT_str_</vt:lpstr>
      <vt:lpstr>Separation!Rp_</vt:lpstr>
      <vt:lpstr>'Сепарация ПКВ'!Rp_</vt:lpstr>
      <vt:lpstr>rpm</vt:lpstr>
      <vt:lpstr>Separation!Rsb_</vt:lpstr>
      <vt:lpstr>'Сепарация ПКВ'!Rsb_</vt:lpstr>
      <vt:lpstr>Separation!Tintake_</vt:lpstr>
      <vt:lpstr>'Сепарация ПКВ'!Tintake_</vt:lpstr>
      <vt:lpstr>Separation!Tres_</vt:lpstr>
      <vt:lpstr>'Сепарация ПКВ'!Tres_</vt:lpstr>
      <vt:lpstr>'Сепарация ПКВ'!ver_</vt:lpstr>
      <vt:lpstr>ver_</vt:lpstr>
      <vt:lpstr>Separation!wc_</vt:lpstr>
      <vt:lpstr>'Сепарация ПКВ'!wc_</vt:lpstr>
      <vt:lpstr>ПКВ_отношение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rnt</cp:lastModifiedBy>
  <cp:lastPrinted>2007-08-27T05:31:44Z</cp:lastPrinted>
  <dcterms:created xsi:type="dcterms:W3CDTF">2005-04-11T05:46:28Z</dcterms:created>
  <dcterms:modified xsi:type="dcterms:W3CDTF">2023-04-25T05:48:56Z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