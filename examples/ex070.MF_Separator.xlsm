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B2710392-59B6-4FC2-B544-8E516470B363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Separation!$F$35</definedName>
    <definedName name="course">Separation!$B$3</definedName>
    <definedName name="Dcas_" localSheetId="0">Separation!$C$23</definedName>
    <definedName name="Dintake_" localSheetId="0">Separation!$C$24</definedName>
    <definedName name="feed">Separation!$C$30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Separation!$H$35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10" l="1"/>
  <c r="E67" i="110" a="1"/>
  <c r="C29" i="110" a="1"/>
  <c r="G1" i="110"/>
  <c r="E67" i="110" l="1"/>
  <c r="C29" i="110"/>
  <c r="F17" i="110"/>
  <c r="F16" i="110"/>
  <c r="F15" i="110"/>
  <c r="F14" i="110"/>
  <c r="F13" i="110"/>
  <c r="F12" i="110"/>
  <c r="F11" i="110"/>
  <c r="D49" i="110" a="1"/>
  <c r="D47" i="110" a="1"/>
  <c r="D39" i="110" a="1"/>
  <c r="D62" i="110" a="1"/>
  <c r="D58" i="110" a="1"/>
  <c r="D54" i="110" a="1"/>
  <c r="D50" i="110" a="1"/>
  <c r="D46" i="110" a="1"/>
  <c r="D40" i="110" a="1"/>
  <c r="D38" i="110" a="1"/>
  <c r="D55" i="110" a="1"/>
  <c r="D45" i="110" a="1"/>
  <c r="D43" i="110" a="1"/>
  <c r="D56" i="110" a="1"/>
  <c r="D52" i="110" a="1"/>
  <c r="D48" i="110" a="1"/>
  <c r="D44" i="110" a="1"/>
  <c r="D37" i="110" a="1"/>
  <c r="D57" i="110" a="1"/>
  <c r="D53" i="110" a="1"/>
  <c r="D41" i="110" a="1"/>
  <c r="D60" i="110" a="1"/>
  <c r="D42" i="110" a="1"/>
  <c r="D61" i="110" a="1"/>
  <c r="D59" i="110" a="1"/>
  <c r="D51" i="110" a="1"/>
  <c r="D38" i="110" l="1"/>
  <c r="D42" i="110"/>
  <c r="D46" i="110"/>
  <c r="D50" i="110"/>
  <c r="D54" i="110"/>
  <c r="D58" i="110"/>
  <c r="D62" i="110"/>
  <c r="D39" i="110"/>
  <c r="D43" i="110"/>
  <c r="D47" i="110"/>
  <c r="D51" i="110"/>
  <c r="D55" i="110"/>
  <c r="D59" i="110"/>
  <c r="D40" i="110"/>
  <c r="D44" i="110"/>
  <c r="D48" i="110"/>
  <c r="D52" i="110"/>
  <c r="D56" i="110"/>
  <c r="D60" i="110"/>
  <c r="D41" i="110"/>
  <c r="D45" i="110"/>
  <c r="D49" i="110"/>
  <c r="D53" i="110"/>
  <c r="D57" i="110"/>
  <c r="D61" i="110"/>
  <c r="D37" i="110"/>
  <c r="F36" i="110"/>
  <c r="E70" i="110" a="1"/>
  <c r="E37" i="110" a="1"/>
  <c r="F46" i="110" a="1"/>
  <c r="F39" i="110" a="1"/>
  <c r="F50" i="110" a="1"/>
  <c r="F48" i="110" a="1"/>
  <c r="F47" i="110" a="1"/>
  <c r="F56" i="110" a="1"/>
  <c r="F40" i="110" a="1"/>
  <c r="F61" i="110" a="1"/>
  <c r="E51" i="110" a="1"/>
  <c r="E42" i="110" a="1"/>
  <c r="E41" i="110" a="1"/>
  <c r="E45" i="110" a="1"/>
  <c r="E58" i="110" a="1"/>
  <c r="F58" i="110" a="1"/>
  <c r="E53" i="110" a="1"/>
  <c r="E50" i="110" a="1"/>
  <c r="F51" i="110" a="1"/>
  <c r="F42" i="110" a="1"/>
  <c r="F41" i="110" a="1"/>
  <c r="F45" i="110" a="1"/>
  <c r="F55" i="110" a="1"/>
  <c r="E57" i="110" a="1"/>
  <c r="F62" i="110" a="1"/>
  <c r="F60" i="110" a="1"/>
  <c r="E38" i="110" a="1"/>
  <c r="E55" i="110" a="1"/>
  <c r="E47" i="110" a="1"/>
  <c r="E54" i="110" a="1"/>
  <c r="F54" i="110" a="1"/>
  <c r="F57" i="110" a="1"/>
  <c r="F44" i="110" a="1"/>
  <c r="F38" i="110" a="1"/>
  <c r="E60" i="110" a="1"/>
  <c r="E43" i="110" a="1"/>
  <c r="E59" i="110" a="1"/>
  <c r="E56" i="110" a="1"/>
  <c r="E49" i="110" a="1"/>
  <c r="E62" i="110" a="1"/>
  <c r="E44" i="110" a="1"/>
  <c r="E48" i="110" a="1"/>
  <c r="F43" i="110" a="1"/>
  <c r="F59" i="110" a="1"/>
  <c r="F49" i="110" a="1"/>
  <c r="F37" i="110" a="1"/>
  <c r="F53" i="110" a="1"/>
  <c r="E52" i="110" a="1"/>
  <c r="E40" i="110" a="1"/>
  <c r="E61" i="110" a="1"/>
  <c r="E39" i="110" a="1"/>
  <c r="F52" i="110" a="1"/>
  <c r="E46" i="110" a="1"/>
  <c r="E70" i="110" l="1"/>
  <c r="E37" i="110"/>
  <c r="F57" i="110"/>
  <c r="E57" i="110"/>
  <c r="F58" i="110"/>
  <c r="E58" i="110"/>
  <c r="F45" i="110"/>
  <c r="E45" i="110"/>
  <c r="F48" i="110"/>
  <c r="E48" i="110"/>
  <c r="F44" i="110"/>
  <c r="E44" i="110"/>
  <c r="F62" i="110"/>
  <c r="E62" i="110"/>
  <c r="F49" i="110"/>
  <c r="E49" i="110"/>
  <c r="F54" i="110"/>
  <c r="E54" i="110"/>
  <c r="F41" i="110"/>
  <c r="E41" i="110"/>
  <c r="F50" i="110"/>
  <c r="E50" i="110"/>
  <c r="F60" i="110"/>
  <c r="E60" i="110"/>
  <c r="F37" i="110"/>
  <c r="F56" i="110"/>
  <c r="E56" i="110"/>
  <c r="F47" i="110"/>
  <c r="E47" i="110"/>
  <c r="F42" i="110"/>
  <c r="E42" i="110"/>
  <c r="F39" i="110"/>
  <c r="E39" i="110"/>
  <c r="F53" i="110"/>
  <c r="E53" i="110"/>
  <c r="F40" i="110"/>
  <c r="E40" i="110"/>
  <c r="F59" i="110"/>
  <c r="E59" i="110"/>
  <c r="F55" i="110"/>
  <c r="E55" i="110"/>
  <c r="F51" i="110"/>
  <c r="E51" i="110"/>
  <c r="F46" i="110"/>
  <c r="E46" i="110"/>
  <c r="F61" i="110"/>
  <c r="E61" i="110"/>
  <c r="F52" i="110"/>
  <c r="E52" i="110"/>
  <c r="F43" i="110"/>
  <c r="E43" i="110"/>
  <c r="F38" i="110"/>
  <c r="E38" i="110"/>
  <c r="E73" i="110" a="1"/>
  <c r="E79" i="110" s="1" a="1"/>
  <c r="G47" i="110" a="1"/>
  <c r="G48" i="110" a="1"/>
  <c r="G38" i="110" a="1"/>
  <c r="G43" i="110" a="1"/>
  <c r="G59" i="110" a="1"/>
  <c r="G40" i="110" a="1"/>
  <c r="G54" i="110" a="1"/>
  <c r="G37" i="110" a="1"/>
  <c r="G53" i="110" a="1"/>
  <c r="G46" i="110" a="1"/>
  <c r="G42" i="110" a="1"/>
  <c r="G50" i="110" a="1"/>
  <c r="G57" i="110" a="1"/>
  <c r="G55" i="110" a="1"/>
  <c r="G39" i="110" a="1"/>
  <c r="G44" i="110" a="1"/>
  <c r="G45" i="110" a="1"/>
  <c r="G52" i="110" a="1"/>
  <c r="G60" i="110" a="1"/>
  <c r="G61" i="110" a="1"/>
  <c r="G49" i="110" a="1"/>
  <c r="G41" i="110" a="1"/>
  <c r="G56" i="110" a="1"/>
  <c r="G51" i="110" a="1"/>
  <c r="G62" i="110" a="1"/>
  <c r="G58" i="110" a="1"/>
  <c r="E79" i="110" l="1"/>
  <c r="E73" i="110"/>
  <c r="G52" i="110"/>
  <c r="G55" i="110"/>
  <c r="G37" i="110"/>
  <c r="G54" i="110"/>
  <c r="G48" i="110"/>
  <c r="G59" i="110"/>
  <c r="G49" i="110"/>
  <c r="G50" i="110"/>
  <c r="G39" i="110"/>
  <c r="G61" i="110"/>
  <c r="G42" i="110"/>
  <c r="G60" i="110"/>
  <c r="G45" i="110"/>
  <c r="G38" i="110"/>
  <c r="G46" i="110"/>
  <c r="G40" i="110"/>
  <c r="G47" i="110"/>
  <c r="G62" i="110"/>
  <c r="G58" i="110"/>
  <c r="G43" i="110"/>
  <c r="G51" i="110"/>
  <c r="G53" i="110"/>
  <c r="G56" i="110"/>
  <c r="G41" i="110"/>
  <c r="G44" i="110"/>
  <c r="G57" i="110"/>
  <c r="H58" i="110" a="1"/>
  <c r="H46" i="110" a="1"/>
  <c r="H41" i="110" a="1"/>
  <c r="H40" i="110" a="1"/>
  <c r="H61" i="110" a="1"/>
  <c r="H57" i="110" a="1"/>
  <c r="H42" i="110" a="1"/>
  <c r="H54" i="110" a="1"/>
  <c r="H56" i="110" a="1"/>
  <c r="H55" i="110" a="1"/>
  <c r="H51" i="110" a="1"/>
  <c r="H59" i="110" a="1"/>
  <c r="H53" i="110" a="1"/>
  <c r="H52" i="110" a="1"/>
  <c r="H60" i="110" a="1"/>
  <c r="H50" i="110" a="1"/>
  <c r="H43" i="110" a="1"/>
  <c r="H48" i="110" a="1"/>
  <c r="H45" i="110" a="1"/>
  <c r="H62" i="110" a="1"/>
  <c r="H38" i="110" a="1"/>
  <c r="H37" i="110" a="1"/>
  <c r="H49" i="110" a="1"/>
  <c r="H39" i="110" a="1"/>
  <c r="H47" i="110" a="1"/>
  <c r="H44" i="110" a="1"/>
  <c r="H41" i="110" l="1"/>
  <c r="H50" i="110"/>
  <c r="H56" i="110"/>
  <c r="H46" i="110"/>
  <c r="H49" i="110"/>
  <c r="H53" i="110"/>
  <c r="H38" i="110"/>
  <c r="H59" i="110"/>
  <c r="H51" i="110"/>
  <c r="H45" i="110"/>
  <c r="H48" i="110"/>
  <c r="H40" i="110"/>
  <c r="H43" i="110"/>
  <c r="H60" i="110"/>
  <c r="H54" i="110"/>
  <c r="H58" i="110"/>
  <c r="H42" i="110"/>
  <c r="H37" i="110"/>
  <c r="H57" i="110"/>
  <c r="H62" i="110"/>
  <c r="H61" i="110"/>
  <c r="H55" i="110"/>
  <c r="H44" i="110"/>
  <c r="H47" i="110"/>
  <c r="H39" i="110"/>
  <c r="H52" i="110"/>
  <c r="I53" i="110" a="1"/>
  <c r="I59" i="110" a="1"/>
  <c r="I38" i="110" a="1"/>
  <c r="I44" i="110" a="1"/>
  <c r="I45" i="110" a="1"/>
  <c r="I57" i="110" a="1"/>
  <c r="I61" i="110" a="1"/>
  <c r="I55" i="110" a="1"/>
  <c r="I47" i="110" a="1"/>
  <c r="I48" i="110" a="1"/>
  <c r="I58" i="110" a="1"/>
  <c r="I50" i="110" a="1"/>
  <c r="I37" i="110" a="1"/>
  <c r="I62" i="110" a="1"/>
  <c r="I60" i="110" a="1"/>
  <c r="I41" i="110" a="1"/>
  <c r="I56" i="110" a="1"/>
  <c r="I43" i="110" a="1"/>
  <c r="I51" i="110" a="1"/>
  <c r="I49" i="110" a="1"/>
  <c r="I42" i="110" a="1"/>
  <c r="I39" i="110" a="1"/>
  <c r="I46" i="110" a="1"/>
  <c r="I40" i="110" a="1"/>
  <c r="I54" i="110" a="1"/>
  <c r="I52" i="110" a="1"/>
  <c r="I44" i="110" l="1"/>
  <c r="I48" i="110"/>
  <c r="I47" i="110"/>
  <c r="I59" i="110"/>
  <c r="I54" i="110"/>
  <c r="I60" i="110"/>
  <c r="I43" i="110"/>
  <c r="I62" i="110"/>
  <c r="I46" i="110"/>
  <c r="I37" i="110"/>
  <c r="I45" i="110"/>
  <c r="I50" i="110"/>
  <c r="I58" i="110"/>
  <c r="I38" i="110"/>
  <c r="I55" i="110"/>
  <c r="I53" i="110"/>
  <c r="I61" i="110"/>
  <c r="I49" i="110"/>
  <c r="I40" i="110"/>
  <c r="I57" i="110"/>
  <c r="I56" i="110"/>
  <c r="I52" i="110"/>
  <c r="I39" i="110"/>
  <c r="I42" i="110"/>
  <c r="I51" i="110"/>
  <c r="I41" i="110"/>
  <c r="J55" i="110" a="1"/>
  <c r="J43" i="110" a="1"/>
  <c r="J37" i="110" a="1"/>
  <c r="J47" i="110" a="1"/>
  <c r="J50" i="110" a="1"/>
  <c r="J58" i="110" a="1"/>
  <c r="J53" i="110" a="1"/>
  <c r="J39" i="110" a="1"/>
  <c r="J62" i="110" a="1"/>
  <c r="J41" i="110" a="1"/>
  <c r="J54" i="110" a="1"/>
  <c r="J38" i="110" a="1"/>
  <c r="J44" i="110" a="1"/>
  <c r="J48" i="110" a="1"/>
  <c r="J42" i="110" a="1"/>
  <c r="J51" i="110" a="1"/>
  <c r="J60" i="110" a="1"/>
  <c r="J56" i="110" a="1"/>
  <c r="J46" i="110" a="1"/>
  <c r="J61" i="110" a="1"/>
  <c r="J49" i="110" a="1"/>
  <c r="J59" i="110" a="1"/>
  <c r="J57" i="110" a="1"/>
  <c r="J52" i="110" a="1"/>
  <c r="J45" i="110" a="1"/>
  <c r="J40" i="110" a="1"/>
  <c r="J62" i="110" l="1"/>
  <c r="J42" i="110"/>
  <c r="J39" i="110"/>
  <c r="J43" i="110"/>
  <c r="J52" i="110"/>
  <c r="J38" i="110"/>
  <c r="J60" i="110"/>
  <c r="J54" i="110"/>
  <c r="J59" i="110"/>
  <c r="J47" i="110"/>
  <c r="J41" i="110"/>
  <c r="J49" i="110"/>
  <c r="J37" i="110"/>
  <c r="J48" i="110"/>
  <c r="J53" i="110"/>
  <c r="J55" i="110"/>
  <c r="J56" i="110"/>
  <c r="J58" i="110"/>
  <c r="J57" i="110"/>
  <c r="J50" i="110"/>
  <c r="J40" i="110"/>
  <c r="J45" i="110"/>
  <c r="J51" i="110"/>
  <c r="J61" i="110"/>
  <c r="J46" i="110"/>
  <c r="J4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<sst xmlns="http://schemas.openxmlformats.org/spreadsheetml/2006/main" count="70" uniqueCount="56">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</sst>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51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2" fontId="0" fillId="0" borderId="0" xfId="0" applyNumberFormat="1" applyAlignment="1">
      <alignment horizontal="left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0.9823004685873612</c:v>
                </c:pt>
                <c:pt idx="1">
                  <c:v>0.95320858832379007</c:v>
                </c:pt>
                <c:pt idx="2">
                  <c:v>0.91606382866388181</c:v>
                </c:pt>
                <c:pt idx="3">
                  <c:v>0.8564378925572409</c:v>
                </c:pt>
                <c:pt idx="4">
                  <c:v>0.80476285566960304</c:v>
                </c:pt>
                <c:pt idx="5">
                  <c:v>0.75890202452340672</c:v>
                </c:pt>
                <c:pt idx="6">
                  <c:v>0.71769196466462959</c:v>
                </c:pt>
                <c:pt idx="7">
                  <c:v>0.69748948022710733</c:v>
                </c:pt>
                <c:pt idx="8">
                  <c:v>0.66467091985625082</c:v>
                </c:pt>
                <c:pt idx="9">
                  <c:v>0.63452930307525057</c:v>
                </c:pt>
                <c:pt idx="10">
                  <c:v>0.60677272820582262</c:v>
                </c:pt>
                <c:pt idx="11">
                  <c:v>0.58116222276926444</c:v>
                </c:pt>
                <c:pt idx="12">
                  <c:v>0.55749739000635312</c:v>
                </c:pt>
                <c:pt idx="13">
                  <c:v>0.53560696397888741</c:v>
                </c:pt>
                <c:pt idx="14">
                  <c:v>0.51534231385572227</c:v>
                </c:pt>
                <c:pt idx="15">
                  <c:v>0.49657281411986087</c:v>
                </c:pt>
                <c:pt idx="16">
                  <c:v>0.47918244594263104</c:v>
                </c:pt>
                <c:pt idx="17">
                  <c:v>0.4630672396933595</c:v>
                </c:pt>
                <c:pt idx="18">
                  <c:v>0.44813330925273753</c:v>
                </c:pt>
                <c:pt idx="19">
                  <c:v>0.43429531330970272</c:v>
                </c:pt>
                <c:pt idx="20">
                  <c:v>0.42147523150726562</c:v>
                </c:pt>
                <c:pt idx="21">
                  <c:v>0.40960137721666201</c:v>
                </c:pt>
                <c:pt idx="22">
                  <c:v>0.39860759116733258</c:v>
                </c:pt>
                <c:pt idx="23">
                  <c:v>0.3884325753878235</c:v>
                </c:pt>
                <c:pt idx="24">
                  <c:v>0.37901933746931338</c:v>
                </c:pt>
                <c:pt idx="25">
                  <c:v>0.37031472262530407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0.92624104984319366</c:v>
                </c:pt>
                <c:pt idx="1">
                  <c:v>0.76342436564349569</c:v>
                </c:pt>
                <c:pt idx="2">
                  <c:v>0.62159518053556484</c:v>
                </c:pt>
                <c:pt idx="3">
                  <c:v>0.44940573412325513</c:v>
                </c:pt>
                <c:pt idx="4">
                  <c:v>0.35946734986566042</c:v>
                </c:pt>
                <c:pt idx="5">
                  <c:v>0.30343731185425904</c:v>
                </c:pt>
                <c:pt idx="6">
                  <c:v>0.28186454281514006</c:v>
                </c:pt>
                <c:pt idx="7">
                  <c:v>0.26420775179821998</c:v>
                </c:pt>
                <c:pt idx="8">
                  <c:v>0.23989981961210294</c:v>
                </c:pt>
                <c:pt idx="9">
                  <c:v>0.20166644652451549</c:v>
                </c:pt>
                <c:pt idx="10">
                  <c:v>0.1446835707171239</c:v>
                </c:pt>
                <c:pt idx="11">
                  <c:v>6.9259268974782628E-2</c:v>
                </c:pt>
                <c:pt idx="12">
                  <c:v>1.0601827898565119E-2</c:v>
                </c:pt>
                <c:pt idx="13">
                  <c:v>5.3143248193698867E-4</c:v>
                </c:pt>
                <c:pt idx="14">
                  <c:v>1.9435910305176662E-5</c:v>
                </c:pt>
                <c:pt idx="15">
                  <c:v>6.0130867396424037E-7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0.9823004685873612</c:v>
                </c:pt>
                <c:pt idx="1">
                  <c:v>0.95320858832379007</c:v>
                </c:pt>
                <c:pt idx="2">
                  <c:v>0.91606382866388181</c:v>
                </c:pt>
                <c:pt idx="3">
                  <c:v>0.8564378925572409</c:v>
                </c:pt>
                <c:pt idx="4">
                  <c:v>0.80476285566960304</c:v>
                </c:pt>
                <c:pt idx="5">
                  <c:v>0.75890202452340672</c:v>
                </c:pt>
                <c:pt idx="6">
                  <c:v>0.71769196466462959</c:v>
                </c:pt>
                <c:pt idx="7">
                  <c:v>0.69748948022710733</c:v>
                </c:pt>
                <c:pt idx="8">
                  <c:v>0.66467091985625082</c:v>
                </c:pt>
                <c:pt idx="9">
                  <c:v>0.63452930307525057</c:v>
                </c:pt>
                <c:pt idx="10">
                  <c:v>0.60677272820582262</c:v>
                </c:pt>
                <c:pt idx="11">
                  <c:v>0.58116222276926444</c:v>
                </c:pt>
                <c:pt idx="12">
                  <c:v>0.55749739000635312</c:v>
                </c:pt>
                <c:pt idx="13">
                  <c:v>0.53560696397888741</c:v>
                </c:pt>
                <c:pt idx="14">
                  <c:v>0.51534231385572227</c:v>
                </c:pt>
                <c:pt idx="15">
                  <c:v>0.49657281411986087</c:v>
                </c:pt>
                <c:pt idx="16">
                  <c:v>0.47918244594263104</c:v>
                </c:pt>
                <c:pt idx="17">
                  <c:v>0.4630672396933595</c:v>
                </c:pt>
                <c:pt idx="18">
                  <c:v>0.44813330925273753</c:v>
                </c:pt>
                <c:pt idx="19">
                  <c:v>0.43429531330970272</c:v>
                </c:pt>
                <c:pt idx="20">
                  <c:v>0.42147523150726562</c:v>
                </c:pt>
                <c:pt idx="21">
                  <c:v>0.40960137721666201</c:v>
                </c:pt>
                <c:pt idx="22">
                  <c:v>0.39860759116733258</c:v>
                </c:pt>
                <c:pt idx="23">
                  <c:v>0.3884325753878235</c:v>
                </c:pt>
                <c:pt idx="24">
                  <c:v>0.37901933746931338</c:v>
                </c:pt>
                <c:pt idx="25">
                  <c:v>0.37031472262530407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0.99303728371177946</c:v>
                </c:pt>
                <c:pt idx="1">
                  <c:v>0.99113411509997518</c:v>
                </c:pt>
                <c:pt idx="2">
                  <c:v>0.98602018538001523</c:v>
                </c:pt>
                <c:pt idx="3">
                  <c:v>0.96790556878583889</c:v>
                </c:pt>
                <c:pt idx="4">
                  <c:v>0.94943059143177255</c:v>
                </c:pt>
                <c:pt idx="5">
                  <c:v>0.93234831943458918</c:v>
                </c:pt>
                <c:pt idx="6">
                  <c:v>0.91809561362796299</c:v>
                </c:pt>
                <c:pt idx="7">
                  <c:v>0.90912092964129698</c:v>
                </c:pt>
                <c:pt idx="8">
                  <c:v>0.89422378674722591</c:v>
                </c:pt>
                <c:pt idx="9">
                  <c:v>0.87667444752546597</c:v>
                </c:pt>
                <c:pt idx="10">
                  <c:v>0.85622562044056916</c:v>
                </c:pt>
                <c:pt idx="11">
                  <c:v>0.83391864986566111</c:v>
                </c:pt>
                <c:pt idx="12">
                  <c:v>0.81392718923169549</c:v>
                </c:pt>
                <c:pt idx="13">
                  <c:v>0.79891337755263758</c:v>
                </c:pt>
                <c:pt idx="14">
                  <c:v>0.78513910895976768</c:v>
                </c:pt>
                <c:pt idx="15">
                  <c:v>0.7717689551996838</c:v>
                </c:pt>
                <c:pt idx="16">
                  <c:v>0.75875813198300079</c:v>
                </c:pt>
                <c:pt idx="17">
                  <c:v>0.74610586492246234</c:v>
                </c:pt>
                <c:pt idx="18">
                  <c:v>0.73381255651709765</c:v>
                </c:pt>
                <c:pt idx="19">
                  <c:v>0.72187799318920787</c:v>
                </c:pt>
                <c:pt idx="20">
                  <c:v>0.71030122635658954</c:v>
                </c:pt>
                <c:pt idx="21">
                  <c:v>0.69908055150631965</c:v>
                </c:pt>
                <c:pt idx="22">
                  <c:v>0.68821350921555213</c:v>
                </c:pt>
                <c:pt idx="23">
                  <c:v>0.67769690137248584</c:v>
                </c:pt>
                <c:pt idx="24">
                  <c:v>0.66752681786075629</c:v>
                </c:pt>
                <c:pt idx="25">
                  <c:v>0.65769867034335205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0.13806344333916323</c:v>
                </c:pt>
                <c:pt idx="1">
                  <c:v>0.33939247206960244</c:v>
                </c:pt>
                <c:pt idx="2">
                  <c:v>0.45108046493313542</c:v>
                </c:pt>
                <c:pt idx="3">
                  <c:v>0.54456330701833433</c:v>
                </c:pt>
                <c:pt idx="4">
                  <c:v>0.58176652937106299</c:v>
                </c:pt>
                <c:pt idx="5">
                  <c:v>0.60201956376251198</c:v>
                </c:pt>
                <c:pt idx="6">
                  <c:v>0.60930398863582202</c:v>
                </c:pt>
                <c:pt idx="7">
                  <c:v>0.6150705977379336</c:v>
                </c:pt>
                <c:pt idx="8">
                  <c:v>0.62273648765827894</c:v>
                </c:pt>
                <c:pt idx="9">
                  <c:v>0.63419493585052644</c:v>
                </c:pt>
                <c:pt idx="10">
                  <c:v>0.6500367596819987</c:v>
                </c:pt>
                <c:pt idx="11">
                  <c:v>0.66900982506149365</c:v>
                </c:pt>
                <c:pt idx="12">
                  <c:v>0.68240062519064448</c:v>
                </c:pt>
                <c:pt idx="13">
                  <c:v>0.68459135305064822</c:v>
                </c:pt>
                <c:pt idx="14">
                  <c:v>0.68470192644433914</c:v>
                </c:pt>
                <c:pt idx="15">
                  <c:v>0.68470599258264042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1.4895317206680789E-2</c:v>
                </c:pt>
                <c:pt idx="1">
                  <c:v>1.8889850928151968E-2</c:v>
                </c:pt>
                <c:pt idx="2">
                  <c:v>2.9464660387368547E-2</c:v>
                </c:pt>
                <c:pt idx="3">
                  <c:v>6.515643300082534E-2</c:v>
                </c:pt>
                <c:pt idx="4">
                  <c:v>9.895197914677728E-2</c:v>
                </c:pt>
                <c:pt idx="5">
                  <c:v>0.12809609379612771</c:v>
                </c:pt>
                <c:pt idx="6">
                  <c:v>0.15100784552615867</c:v>
                </c:pt>
                <c:pt idx="7">
                  <c:v>0.1648272031504586</c:v>
                </c:pt>
                <c:pt idx="8">
                  <c:v>0.18679901607383242</c:v>
                </c:pt>
                <c:pt idx="9">
                  <c:v>0.21124401406490065</c:v>
                </c:pt>
                <c:pt idx="10">
                  <c:v>0.23793661179925066</c:v>
                </c:pt>
                <c:pt idx="11">
                  <c:v>0.26506772933419792</c:v>
                </c:pt>
                <c:pt idx="12">
                  <c:v>0.28779186873816404</c:v>
                </c:pt>
                <c:pt idx="13">
                  <c:v>0.30395494120599398</c:v>
                </c:pt>
                <c:pt idx="14">
                  <c:v>0.31815148013506611</c:v>
                </c:pt>
                <c:pt idx="15">
                  <c:v>0.33138839834902833</c:v>
                </c:pt>
                <c:pt idx="16">
                  <c:v>0.34378530439003624</c:v>
                </c:pt>
                <c:pt idx="17">
                  <c:v>0.35540750113611963</c:v>
                </c:pt>
                <c:pt idx="18">
                  <c:v>0.36631230779456242</c:v>
                </c:pt>
                <c:pt idx="19">
                  <c:v>0.37655162451170038</c:v>
                </c:pt>
                <c:pt idx="20">
                  <c:v>0.38617267895234669</c:v>
                </c:pt>
                <c:pt idx="21">
                  <c:v>0.39521858971775636</c:v>
                </c:pt>
                <c:pt idx="22">
                  <c:v>0.40372883875695537</c:v>
                </c:pt>
                <c:pt idx="23">
                  <c:v>0.41173967250437943</c:v>
                </c:pt>
                <c:pt idx="24">
                  <c:v>0.41928444609048326</c:v>
                </c:pt>
                <c:pt idx="25">
                  <c:v>0.42639392128725845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5"/>
  <sheetViews>
    <sheetView tabSelected="1" topLeftCell="A52" zoomScaleNormal="100" workbookViewId="0">
      <selection activeCell="I65" sqref="I65"/>
    </sheetView>
  </sheetViews>
  <sheetFormatPr defaultRowHeight="13.2" outlineLevelRow="1" x14ac:dyDescent="0.25"/>
  <cols>
    <col min="2" max="2" width="12.44140625" customWidth="1"/>
    <col min="3" max="4" width="9.88671875" customWidth="1"/>
    <col min="5" max="9" width="15.6640625" customWidth="1"/>
    <col min="10" max="10" width="11.33203125" customWidth="1"/>
    <col min="11" max="11" width="10.109375" customWidth="1"/>
  </cols>
  <sheetData>
    <row r="1" spans="1:12" x14ac:dyDescent="0.25">
      <c r="A1" s="1" t="s">
        <v>31</v>
      </c>
      <c r="F1" t="s">
        <v>32</v>
      </c>
      <c r="G1" t="str">
        <f>[1]!unf_Version()</f>
        <v>7.31</v>
      </c>
      <c r="H1" t="s">
        <v>39</v>
      </c>
      <c r="I1" s="25">
        <v>44411</v>
      </c>
      <c r="J1" s="26"/>
      <c r="K1" s="26"/>
      <c r="L1" s="26"/>
    </row>
    <row r="2" spans="1:12" x14ac:dyDescent="0.25">
      <c r="A2" t="s">
        <v>53</v>
      </c>
      <c r="H2" t="s">
        <v>40</v>
      </c>
      <c r="I2" s="27">
        <v>7.31</v>
      </c>
      <c r="J2" s="26"/>
      <c r="K2" s="26"/>
      <c r="L2" s="26"/>
    </row>
    <row r="3" spans="1:12" ht="14.4" x14ac:dyDescent="0.3">
      <c r="A3" s="28" t="s">
        <v>41</v>
      </c>
      <c r="B3" s="38" t="s">
        <v>42</v>
      </c>
      <c r="C3" s="39"/>
      <c r="D3" s="39"/>
      <c r="E3" s="40"/>
      <c r="H3" t="s">
        <v>43</v>
      </c>
      <c r="I3" s="26" t="s">
        <v>42</v>
      </c>
      <c r="J3" s="26"/>
      <c r="K3" s="26"/>
      <c r="L3" s="26"/>
    </row>
    <row r="4" spans="1:12" ht="14.4" x14ac:dyDescent="0.3">
      <c r="A4" s="28" t="s">
        <v>44</v>
      </c>
      <c r="B4" s="38" t="s">
        <v>45</v>
      </c>
      <c r="C4" s="39"/>
      <c r="D4" s="39"/>
      <c r="E4" s="40"/>
      <c r="H4" t="s">
        <v>46</v>
      </c>
      <c r="I4" s="26" t="s">
        <v>45</v>
      </c>
      <c r="J4" s="26"/>
      <c r="K4" s="26"/>
      <c r="L4" s="26"/>
    </row>
    <row r="5" spans="1:12" ht="14.4" x14ac:dyDescent="0.3">
      <c r="A5" s="28" t="s">
        <v>47</v>
      </c>
      <c r="B5" s="38" t="s">
        <v>48</v>
      </c>
      <c r="C5" s="39"/>
      <c r="D5" s="39"/>
      <c r="E5" s="40"/>
      <c r="H5" t="s">
        <v>49</v>
      </c>
      <c r="I5" s="26" t="s">
        <v>48</v>
      </c>
      <c r="J5" s="26"/>
      <c r="K5" s="26"/>
      <c r="L5" s="26"/>
    </row>
    <row r="6" spans="1:12" x14ac:dyDescent="0.25">
      <c r="A6" s="29" t="s">
        <v>50</v>
      </c>
      <c r="B6" s="41" t="s">
        <v>51</v>
      </c>
      <c r="C6" s="42"/>
      <c r="D6" s="42"/>
      <c r="E6" s="43"/>
      <c r="H6" s="30" t="s">
        <v>52</v>
      </c>
      <c r="I6" s="31" t="s">
        <v>51</v>
      </c>
      <c r="J6" s="31"/>
      <c r="K6" s="31"/>
      <c r="L6" s="31"/>
    </row>
    <row r="7" spans="1:12" x14ac:dyDescent="0.25">
      <c r="A7" s="32"/>
      <c r="B7" s="44"/>
      <c r="C7" s="45"/>
      <c r="D7" s="45"/>
      <c r="E7" s="46"/>
      <c r="H7" s="30"/>
      <c r="I7" s="31"/>
      <c r="J7" s="31"/>
      <c r="K7" s="31"/>
      <c r="L7" s="31"/>
    </row>
    <row r="8" spans="1:12" x14ac:dyDescent="0.25">
      <c r="A8" s="33"/>
      <c r="B8" s="47"/>
      <c r="C8" s="48"/>
      <c r="D8" s="48"/>
      <c r="E8" s="49"/>
      <c r="H8" s="30"/>
      <c r="I8" s="31"/>
      <c r="J8" s="31"/>
      <c r="K8" s="31"/>
      <c r="L8" s="31"/>
    </row>
    <row r="10" spans="1:12" x14ac:dyDescent="0.25">
      <c r="A10" s="1" t="s">
        <v>7</v>
      </c>
    </row>
    <row r="11" spans="1:12" ht="16.8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6.8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6.8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6.8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6.8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5.6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5.6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5.6" outlineLevel="1" x14ac:dyDescent="0.35">
      <c r="B18" s="12" t="s">
        <v>22</v>
      </c>
      <c r="C18" s="2">
        <v>1.2</v>
      </c>
      <c r="D18" s="13" t="s">
        <v>1</v>
      </c>
    </row>
    <row r="19" spans="1:20" ht="15.6" outlineLevel="1" x14ac:dyDescent="0.35">
      <c r="B19" s="13" t="s">
        <v>23</v>
      </c>
      <c r="C19" s="2">
        <v>1</v>
      </c>
      <c r="D19" s="13" t="s">
        <v>28</v>
      </c>
    </row>
    <row r="20" spans="1:20" ht="15.6" x14ac:dyDescent="0.35">
      <c r="B20" s="13" t="s">
        <v>29</v>
      </c>
      <c r="C20" s="2">
        <v>0</v>
      </c>
      <c r="D20" s="13" t="s">
        <v>4</v>
      </c>
    </row>
    <row r="22" spans="1:20" x14ac:dyDescent="0.25">
      <c r="A22" s="1" t="s">
        <v>8</v>
      </c>
      <c r="B22" s="3"/>
      <c r="C22" s="4"/>
    </row>
    <row r="23" spans="1:20" ht="15.6" outlineLevel="1" x14ac:dyDescent="0.35">
      <c r="B23" s="13" t="s">
        <v>24</v>
      </c>
      <c r="C23" s="2">
        <v>130</v>
      </c>
      <c r="D23" s="13" t="s">
        <v>5</v>
      </c>
    </row>
    <row r="24" spans="1:20" ht="15.6" outlineLevel="1" x14ac:dyDescent="0.35">
      <c r="B24" s="13" t="s">
        <v>25</v>
      </c>
      <c r="C24" s="2">
        <v>100</v>
      </c>
      <c r="D24" s="13" t="s">
        <v>5</v>
      </c>
    </row>
    <row r="25" spans="1:20" ht="15.6" outlineLevel="1" x14ac:dyDescent="0.35">
      <c r="B25" s="13" t="s">
        <v>26</v>
      </c>
      <c r="C25" s="2">
        <v>30</v>
      </c>
      <c r="D25" s="13" t="s">
        <v>2</v>
      </c>
    </row>
    <row r="26" spans="1:20" ht="15.6" outlineLevel="1" x14ac:dyDescent="0.35">
      <c r="B26" s="13" t="s">
        <v>27</v>
      </c>
      <c r="C26" s="2">
        <v>80</v>
      </c>
      <c r="D26" s="13" t="s">
        <v>3</v>
      </c>
    </row>
    <row r="29" spans="1:20" x14ac:dyDescent="0.25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{"gamma_gas":0.9,"gamma_oil":0.875,"gamma_wat":1,"rsb_m3m3":80,"pb_atma":120,"t_res_C":120,"bob_m3m3":1.2,"muob_cP":1}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5"/>
    <row r="32" spans="1:20" x14ac:dyDescent="0.25">
      <c r="A32" t="s">
        <v>12</v>
      </c>
    </row>
    <row r="33" spans="1:10" outlineLevel="1" x14ac:dyDescent="0.25">
      <c r="A33" t="s">
        <v>9</v>
      </c>
    </row>
    <row r="34" spans="1:10" outlineLevel="1" x14ac:dyDescent="0.25"/>
    <row r="35" spans="1:10" outlineLevel="1" x14ac:dyDescent="0.25">
      <c r="F35" s="5">
        <v>0.8</v>
      </c>
      <c r="H35" s="19">
        <v>3</v>
      </c>
    </row>
    <row r="36" spans="1:10" ht="39.6" outlineLevel="1" x14ac:dyDescent="0.25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5"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{"gamma_gas":0.9,"gamma_oil":0.875,"gamma_wat":1,"rsb_m3m3":80,"pb_atma":120,"t_res_C":120,"bob_m3m3":1.2,"muob_cP":1,"q_liq_sm3day":1,"fw_perc":0,"rp_m3m3":80}</v>
      </c>
      <c r="E37" s="34" cm="1">
        <f t="array" ref="E37">[1]!well_ksep_natural_d(D37,Pintake_,Tintake_,Dintake_,Dcas_)</f>
        <v>0.9823004685873612</v>
      </c>
      <c r="F37" s="34" cm="1">
        <f t="array" ref="F37">[1]!well_ksep_natural_d(D37,Pintake_,Tintake_,Dintake_,Dcas_*cf_dcas_)</f>
        <v>0.92624104984319366</v>
      </c>
      <c r="G37" s="34" cm="1">
        <f t="array" ref="G37">[1]!feed_gas_fraction_d(Pintake_,Tintake_,D37,F37)</f>
        <v>0.13806344333916323</v>
      </c>
      <c r="H37" s="34" cm="1">
        <f t="array" ref="H37">[1]!ESP_gassep_ksep_d(gassep_type,G37,B37)</f>
        <v>0.60661578400608906</v>
      </c>
      <c r="I37" s="34" cm="1">
        <f t="array" ref="I37">[1]!well_ksep_total_d(E37,H37)</f>
        <v>0.99303728371177946</v>
      </c>
      <c r="J37" s="34" cm="1">
        <f t="array" ref="J37">[1]!feed_gas_fraction_d(Pintake_,Tintake_,D37,I37)</f>
        <v>1.4895317206680789E-2</v>
      </c>
    </row>
    <row r="38" spans="1:10" outlineLevel="1" x14ac:dyDescent="0.25"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{"gamma_gas":0.9,"gamma_oil":0.875,"gamma_wat":1,"rsb_m3m3":80,"pb_atma":120,"t_res_C":120,"bob_m3m3":1.2,"muob_cP":1,"q_liq_sm3day":5,"fw_perc":0,"rp_m3m3":80}</v>
      </c>
      <c r="E38" s="34" cm="1">
        <f t="array" ref="E38">[1]!well_ksep_natural_d(D38,Pintake_,Tintake_,Dintake_,Dcas_)</f>
        <v>0.95320858832379007</v>
      </c>
      <c r="F38" s="34" cm="1">
        <f t="array" ref="F38">[1]!well_ksep_natural_d(D38,Pintake_,Tintake_,Dintake_,Dcas_*cf_dcas_)</f>
        <v>0.76342436564349569</v>
      </c>
      <c r="G38" s="34" cm="1">
        <f t="array" ref="G38">[1]!feed_gas_fraction_d(Pintake_,Tintake_,D38,F38)</f>
        <v>0.33939247206960244</v>
      </c>
      <c r="H38" s="34" cm="1">
        <f t="array" ref="H38">[1]!ESP_gassep_ksep_d(gassep_type,G38,B38)</f>
        <v>0.81052324385133934</v>
      </c>
      <c r="I38" s="34" cm="1">
        <f t="array" ref="I38">[1]!well_ksep_total_d(E38,H38)</f>
        <v>0.99113411509997518</v>
      </c>
      <c r="J38" s="34" cm="1">
        <f t="array" ref="J38">[1]!feed_gas_fraction_d(Pintake_,Tintake_,D38,I38)</f>
        <v>1.8889850928151968E-2</v>
      </c>
    </row>
    <row r="39" spans="1:10" outlineLevel="1" x14ac:dyDescent="0.25">
      <c r="B39" s="15">
        <v>10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{"gamma_gas":0.9,"gamma_oil":0.875,"gamma_wat":1,"rsb_m3m3":80,"pb_atma":120,"t_res_C":120,"bob_m3m3":1.2,"muob_cP":1,"q_liq_sm3day":10,"fw_perc":0,"rp_m3m3":80}</v>
      </c>
      <c r="E39" s="34" cm="1">
        <f t="array" ref="E39">[1]!well_ksep_natural_d(D39,Pintake_,Tintake_,Dintake_,Dcas_)</f>
        <v>0.91606382866388181</v>
      </c>
      <c r="F39" s="34" cm="1">
        <f t="array" ref="F39">[1]!well_ksep_natural_d(D39,Pintake_,Tintake_,Dintake_,Dcas_*cf_dcas_)</f>
        <v>0.62159518053556484</v>
      </c>
      <c r="G39" s="34" cm="1">
        <f t="array" ref="G39">[1]!feed_gas_fraction_d(Pintake_,Tintake_,D39,F39)</f>
        <v>0.45108046493313542</v>
      </c>
      <c r="H39" s="34" cm="1">
        <f t="array" ref="H39">[1]!ESP_gassep_ksep_d(gassep_type,G39,B39)</f>
        <v>0.83344707773239657</v>
      </c>
      <c r="I39" s="34" cm="1">
        <f t="array" ref="I39">[1]!well_ksep_total_d(E39,H39)</f>
        <v>0.98602018538001523</v>
      </c>
      <c r="J39" s="34" cm="1">
        <f t="array" ref="J39">[1]!feed_gas_fraction_d(Pintake_,Tintake_,D39,I39)</f>
        <v>2.9464660387368547E-2</v>
      </c>
    </row>
    <row r="40" spans="1:10" outlineLevel="1" x14ac:dyDescent="0.25">
      <c r="B40" s="15">
        <v>20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{"gamma_gas":0.9,"gamma_oil":0.875,"gamma_wat":1,"rsb_m3m3":80,"pb_atma":120,"t_res_C":120,"bob_m3m3":1.2,"muob_cP":1,"q_liq_sm3day":20,"fw_perc":0,"rp_m3m3":80}</v>
      </c>
      <c r="E40" s="34" cm="1">
        <f t="array" ref="E40">[1]!well_ksep_natural_d(D40,Pintake_,Tintake_,Dintake_,Dcas_)</f>
        <v>0.8564378925572409</v>
      </c>
      <c r="F40" s="34" cm="1">
        <f t="array" ref="F40">[1]!well_ksep_natural_d(D40,Pintake_,Tintake_,Dintake_,Dcas_*cf_dcas_)</f>
        <v>0.44940573412325513</v>
      </c>
      <c r="G40" s="34" cm="1">
        <f t="array" ref="G40">[1]!feed_gas_fraction_d(Pintake_,Tintake_,D40,F40)</f>
        <v>0.54456330701833433</v>
      </c>
      <c r="H40" s="34" cm="1">
        <f t="array" ref="H40">[1]!ESP_gassep_ksep_d(gassep_type,G40,B40)</f>
        <v>0.77644218390317443</v>
      </c>
      <c r="I40" s="34" cm="1">
        <f t="array" ref="I40">[1]!well_ksep_total_d(E40,H40)</f>
        <v>0.96790556878583889</v>
      </c>
      <c r="J40" s="34" cm="1">
        <f t="array" ref="J40">[1]!feed_gas_fraction_d(Pintake_,Tintake_,D40,I40)</f>
        <v>6.515643300082534E-2</v>
      </c>
    </row>
    <row r="41" spans="1:10" outlineLevel="1" x14ac:dyDescent="0.25">
      <c r="B41" s="15">
        <v>30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{"gamma_gas":0.9,"gamma_oil":0.875,"gamma_wat":1,"rsb_m3m3":80,"pb_atma":120,"t_res_C":120,"bob_m3m3":1.2,"muob_cP":1,"q_liq_sm3day":30,"fw_perc":0,"rp_m3m3":80}</v>
      </c>
      <c r="E41" s="34" cm="1">
        <f t="array" ref="E41">[1]!well_ksep_natural_d(D41,Pintake_,Tintake_,Dintake_,Dcas_)</f>
        <v>0.80476285566960304</v>
      </c>
      <c r="F41" s="34" cm="1">
        <f t="array" ref="F41">[1]!well_ksep_natural_d(D41,Pintake_,Tintake_,Dintake_,Dcas_*cf_dcas_)</f>
        <v>0.35946734986566042</v>
      </c>
      <c r="G41" s="34" cm="1">
        <f t="array" ref="G41">[1]!feed_gas_fraction_d(Pintake_,Tintake_,D41,F41)</f>
        <v>0.58176652937106299</v>
      </c>
      <c r="H41" s="34" cm="1">
        <f t="array" ref="H41">[1]!ESP_gassep_ksep_d(gassep_type,G41,B41)</f>
        <v>0.74098469457917493</v>
      </c>
      <c r="I41" s="34" cm="1">
        <f t="array" ref="I41">[1]!well_ksep_total_d(E41,H41)</f>
        <v>0.94943059143177255</v>
      </c>
      <c r="J41" s="34" cm="1">
        <f t="array" ref="J41">[1]!feed_gas_fraction_d(Pintake_,Tintake_,D41,I41)</f>
        <v>9.895197914677728E-2</v>
      </c>
    </row>
    <row r="42" spans="1:10" outlineLevel="1" x14ac:dyDescent="0.25">
      <c r="B42" s="15">
        <v>40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{"gamma_gas":0.9,"gamma_oil":0.875,"gamma_wat":1,"rsb_m3m3":80,"pb_atma":120,"t_res_C":120,"bob_m3m3":1.2,"muob_cP":1,"q_liq_sm3day":40,"fw_perc":0,"rp_m3m3":80}</v>
      </c>
      <c r="E42" s="34" cm="1">
        <f t="array" ref="E42">[1]!well_ksep_natural_d(D42,Pintake_,Tintake_,Dintake_,Dcas_)</f>
        <v>0.75890202452340672</v>
      </c>
      <c r="F42" s="34" cm="1">
        <f t="array" ref="F42">[1]!well_ksep_natural_d(D42,Pintake_,Tintake_,Dintake_,Dcas_*cf_dcas_)</f>
        <v>0.30343731185425904</v>
      </c>
      <c r="G42" s="34" cm="1">
        <f t="array" ref="G42">[1]!feed_gas_fraction_d(Pintake_,Tintake_,D42,F42)</f>
        <v>0.60201956376251198</v>
      </c>
      <c r="H42" s="34" cm="1">
        <f t="array" ref="H42">[1]!ESP_gassep_ksep_d(gassep_type,G42,B42)</f>
        <v>0.71940170616663413</v>
      </c>
      <c r="I42" s="34" cm="1">
        <f t="array" ref="I42">[1]!well_ksep_total_d(E42,H42)</f>
        <v>0.93234831943458918</v>
      </c>
      <c r="J42" s="34" cm="1">
        <f t="array" ref="J42">[1]!feed_gas_fraction_d(Pintake_,Tintake_,D42,I42)</f>
        <v>0.12809609379612771</v>
      </c>
    </row>
    <row r="43" spans="1:10" outlineLevel="1" x14ac:dyDescent="0.25">
      <c r="B43" s="15">
        <v>50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{"gamma_gas":0.9,"gamma_oil":0.875,"gamma_wat":1,"rsb_m3m3":80,"pb_atma":120,"t_res_C":120,"bob_m3m3":1.2,"muob_cP":1,"q_liq_sm3day":50,"fw_perc":0,"rp_m3m3":80}</v>
      </c>
      <c r="E43" s="34" cm="1">
        <f t="array" ref="E43">[1]!well_ksep_natural_d(D43,Pintake_,Tintake_,Dintake_,Dcas_)</f>
        <v>0.71769196466462959</v>
      </c>
      <c r="F43" s="34" cm="1">
        <f t="array" ref="F43">[1]!well_ksep_natural_d(D43,Pintake_,Tintake_,Dintake_,Dcas_*cf_dcas_)</f>
        <v>0.28186454281514006</v>
      </c>
      <c r="G43" s="34" cm="1">
        <f t="array" ref="G43">[1]!feed_gas_fraction_d(Pintake_,Tintake_,D43,F43)</f>
        <v>0.60930398863582202</v>
      </c>
      <c r="H43" s="34" cm="1">
        <f t="array" ref="H43">[1]!ESP_gassep_ksep_d(gassep_type,G43,B43)</f>
        <v>0.70987582314212938</v>
      </c>
      <c r="I43" s="34" cm="1">
        <f t="array" ref="I43">[1]!well_ksep_total_d(E43,H43)</f>
        <v>0.91809561362796299</v>
      </c>
      <c r="J43" s="34" cm="1">
        <f t="array" ref="J43">[1]!feed_gas_fraction_d(Pintake_,Tintake_,D43,I43)</f>
        <v>0.15100784552615867</v>
      </c>
    </row>
    <row r="44" spans="1:10" outlineLevel="1" x14ac:dyDescent="0.25">
      <c r="B44" s="15">
        <v>60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{"gamma_gas":0.9,"gamma_oil":0.875,"gamma_wat":1,"rsb_m3m3":80,"pb_atma":120,"t_res_C":120,"bob_m3m3":1.2,"muob_cP":1,"q_liq_sm3day":60,"fw_perc":0,"rp_m3m3":80}</v>
      </c>
      <c r="E44" s="34" cm="1">
        <f t="array" ref="E44">[1]!well_ksep_natural_d(D44,Pintake_,Tintake_,Dintake_,Dcas_)</f>
        <v>0.69748948022710733</v>
      </c>
      <c r="F44" s="34" cm="1">
        <f t="array" ref="F44">[1]!well_ksep_natural_d(D44,Pintake_,Tintake_,Dintake_,Dcas_*cf_dcas_)</f>
        <v>0.26420775179821998</v>
      </c>
      <c r="G44" s="34" cm="1">
        <f t="array" ref="G44">[1]!feed_gas_fraction_d(Pintake_,Tintake_,D44,F44)</f>
        <v>0.6150705977379336</v>
      </c>
      <c r="H44" s="34" cm="1">
        <f t="array" ref="H44">[1]!ESP_gassep_ksep_d(gassep_type,G44,B44)</f>
        <v>0.69958376843578951</v>
      </c>
      <c r="I44" s="34" cm="1">
        <f t="array" ref="I44">[1]!well_ksep_total_d(E44,H44)</f>
        <v>0.90912092964129698</v>
      </c>
      <c r="J44" s="34" cm="1">
        <f t="array" ref="J44">[1]!feed_gas_fraction_d(Pintake_,Tintake_,D44,I44)</f>
        <v>0.1648272031504586</v>
      </c>
    </row>
    <row r="45" spans="1:10" outlineLevel="1" x14ac:dyDescent="0.25">
      <c r="B45" s="15">
        <v>70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{"gamma_gas":0.9,"gamma_oil":0.875,"gamma_wat":1,"rsb_m3m3":80,"pb_atma":120,"t_res_C":120,"bob_m3m3":1.2,"muob_cP":1,"q_liq_sm3day":70,"fw_perc":0,"rp_m3m3":80}</v>
      </c>
      <c r="E45" s="34" cm="1">
        <f t="array" ref="E45">[1]!well_ksep_natural_d(D45,Pintake_,Tintake_,Dintake_,Dcas_)</f>
        <v>0.66467091985625082</v>
      </c>
      <c r="F45" s="34" cm="1">
        <f t="array" ref="F45">[1]!well_ksep_natural_d(D45,Pintake_,Tintake_,Dintake_,Dcas_*cf_dcas_)</f>
        <v>0.23989981961210294</v>
      </c>
      <c r="G45" s="34" cm="1">
        <f t="array" ref="G45">[1]!feed_gas_fraction_d(Pintake_,Tintake_,D45,F45)</f>
        <v>0.62273648765827894</v>
      </c>
      <c r="H45" s="34" cm="1">
        <f t="array" ref="H45">[1]!ESP_gassep_ksep_d(gassep_type,G45,B45)</f>
        <v>0.68455997550993841</v>
      </c>
      <c r="I45" s="34" cm="1">
        <f t="array" ref="I45">[1]!well_ksep_total_d(E45,H45)</f>
        <v>0.89422378674722591</v>
      </c>
      <c r="J45" s="34" cm="1">
        <f t="array" ref="J45">[1]!feed_gas_fraction_d(Pintake_,Tintake_,D45,I45)</f>
        <v>0.18679901607383242</v>
      </c>
    </row>
    <row r="46" spans="1:10" outlineLevel="1" x14ac:dyDescent="0.25">
      <c r="B46" s="15">
        <v>80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{"gamma_gas":0.9,"gamma_oil":0.875,"gamma_wat":1,"rsb_m3m3":80,"pb_atma":120,"t_res_C":120,"bob_m3m3":1.2,"muob_cP":1,"q_liq_sm3day":80,"fw_perc":0,"rp_m3m3":80}</v>
      </c>
      <c r="E46" s="34" cm="1">
        <f t="array" ref="E46">[1]!well_ksep_natural_d(D46,Pintake_,Tintake_,Dintake_,Dcas_)</f>
        <v>0.63452930307525057</v>
      </c>
      <c r="F46" s="34" cm="1">
        <f t="array" ref="F46">[1]!well_ksep_natural_d(D46,Pintake_,Tintake_,Dintake_,Dcas_*cf_dcas_)</f>
        <v>0.20166644652451549</v>
      </c>
      <c r="G46" s="34" cm="1">
        <f t="array" ref="G46">[1]!feed_gas_fraction_d(Pintake_,Tintake_,D46,F46)</f>
        <v>0.63419493585052644</v>
      </c>
      <c r="H46" s="34" cm="1">
        <f t="array" ref="H46">[1]!ESP_gassep_ksep_d(gassep_type,G46,B46)</f>
        <v>0.66255693407910388</v>
      </c>
      <c r="I46" s="34" cm="1">
        <f t="array" ref="I46">[1]!well_ksep_total_d(E46,H46)</f>
        <v>0.87667444752546597</v>
      </c>
      <c r="J46" s="34" cm="1">
        <f t="array" ref="J46">[1]!feed_gas_fraction_d(Pintake_,Tintake_,D46,I46)</f>
        <v>0.21124401406490065</v>
      </c>
    </row>
    <row r="47" spans="1:10" outlineLevel="1" x14ac:dyDescent="0.25">
      <c r="B47" s="15">
        <v>90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{"gamma_gas":0.9,"gamma_oil":0.875,"gamma_wat":1,"rsb_m3m3":80,"pb_atma":120,"t_res_C":120,"bob_m3m3":1.2,"muob_cP":1,"q_liq_sm3day":90,"fw_perc":0,"rp_m3m3":80}</v>
      </c>
      <c r="E47" s="34" cm="1">
        <f t="array" ref="E47">[1]!well_ksep_natural_d(D47,Pintake_,Tintake_,Dintake_,Dcas_)</f>
        <v>0.60677272820582262</v>
      </c>
      <c r="F47" s="34" cm="1">
        <f t="array" ref="F47">[1]!well_ksep_natural_d(D47,Pintake_,Tintake_,Dintake_,Dcas_*cf_dcas_)</f>
        <v>0.1446835707171239</v>
      </c>
      <c r="G47" s="34" cm="1">
        <f t="array" ref="G47">[1]!feed_gas_fraction_d(Pintake_,Tintake_,D47,F47)</f>
        <v>0.6500367596819987</v>
      </c>
      <c r="H47" s="34" cm="1">
        <f t="array" ref="H47">[1]!ESP_gassep_ksep_d(gassep_type,G47,B47)</f>
        <v>0.63437332587988704</v>
      </c>
      <c r="I47" s="34" cm="1">
        <f t="array" ref="I47">[1]!well_ksep_total_d(E47,H47)</f>
        <v>0.85622562044056916</v>
      </c>
      <c r="J47" s="34" cm="1">
        <f t="array" ref="J47">[1]!feed_gas_fraction_d(Pintake_,Tintake_,D47,I47)</f>
        <v>0.23793661179925066</v>
      </c>
    </row>
    <row r="48" spans="1:10" outlineLevel="1" x14ac:dyDescent="0.25">
      <c r="B48" s="15">
        <v>100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{"gamma_gas":0.9,"gamma_oil":0.875,"gamma_wat":1,"rsb_m3m3":80,"pb_atma":120,"t_res_C":120,"bob_m3m3":1.2,"muob_cP":1,"q_liq_sm3day":100,"fw_perc":0,"rp_m3m3":80}</v>
      </c>
      <c r="E48" s="34" cm="1">
        <f t="array" ref="E48">[1]!well_ksep_natural_d(D48,Pintake_,Tintake_,Dintake_,Dcas_)</f>
        <v>0.58116222276926444</v>
      </c>
      <c r="F48" s="34" cm="1">
        <f t="array" ref="F48">[1]!well_ksep_natural_d(D48,Pintake_,Tintake_,Dintake_,Dcas_*cf_dcas_)</f>
        <v>6.9259268974782628E-2</v>
      </c>
      <c r="G48" s="34" cm="1">
        <f t="array" ref="G48">[1]!feed_gas_fraction_d(Pintake_,Tintake_,D48,F48)</f>
        <v>0.66900982506149365</v>
      </c>
      <c r="H48" s="34" cm="1">
        <f t="array" ref="H48">[1]!ESP_gassep_ksep_d(gassep_type,G48,B48)</f>
        <v>0.60347093991274448</v>
      </c>
      <c r="I48" s="34" cm="1">
        <f t="array" ref="I48">[1]!well_ksep_total_d(E48,H48)</f>
        <v>0.83391864986566111</v>
      </c>
      <c r="J48" s="34" cm="1">
        <f t="array" ref="J48">[1]!feed_gas_fraction_d(Pintake_,Tintake_,D48,I48)</f>
        <v>0.26506772933419792</v>
      </c>
    </row>
    <row r="49" spans="2:10" outlineLevel="1" x14ac:dyDescent="0.25">
      <c r="B49" s="15">
        <v>110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{"gamma_gas":0.9,"gamma_oil":0.875,"gamma_wat":1,"rsb_m3m3":80,"pb_atma":120,"t_res_C":120,"bob_m3m3":1.2,"muob_cP":1,"q_liq_sm3day":110,"fw_perc":0,"rp_m3m3":80}</v>
      </c>
      <c r="E49" s="34" cm="1">
        <f t="array" ref="E49">[1]!well_ksep_natural_d(D49,Pintake_,Tintake_,Dintake_,Dcas_)</f>
        <v>0.55749739000635312</v>
      </c>
      <c r="F49" s="34" cm="1">
        <f t="array" ref="F49">[1]!well_ksep_natural_d(D49,Pintake_,Tintake_,Dintake_,Dcas_*cf_dcas_)</f>
        <v>1.0601827898565119E-2</v>
      </c>
      <c r="G49" s="34" cm="1">
        <f t="array" ref="G49">[1]!feed_gas_fraction_d(Pintake_,Tintake_,D49,F49)</f>
        <v>0.68240062519064448</v>
      </c>
      <c r="H49" s="34" cm="1">
        <f t="array" ref="H49">[1]!ESP_gassep_ksep_d(gassep_type,G49,B49)</f>
        <v>0.57949895307741561</v>
      </c>
      <c r="I49" s="34" cm="1">
        <f t="array" ref="I49">[1]!well_ksep_total_d(E49,H49)</f>
        <v>0.81392718923169549</v>
      </c>
      <c r="J49" s="34" cm="1">
        <f t="array" ref="J49">[1]!feed_gas_fraction_d(Pintake_,Tintake_,D49,I49)</f>
        <v>0.28779186873816404</v>
      </c>
    </row>
    <row r="50" spans="2:10" outlineLevel="1" x14ac:dyDescent="0.25">
      <c r="B50" s="15">
        <v>120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{"gamma_gas":0.9,"gamma_oil":0.875,"gamma_wat":1,"rsb_m3m3":80,"pb_atma":120,"t_res_C":120,"bob_m3m3":1.2,"muob_cP":1,"q_liq_sm3day":120,"fw_perc":0,"rp_m3m3":80}</v>
      </c>
      <c r="E50" s="34" cm="1">
        <f t="array" ref="E50">[1]!well_ksep_natural_d(D50,Pintake_,Tintake_,Dintake_,Dcas_)</f>
        <v>0.53560696397888741</v>
      </c>
      <c r="F50" s="34" cm="1">
        <f t="array" ref="F50">[1]!well_ksep_natural_d(D50,Pintake_,Tintake_,Dintake_,Dcas_*cf_dcas_)</f>
        <v>5.3143248193698867E-4</v>
      </c>
      <c r="G50" s="34" cm="1">
        <f t="array" ref="G50">[1]!feed_gas_fraction_d(Pintake_,Tintake_,D50,F50)</f>
        <v>0.68459135305064822</v>
      </c>
      <c r="H50" s="34" cm="1">
        <f t="array" ref="H50">[1]!ESP_gassep_ksep_d(gassep_type,G50,B50)</f>
        <v>0.56699044376233831</v>
      </c>
      <c r="I50" s="34" cm="1">
        <f t="array" ref="I50">[1]!well_ksep_total_d(E50,H50)</f>
        <v>0.79891337755263758</v>
      </c>
      <c r="J50" s="34" cm="1">
        <f t="array" ref="J50">[1]!feed_gas_fraction_d(Pintake_,Tintake_,D50,I50)</f>
        <v>0.30395494120599398</v>
      </c>
    </row>
    <row r="51" spans="2:10" outlineLevel="1" x14ac:dyDescent="0.25">
      <c r="B51" s="15">
        <v>130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{"gamma_gas":0.9,"gamma_oil":0.875,"gamma_wat":1,"rsb_m3m3":80,"pb_atma":120,"t_res_C":120,"bob_m3m3":1.2,"muob_cP":1,"q_liq_sm3day":130,"fw_perc":0,"rp_m3m3":80}</v>
      </c>
      <c r="E51" s="34" cm="1">
        <f t="array" ref="E51">[1]!well_ksep_natural_d(D51,Pintake_,Tintake_,Dintake_,Dcas_)</f>
        <v>0.51534231385572227</v>
      </c>
      <c r="F51" s="34" cm="1">
        <f t="array" ref="F51">[1]!well_ksep_natural_d(D51,Pintake_,Tintake_,Dintake_,Dcas_*cf_dcas_)</f>
        <v>1.9435910305176662E-5</v>
      </c>
      <c r="G51" s="34" cm="1">
        <f t="array" ref="G51">[1]!feed_gas_fraction_d(Pintake_,Tintake_,D51,F51)</f>
        <v>0.68470192644433914</v>
      </c>
      <c r="H51" s="34" cm="1">
        <f t="array" ref="H51">[1]!ESP_gassep_ksep_d(gassep_type,G51,B51)</f>
        <v>0.55667495392558275</v>
      </c>
      <c r="I51" s="34" cm="1">
        <f t="array" ref="I51">[1]!well_ksep_total_d(E51,H51)</f>
        <v>0.78513910895976768</v>
      </c>
      <c r="J51" s="34" cm="1">
        <f t="array" ref="J51">[1]!feed_gas_fraction_d(Pintake_,Tintake_,D51,I51)</f>
        <v>0.31815148013506611</v>
      </c>
    </row>
    <row r="52" spans="2:10" outlineLevel="1" x14ac:dyDescent="0.25">
      <c r="B52" s="15">
        <v>140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{"gamma_gas":0.9,"gamma_oil":0.875,"gamma_wat":1,"rsb_m3m3":80,"pb_atma":120,"t_res_C":120,"bob_m3m3":1.2,"muob_cP":1,"q_liq_sm3day":140,"fw_perc":0,"rp_m3m3":80}</v>
      </c>
      <c r="E52" s="34" cm="1">
        <f t="array" ref="E52">[1]!well_ksep_natural_d(D52,Pintake_,Tintake_,Dintake_,Dcas_)</f>
        <v>0.49657281411986087</v>
      </c>
      <c r="F52" s="34" cm="1">
        <f t="array" ref="F52">[1]!well_ksep_natural_d(D52,Pintake_,Tintake_,Dintake_,Dcas_*cf_dcas_)</f>
        <v>6.0130867396424037E-7</v>
      </c>
      <c r="G52" s="34" cm="1">
        <f t="array" ref="G52">[1]!feed_gas_fraction_d(Pintake_,Tintake_,D52,F52)</f>
        <v>0.68470599258264042</v>
      </c>
      <c r="H52" s="34" cm="1">
        <f t="array" ref="H52">[1]!ESP_gassep_ksep_d(gassep_type,G52,B52)</f>
        <v>0.54664537156192483</v>
      </c>
      <c r="I52" s="34" cm="1">
        <f t="array" ref="I52">[1]!well_ksep_total_d(E52,H52)</f>
        <v>0.7717689551996838</v>
      </c>
      <c r="J52" s="34" cm="1">
        <f t="array" ref="J52">[1]!feed_gas_fraction_d(Pintake_,Tintake_,D52,I52)</f>
        <v>0.33138839834902833</v>
      </c>
    </row>
    <row r="53" spans="2:10" outlineLevel="1" x14ac:dyDescent="0.25">
      <c r="B53" s="15">
        <v>150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{"gamma_gas":0.9,"gamma_oil":0.875,"gamma_wat":1,"rsb_m3m3":80,"pb_atma":120,"t_res_C":120,"bob_m3m3":1.2,"muob_cP":1,"q_liq_sm3day":150,"fw_perc":0,"rp_m3m3":80}</v>
      </c>
      <c r="E53" s="34" cm="1">
        <f t="array" ref="E53">[1]!well_ksep_natural_d(D53,Pintake_,Tintake_,Dintake_,Dcas_)</f>
        <v>0.47918244594263104</v>
      </c>
      <c r="F53" s="34" cm="1">
        <f t="array" ref="F53">[1]!well_ksep_natural_d(D53,Pintake_,Tintake_,Dintake_,Dcas_*cf_dcas_)</f>
        <v>0</v>
      </c>
      <c r="G53" s="34" cm="1">
        <f t="array" ref="G53">[1]!feed_gas_fraction_d(Pintake_,Tintake_,D53,F53)</f>
        <v>0.68470612239540407</v>
      </c>
      <c r="H53" s="34" cm="1">
        <f t="array" ref="H53">[1]!ESP_gassep_ksep_d(gassep_type,G53,B53)</f>
        <v>0.5368015802508338</v>
      </c>
      <c r="I53" s="34" cm="1">
        <f t="array" ref="I53">[1]!well_ksep_total_d(E53,H53)</f>
        <v>0.75875813198300079</v>
      </c>
      <c r="J53" s="34" cm="1">
        <f t="array" ref="J53">[1]!feed_gas_fraction_d(Pintake_,Tintake_,D53,I53)</f>
        <v>0.34378530439003624</v>
      </c>
    </row>
    <row r="54" spans="2:10" outlineLevel="1" x14ac:dyDescent="0.25">
      <c r="B54" s="15">
        <v>160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{"gamma_gas":0.9,"gamma_oil":0.875,"gamma_wat":1,"rsb_m3m3":80,"pb_atma":120,"t_res_C":120,"bob_m3m3":1.2,"muob_cP":1,"q_liq_sm3day":160,"fw_perc":0,"rp_m3m3":80}</v>
      </c>
      <c r="E54" s="34" cm="1">
        <f t="array" ref="E54">[1]!well_ksep_natural_d(D54,Pintake_,Tintake_,Dintake_,Dcas_)</f>
        <v>0.4630672396933595</v>
      </c>
      <c r="F54" s="34" cm="1">
        <f t="array" ref="F54">[1]!well_ksep_natural_d(D54,Pintake_,Tintake_,Dintake_,Dcas_*cf_dcas_)</f>
        <v>0</v>
      </c>
      <c r="G54" s="34" cm="1">
        <f t="array" ref="G54">[1]!feed_gas_fraction_d(Pintake_,Tintake_,D54,F54)</f>
        <v>0.68470612239540418</v>
      </c>
      <c r="H54" s="34" cm="1">
        <f t="array" ref="H54">[1]!ESP_gassep_ksep_d(gassep_type,G54,B54)</f>
        <v>0.5271397950601121</v>
      </c>
      <c r="I54" s="34" cm="1">
        <f t="array" ref="I54">[1]!well_ksep_total_d(E54,H54)</f>
        <v>0.74610586492246234</v>
      </c>
      <c r="J54" s="34" cm="1">
        <f t="array" ref="J54">[1]!feed_gas_fraction_d(Pintake_,Tintake_,D54,I54)</f>
        <v>0.35540750113611963</v>
      </c>
    </row>
    <row r="55" spans="2:10" outlineLevel="1" x14ac:dyDescent="0.25">
      <c r="B55" s="15">
        <v>170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{"gamma_gas":0.9,"gamma_oil":0.875,"gamma_wat":1,"rsb_m3m3":80,"pb_atma":120,"t_res_C":120,"bob_m3m3":1.2,"muob_cP":1,"q_liq_sm3day":170,"fw_perc":0,"rp_m3m3":80}</v>
      </c>
      <c r="E55" s="34" cm="1">
        <f t="array" ref="E55">[1]!well_ksep_natural_d(D55,Pintake_,Tintake_,Dintake_,Dcas_)</f>
        <v>0.44813330925273753</v>
      </c>
      <c r="F55" s="34" cm="1">
        <f t="array" ref="F55">[1]!well_ksep_natural_d(D55,Pintake_,Tintake_,Dintake_,Dcas_*cf_dcas_)</f>
        <v>0</v>
      </c>
      <c r="G55" s="34" cm="1">
        <f t="array" ref="G55">[1]!feed_gas_fraction_d(Pintake_,Tintake_,D55,F55)</f>
        <v>0.68470612239540418</v>
      </c>
      <c r="H55" s="34" cm="1">
        <f t="array" ref="H55">[1]!ESP_gassep_ksep_d(gassep_type,G55,B55)</f>
        <v>0.51765988426939169</v>
      </c>
      <c r="I55" s="34" cm="1">
        <f t="array" ref="I55">[1]!well_ksep_total_d(E55,H55)</f>
        <v>0.73381255651709765</v>
      </c>
      <c r="J55" s="34" cm="1">
        <f t="array" ref="J55">[1]!feed_gas_fraction_d(Pintake_,Tintake_,D55,I55)</f>
        <v>0.36631230779456242</v>
      </c>
    </row>
    <row r="56" spans="2:10" outlineLevel="1" x14ac:dyDescent="0.25">
      <c r="B56" s="15">
        <v>180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{"gamma_gas":0.9,"gamma_oil":0.875,"gamma_wat":1,"rsb_m3m3":80,"pb_atma":120,"t_res_C":120,"bob_m3m3":1.2,"muob_cP":1,"q_liq_sm3day":180,"fw_perc":0,"rp_m3m3":80}</v>
      </c>
      <c r="E56" s="34" cm="1">
        <f t="array" ref="E56">[1]!well_ksep_natural_d(D56,Pintake_,Tintake_,Dintake_,Dcas_)</f>
        <v>0.43429531330970272</v>
      </c>
      <c r="F56" s="34" cm="1">
        <f t="array" ref="F56">[1]!well_ksep_natural_d(D56,Pintake_,Tintake_,Dintake_,Dcas_*cf_dcas_)</f>
        <v>0</v>
      </c>
      <c r="G56" s="34" cm="1">
        <f t="array" ref="G56">[1]!feed_gas_fraction_d(Pintake_,Tintake_,D56,F56)</f>
        <v>0.68470612239540407</v>
      </c>
      <c r="H56" s="34" cm="1">
        <f t="array" ref="H56">[1]!ESP_gassep_ksep_d(gassep_type,G56,B56)</f>
        <v>0.50836184787867267</v>
      </c>
      <c r="I56" s="34" cm="1">
        <f t="array" ref="I56">[1]!well_ksep_total_d(E56,H56)</f>
        <v>0.72187799318920787</v>
      </c>
      <c r="J56" s="34" cm="1">
        <f t="array" ref="J56">[1]!feed_gas_fraction_d(Pintake_,Tintake_,D56,I56)</f>
        <v>0.37655162451170038</v>
      </c>
    </row>
    <row r="57" spans="2:10" outlineLevel="1" x14ac:dyDescent="0.25">
      <c r="B57" s="15">
        <v>190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{"gamma_gas":0.9,"gamma_oil":0.875,"gamma_wat":1,"rsb_m3m3":80,"pb_atma":120,"t_res_C":120,"bob_m3m3":1.2,"muob_cP":1,"q_liq_sm3day":190,"fw_perc":0,"rp_m3m3":80}</v>
      </c>
      <c r="E57" s="34" cm="1">
        <f t="array" ref="E57">[1]!well_ksep_natural_d(D57,Pintake_,Tintake_,Dintake_,Dcas_)</f>
        <v>0.42147523150726562</v>
      </c>
      <c r="F57" s="34" cm="1">
        <f t="array" ref="F57">[1]!well_ksep_natural_d(D57,Pintake_,Tintake_,Dintake_,Dcas_*cf_dcas_)</f>
        <v>0</v>
      </c>
      <c r="G57" s="34" cm="1">
        <f t="array" ref="G57">[1]!feed_gas_fraction_d(Pintake_,Tintake_,D57,F57)</f>
        <v>0.68470612239540407</v>
      </c>
      <c r="H57" s="34" cm="1">
        <f t="array" ref="H57">[1]!ESP_gassep_ksep_d(gassep_type,G57,B57)</f>
        <v>0.49924568588795226</v>
      </c>
      <c r="I57" s="34" cm="1">
        <f t="array" ref="I57">[1]!well_ksep_total_d(E57,H57)</f>
        <v>0.71030122635658954</v>
      </c>
      <c r="J57" s="34" cm="1">
        <f t="array" ref="J57">[1]!feed_gas_fraction_d(Pintake_,Tintake_,D57,I57)</f>
        <v>0.38617267895234669</v>
      </c>
    </row>
    <row r="58" spans="2:10" outlineLevel="1" x14ac:dyDescent="0.25">
      <c r="B58" s="15">
        <v>200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{"gamma_gas":0.9,"gamma_oil":0.875,"gamma_wat":1,"rsb_m3m3":80,"pb_atma":120,"t_res_C":120,"bob_m3m3":1.2,"muob_cP":1,"q_liq_sm3day":200,"fw_perc":0,"rp_m3m3":80}</v>
      </c>
      <c r="E58" s="34" cm="1">
        <f t="array" ref="E58">[1]!well_ksep_natural_d(D58,Pintake_,Tintake_,Dintake_,Dcas_)</f>
        <v>0.40960137721666201</v>
      </c>
      <c r="F58" s="34" cm="1">
        <f t="array" ref="F58">[1]!well_ksep_natural_d(D58,Pintake_,Tintake_,Dintake_,Dcas_*cf_dcas_)</f>
        <v>0</v>
      </c>
      <c r="G58" s="34" cm="1">
        <f t="array" ref="G58">[1]!feed_gas_fraction_d(Pintake_,Tintake_,D58,F58)</f>
        <v>0.68470612239540418</v>
      </c>
      <c r="H58" s="34" cm="1">
        <f t="array" ref="H58">[1]!ESP_gassep_ksep_d(gassep_type,G58,B58)</f>
        <v>0.49031139829723053</v>
      </c>
      <c r="I58" s="34" cm="1">
        <f t="array" ref="I58">[1]!well_ksep_total_d(E58,H58)</f>
        <v>0.69908055150631965</v>
      </c>
      <c r="J58" s="34" cm="1">
        <f t="array" ref="J58">[1]!feed_gas_fraction_d(Pintake_,Tintake_,D58,I58)</f>
        <v>0.39521858971775636</v>
      </c>
    </row>
    <row r="59" spans="2:10" outlineLevel="1" x14ac:dyDescent="0.25">
      <c r="B59" s="15">
        <v>210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{"gamma_gas":0.9,"gamma_oil":0.875,"gamma_wat":1,"rsb_m3m3":80,"pb_atma":120,"t_res_C":120,"bob_m3m3":1.2,"muob_cP":1,"q_liq_sm3day":210,"fw_perc":0,"rp_m3m3":80}</v>
      </c>
      <c r="E59" s="34" cm="1">
        <f t="array" ref="E59">[1]!well_ksep_natural_d(D59,Pintake_,Tintake_,Dintake_,Dcas_)</f>
        <v>0.39860759116733258</v>
      </c>
      <c r="F59" s="34" cm="1">
        <f t="array" ref="F59">[1]!well_ksep_natural_d(D59,Pintake_,Tintake_,Dintake_,Dcas_*cf_dcas_)</f>
        <v>0</v>
      </c>
      <c r="G59" s="34" cm="1">
        <f t="array" ref="G59">[1]!feed_gas_fraction_d(Pintake_,Tintake_,D59,F59)</f>
        <v>0.68470612239540407</v>
      </c>
      <c r="H59" s="34" cm="1">
        <f t="array" ref="H59">[1]!ESP_gassep_ksep_d(gassep_type,G59,B59)</f>
        <v>0.48155898510651146</v>
      </c>
      <c r="I59" s="34" cm="1">
        <f t="array" ref="I59">[1]!well_ksep_total_d(E59,H59)</f>
        <v>0.68821350921555213</v>
      </c>
      <c r="J59" s="34" cm="1">
        <f t="array" ref="J59">[1]!feed_gas_fraction_d(Pintake_,Tintake_,D59,I59)</f>
        <v>0.40372883875695537</v>
      </c>
    </row>
    <row r="60" spans="2:10" outlineLevel="1" x14ac:dyDescent="0.25">
      <c r="B60" s="15">
        <v>220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{"gamma_gas":0.9,"gamma_oil":0.875,"gamma_wat":1,"rsb_m3m3":80,"pb_atma":120,"t_res_C":120,"bob_m3m3":1.2,"muob_cP":1,"q_liq_sm3day":220,"fw_perc":0,"rp_m3m3":80}</v>
      </c>
      <c r="E60" s="34" cm="1">
        <f t="array" ref="E60">[1]!well_ksep_natural_d(D60,Pintake_,Tintake_,Dintake_,Dcas_)</f>
        <v>0.3884325753878235</v>
      </c>
      <c r="F60" s="34" cm="1">
        <f t="array" ref="F60">[1]!well_ksep_natural_d(D60,Pintake_,Tintake_,Dintake_,Dcas_*cf_dcas_)</f>
        <v>0</v>
      </c>
      <c r="G60" s="34" cm="1">
        <f t="array" ref="G60">[1]!feed_gas_fraction_d(Pintake_,Tintake_,D60,F60)</f>
        <v>0.68470612239540418</v>
      </c>
      <c r="H60" s="34" cm="1">
        <f t="array" ref="H60">[1]!ESP_gassep_ksep_d(gassep_type,G60,B60)</f>
        <v>0.47298844631578979</v>
      </c>
      <c r="I60" s="34" cm="1">
        <f t="array" ref="I60">[1]!well_ksep_total_d(E60,H60)</f>
        <v>0.67769690137248584</v>
      </c>
      <c r="J60" s="34" cm="1">
        <f t="array" ref="J60">[1]!feed_gas_fraction_d(Pintake_,Tintake_,D60,I60)</f>
        <v>0.41173967250437943</v>
      </c>
    </row>
    <row r="61" spans="2:10" outlineLevel="1" x14ac:dyDescent="0.25">
      <c r="B61" s="15">
        <v>230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{"gamma_gas":0.9,"gamma_oil":0.875,"gamma_wat":1,"rsb_m3m3":80,"pb_atma":120,"t_res_C":120,"bob_m3m3":1.2,"muob_cP":1,"q_liq_sm3day":230,"fw_perc":0,"rp_m3m3":80}</v>
      </c>
      <c r="E61" s="34" cm="1">
        <f t="array" ref="E61">[1]!well_ksep_natural_d(D61,Pintake_,Tintake_,Dintake_,Dcas_)</f>
        <v>0.37901933746931338</v>
      </c>
      <c r="F61" s="34" cm="1">
        <f t="array" ref="F61">[1]!well_ksep_natural_d(D61,Pintake_,Tintake_,Dintake_,Dcas_*cf_dcas_)</f>
        <v>0</v>
      </c>
      <c r="G61" s="34" cm="1">
        <f t="array" ref="G61">[1]!feed_gas_fraction_d(Pintake_,Tintake_,D61,F61)</f>
        <v>0.68470612239540407</v>
      </c>
      <c r="H61" s="34" cm="1">
        <f t="array" ref="H61">[1]!ESP_gassep_ksep_d(gassep_type,G61,B61)</f>
        <v>0.46459978192507073</v>
      </c>
      <c r="I61" s="34" cm="1">
        <f t="array" ref="I61">[1]!well_ksep_total_d(E61,H61)</f>
        <v>0.66752681786075629</v>
      </c>
      <c r="J61" s="34" cm="1">
        <f t="array" ref="J61">[1]!feed_gas_fraction_d(Pintake_,Tintake_,D61,I61)</f>
        <v>0.41928444609048326</v>
      </c>
    </row>
    <row r="62" spans="2:10" outlineLevel="1" x14ac:dyDescent="0.25">
      <c r="B62" s="15">
        <v>240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{"gamma_gas":0.9,"gamma_oil":0.875,"gamma_wat":1,"rsb_m3m3":80,"pb_atma":120,"t_res_C":120,"bob_m3m3":1.2,"muob_cP":1,"q_liq_sm3day":240,"fw_perc":0,"rp_m3m3":80}</v>
      </c>
      <c r="E62" s="34" cm="1">
        <f t="array" ref="E62">[1]!well_ksep_natural_d(D62,Pintake_,Tintake_,Dintake_,Dcas_)</f>
        <v>0.37031472262530407</v>
      </c>
      <c r="F62" s="34" cm="1">
        <f t="array" ref="F62">[1]!well_ksep_natural_d(D62,Pintake_,Tintake_,Dintake_,Dcas_*cf_dcas_)</f>
        <v>0</v>
      </c>
      <c r="G62" s="34" cm="1">
        <f t="array" ref="G62">[1]!feed_gas_fraction_d(Pintake_,Tintake_,D62,F62)</f>
        <v>0.68470612239540418</v>
      </c>
      <c r="H62" s="34" cm="1">
        <f t="array" ref="H62">[1]!ESP_gassep_ksep_d(gassep_type,G62,B62)</f>
        <v>0.45639299193434901</v>
      </c>
      <c r="I62" s="34" cm="1">
        <f t="array" ref="I62">[1]!well_ksep_total_d(E62,H62)</f>
        <v>0.65769867034335205</v>
      </c>
      <c r="J62" s="34" cm="1">
        <f t="array" ref="J62">[1]!feed_gas_fraction_d(Pintake_,Tintake_,D62,I62)</f>
        <v>0.42639392128725845</v>
      </c>
    </row>
    <row r="63" spans="2:10" outlineLevel="1" x14ac:dyDescent="0.25"/>
    <row r="64" spans="2:10" outlineLevel="1" x14ac:dyDescent="0.25"/>
    <row r="66" spans="3:8" outlineLevel="1" x14ac:dyDescent="0.25"/>
    <row r="67" spans="3:8" outlineLevel="1" x14ac:dyDescent="0.25">
      <c r="E67" t="str" cm="1">
        <f t="array" ref="E67">[1]!encode_arange(12,15,1)</f>
        <v>[12,13,14,15]</v>
      </c>
    </row>
    <row r="68" spans="3:8" outlineLevel="1" x14ac:dyDescent="0.25"/>
    <row r="69" spans="3:8" outlineLevel="1" x14ac:dyDescent="0.25"/>
    <row r="70" spans="3:8" outlineLevel="1" x14ac:dyDescent="0.25">
      <c r="E70" t="str" cm="1">
        <f t="array" ref="E70">[1]!well_ksep_natural_d(D61,E67,Tintake_,Dintake_,Dcas_)</f>
        <v>{"p_atma":[12,13,14,15],"t_C":[80,80,80,80],"feed":[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],"k_sep":[0.395418433831209,0.394507249226262,0.393595414867392,0.392683096316117]}</v>
      </c>
    </row>
    <row r="71" spans="3:8" outlineLevel="1" x14ac:dyDescent="0.25"/>
    <row r="72" spans="3:8" outlineLevel="1" x14ac:dyDescent="0.25">
      <c r="E72" s="4"/>
    </row>
    <row r="73" spans="3:8" outlineLevel="1" x14ac:dyDescent="0.25">
      <c r="E73" t="str" cm="1">
        <f t="array" ref="E73:F76">[1]!decode_json(E70)</f>
        <v>p_atma</v>
      </c>
      <c r="F73" t="str">
        <v>[12,13,14,15]</v>
      </c>
    </row>
    <row r="74" spans="3:8" outlineLevel="1" x14ac:dyDescent="0.25">
      <c r="E74" t="str">
        <v>t_C</v>
      </c>
      <c r="F74" t="str">
        <v>[80,80,80,80]</v>
      </c>
    </row>
    <row r="75" spans="3:8" outlineLevel="1" x14ac:dyDescent="0.25">
      <c r="E75" t="str">
        <v>feed</v>
      </c>
      <c r="F75" s="3" t="str">
        <v>[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]</v>
      </c>
      <c r="G75" s="7"/>
      <c r="H75" s="7"/>
    </row>
    <row r="76" spans="3:8" outlineLevel="1" x14ac:dyDescent="0.25">
      <c r="C76" s="8"/>
      <c r="D76" s="8"/>
      <c r="E76" s="9" t="str">
        <v>k_sep</v>
      </c>
      <c r="F76" s="9" t="str">
        <v>[0.395418433831209,0.394507249226262,0.393595414867392,0.392683096316117]</v>
      </c>
      <c r="G76" s="9"/>
      <c r="H76" s="9"/>
    </row>
    <row r="77" spans="3:8" outlineLevel="1" x14ac:dyDescent="0.25">
      <c r="C77" s="8"/>
      <c r="D77" s="8"/>
      <c r="E77" s="9"/>
      <c r="F77" s="9"/>
      <c r="G77" s="9"/>
      <c r="H77" s="9"/>
    </row>
    <row r="78" spans="3:8" outlineLevel="1" x14ac:dyDescent="0.25">
      <c r="C78" s="8"/>
      <c r="D78" s="8"/>
      <c r="E78" s="9"/>
      <c r="F78" s="9"/>
      <c r="G78" s="9"/>
      <c r="H78" s="9"/>
    </row>
    <row r="79" spans="3:8" outlineLevel="1" x14ac:dyDescent="0.25">
      <c r="C79" s="8"/>
      <c r="D79" s="8"/>
      <c r="E79" s="50" t="str" cm="1">
        <f t="array" ref="E79">[1]!well_ksep_total_d(F76,0.4)</f>
        <v>[0.637251060298725,0.636704349535757,0.636157248920435,0.63560985778967]</v>
      </c>
      <c r="F79" s="9"/>
      <c r="G79" s="9"/>
      <c r="H79" s="9"/>
    </row>
    <row r="80" spans="3:8" outlineLevel="1" x14ac:dyDescent="0.25">
      <c r="C80" s="8"/>
      <c r="D80" s="8"/>
      <c r="E80" s="9"/>
      <c r="F80" s="9"/>
      <c r="G80" s="9"/>
      <c r="H80" s="9"/>
    </row>
    <row r="81" spans="3:8" outlineLevel="1" x14ac:dyDescent="0.25">
      <c r="C81" s="8"/>
      <c r="D81" s="8"/>
      <c r="E81" s="9"/>
      <c r="F81" s="9"/>
      <c r="G81" s="9"/>
      <c r="H81" s="9"/>
    </row>
    <row r="82" spans="3:8" outlineLevel="1" x14ac:dyDescent="0.25">
      <c r="C82" s="8"/>
      <c r="D82" s="8"/>
      <c r="E82" s="9"/>
      <c r="F82" s="9"/>
      <c r="G82" s="9"/>
      <c r="H82" s="9"/>
    </row>
    <row r="83" spans="3:8" outlineLevel="1" x14ac:dyDescent="0.25">
      <c r="C83" s="8"/>
      <c r="D83" s="8"/>
      <c r="E83" s="9"/>
      <c r="F83" s="9"/>
      <c r="G83" s="9"/>
      <c r="H83" s="9"/>
    </row>
    <row r="84" spans="3:8" outlineLevel="1" x14ac:dyDescent="0.25">
      <c r="C84" s="8"/>
      <c r="D84" s="8"/>
      <c r="E84" s="9"/>
      <c r="F84" s="9"/>
      <c r="G84" s="9"/>
      <c r="H84" s="9"/>
    </row>
    <row r="85" spans="3:8" outlineLevel="1" x14ac:dyDescent="0.25">
      <c r="C85" s="8"/>
      <c r="D85" s="8"/>
      <c r="E85" s="9"/>
      <c r="F85" s="9"/>
      <c r="G85" s="9"/>
      <c r="H85" s="9"/>
    </row>
    <row r="86" spans="3:8" outlineLevel="1" x14ac:dyDescent="0.25">
      <c r="C86" s="8"/>
      <c r="D86" s="8"/>
      <c r="E86" s="9"/>
      <c r="F86" s="9"/>
      <c r="G86" s="9"/>
      <c r="H86" s="9"/>
    </row>
    <row r="87" spans="3:8" outlineLevel="1" x14ac:dyDescent="0.25">
      <c r="C87" s="8"/>
      <c r="D87" s="8"/>
      <c r="E87" s="9"/>
      <c r="F87" s="9"/>
      <c r="G87" s="9"/>
      <c r="H87" s="9"/>
    </row>
    <row r="88" spans="3:8" outlineLevel="1" x14ac:dyDescent="0.25">
      <c r="C88" s="8"/>
      <c r="D88" s="8"/>
      <c r="E88" s="9"/>
      <c r="F88" s="9"/>
      <c r="G88" s="9"/>
      <c r="H88" s="9"/>
    </row>
    <row r="89" spans="3:8" outlineLevel="1" x14ac:dyDescent="0.25">
      <c r="C89" s="8"/>
      <c r="D89" s="8"/>
      <c r="E89" s="9"/>
      <c r="F89" s="9"/>
      <c r="G89" s="9"/>
      <c r="H89" s="9"/>
    </row>
    <row r="90" spans="3:8" outlineLevel="1" x14ac:dyDescent="0.25">
      <c r="C90" s="8"/>
      <c r="D90" s="8"/>
      <c r="E90" s="9"/>
      <c r="F90" s="9"/>
      <c r="G90" s="9"/>
      <c r="H90" s="9"/>
    </row>
    <row r="91" spans="3:8" outlineLevel="1" x14ac:dyDescent="0.25">
      <c r="C91" s="8"/>
      <c r="D91" s="8"/>
      <c r="E91" s="9"/>
      <c r="F91" s="9"/>
      <c r="G91" s="9"/>
      <c r="H91" s="9"/>
    </row>
    <row r="92" spans="3:8" outlineLevel="1" x14ac:dyDescent="0.25">
      <c r="C92" s="8"/>
      <c r="D92" s="8"/>
      <c r="E92" s="9"/>
      <c r="F92" s="9"/>
      <c r="G92" s="9"/>
      <c r="H92" s="9"/>
    </row>
    <row r="93" spans="3:8" outlineLevel="1" x14ac:dyDescent="0.25">
      <c r="C93" s="8"/>
      <c r="D93" s="8"/>
      <c r="E93" s="9"/>
      <c r="F93" s="9"/>
      <c r="G93" s="9"/>
      <c r="H93" s="9"/>
    </row>
    <row r="94" spans="3:8" outlineLevel="1" x14ac:dyDescent="0.25">
      <c r="C94" s="8"/>
      <c r="D94" s="8"/>
      <c r="E94" s="9"/>
      <c r="F94" s="9"/>
      <c r="G94" s="9"/>
      <c r="H94" s="9"/>
    </row>
    <row r="95" spans="3:8" outlineLevel="1" x14ac:dyDescent="0.25">
      <c r="C95" s="8"/>
      <c r="D95" s="8"/>
      <c r="E95" s="9"/>
      <c r="F95" s="9"/>
      <c r="G95" s="9"/>
      <c r="H95" s="9"/>
    </row>
    <row r="96" spans="3:8" outlineLevel="1" x14ac:dyDescent="0.25">
      <c r="C96" s="8"/>
      <c r="D96" s="8"/>
      <c r="E96" s="9"/>
      <c r="F96" s="9"/>
      <c r="G96" s="9"/>
      <c r="H96" s="9"/>
    </row>
    <row r="97" outlineLevel="1" x14ac:dyDescent="0.25"/>
    <row r="98" outlineLevel="1" x14ac:dyDescent="0.25"/>
    <row r="99" outlineLevel="1" x14ac:dyDescent="0.25"/>
    <row r="154" spans="11:11" x14ac:dyDescent="0.25">
      <c r="K154" t="s">
        <v>6</v>
      </c>
    </row>
    <row r="165" spans="11:11" x14ac:dyDescent="0.25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27</vt:i4>
      </vt:variant>
    </vt:vector>
  </HeadingPairs>
  <TitlesOfParts>
    <vt:vector size="28" baseType="lpstr">
      <vt:lpstr>Separation</vt:lpstr>
      <vt:lpstr>Separation!Bob_</vt:lpstr>
      <vt:lpstr>cf_dcas_</vt:lpstr>
      <vt:lpstr>course</vt:lpstr>
      <vt:lpstr>Separation!Dcas_</vt:lpstr>
      <vt:lpstr>Separation!Dintake_</vt:lpstr>
      <vt:lpstr>feed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2021-08-03T15:43:22Z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