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D3BB121-DEE0-43A9-AD13-C03370DDF530}" xr6:coauthVersionLast="45" xr6:coauthVersionMax="45" xr10:uidLastSave="{00000000-0000-0000-0000-000000000000}"/>
  <bookViews>
    <workbookView xWindow="-120" yWindow="-120" windowWidth="38640" windowHeight="21240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Separation!$F$34</definedName>
    <definedName name="course">Separation!$B$3</definedName>
    <definedName name="Dcas_" localSheetId="0">Separation!$C$23</definedName>
    <definedName name="Dintake_" localSheetId="0">Separation!$C$24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Separation!$H$34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5" i="110" l="1"/>
  <c r="H39" i="110" a="1"/>
  <c r="H45" i="110" a="1"/>
  <c r="H51" i="110" a="1"/>
  <c r="H57" i="110" a="1"/>
  <c r="H48" i="110" a="1"/>
  <c r="H60" i="110" a="1"/>
  <c r="H40" i="110" a="1"/>
  <c r="H46" i="110" a="1"/>
  <c r="H52" i="110" a="1"/>
  <c r="H58" i="110" a="1"/>
  <c r="H41" i="110" a="1"/>
  <c r="H47" i="110" a="1"/>
  <c r="H53" i="110" a="1"/>
  <c r="H59" i="110" a="1"/>
  <c r="H42" i="110" a="1"/>
  <c r="H54" i="110" a="1"/>
  <c r="H44" i="110" a="1"/>
  <c r="H56" i="110" a="1"/>
  <c r="H37" i="110" a="1"/>
  <c r="H43" i="110" a="1"/>
  <c r="H49" i="110" a="1"/>
  <c r="H55" i="110" a="1"/>
  <c r="H61" i="110" a="1"/>
  <c r="H38" i="110" a="1"/>
  <c r="H50" i="110" a="1"/>
  <c r="H36" i="110" a="1"/>
  <c r="G1" i="110"/>
  <c r="C29" i="110"/>
  <c r="E38" i="110"/>
  <c r="E40" i="110"/>
  <c r="E45" i="110"/>
  <c r="E52" i="110"/>
  <c r="E48" i="110"/>
  <c r="E39" i="110"/>
  <c r="E41" i="110"/>
  <c r="F55" i="110"/>
  <c r="F39" i="110"/>
  <c r="F57" i="110"/>
  <c r="E49" i="110"/>
  <c r="E61" i="110"/>
  <c r="E55" i="110"/>
  <c r="F59" i="110"/>
  <c r="F48" i="110"/>
  <c r="E47" i="110"/>
  <c r="E54" i="110"/>
  <c r="F36" i="110"/>
  <c r="F60" i="110"/>
  <c r="F52" i="110"/>
  <c r="F47" i="110"/>
  <c r="F41" i="110"/>
  <c r="F40" i="110"/>
  <c r="E44" i="110"/>
  <c r="F42" i="110"/>
  <c r="F49" i="110"/>
  <c r="E43" i="110"/>
  <c r="F51" i="110"/>
  <c r="E58" i="110"/>
  <c r="E60" i="110"/>
  <c r="F45" i="110"/>
  <c r="F50" i="110"/>
  <c r="F61" i="110"/>
  <c r="F53" i="110"/>
  <c r="E42" i="110"/>
  <c r="E57" i="110"/>
  <c r="F58" i="110"/>
  <c r="E59" i="110"/>
  <c r="E51" i="110"/>
  <c r="E56" i="110"/>
  <c r="E50" i="110"/>
  <c r="E53" i="110"/>
  <c r="E36" i="110"/>
  <c r="F38" i="110"/>
  <c r="F54" i="110"/>
  <c r="F37" i="110"/>
  <c r="F46" i="110"/>
  <c r="F56" i="110"/>
  <c r="E46" i="110"/>
  <c r="E37" i="110"/>
  <c r="F44" i="110"/>
  <c r="H50" i="110" l="1"/>
  <c r="H38" i="110"/>
  <c r="H61" i="110"/>
  <c r="H55" i="110"/>
  <c r="H49" i="110"/>
  <c r="H43" i="110"/>
  <c r="H37" i="110"/>
  <c r="H56" i="110"/>
  <c r="H44" i="110"/>
  <c r="H54" i="110"/>
  <c r="H42" i="110"/>
  <c r="H59" i="110"/>
  <c r="H53" i="110"/>
  <c r="H47" i="110"/>
  <c r="H41" i="110"/>
  <c r="H58" i="110"/>
  <c r="H52" i="110"/>
  <c r="H46" i="110"/>
  <c r="H40" i="110"/>
  <c r="H60" i="110"/>
  <c r="H48" i="110"/>
  <c r="H57" i="110"/>
  <c r="H51" i="110"/>
  <c r="H45" i="110"/>
  <c r="H39" i="110"/>
  <c r="H36" i="110"/>
  <c r="F17" i="110"/>
  <c r="F16" i="110"/>
  <c r="F15" i="110"/>
  <c r="F14" i="110"/>
  <c r="F13" i="110"/>
  <c r="F12" i="110"/>
  <c r="F11" i="110"/>
  <c r="G40" i="110"/>
  <c r="G50" i="110"/>
  <c r="G38" i="110"/>
  <c r="G52" i="110"/>
  <c r="G57" i="110"/>
  <c r="G56" i="110"/>
  <c r="G48" i="110"/>
  <c r="G42" i="110"/>
  <c r="G51" i="110"/>
  <c r="G45" i="110"/>
  <c r="G60" i="110"/>
  <c r="F43" i="110"/>
  <c r="G41" i="110"/>
  <c r="G58" i="110"/>
  <c r="G49" i="110"/>
  <c r="G37" i="110"/>
  <c r="G46" i="110"/>
  <c r="G53" i="110"/>
  <c r="G54" i="110"/>
  <c r="G59" i="110"/>
  <c r="G61" i="110"/>
  <c r="G55" i="110"/>
  <c r="G47" i="110"/>
  <c r="G39" i="110"/>
  <c r="G36" i="110"/>
  <c r="G44" i="110"/>
  <c r="F35" i="110" l="1"/>
  <c r="G43" i="110"/>
  <c r="I48" i="110"/>
  <c r="I57" i="110"/>
  <c r="I43" i="110"/>
  <c r="I38" i="110"/>
  <c r="I56" i="110"/>
  <c r="I40" i="110"/>
  <c r="I39" i="110"/>
  <c r="I61" i="110"/>
  <c r="I52" i="110"/>
  <c r="I59" i="110"/>
  <c r="I46" i="110"/>
  <c r="I37" i="110"/>
  <c r="I54" i="110"/>
  <c r="I60" i="110"/>
  <c r="I44" i="110"/>
  <c r="I45" i="110"/>
  <c r="I51" i="110"/>
  <c r="I36" i="110"/>
  <c r="I50" i="110"/>
  <c r="I41" i="110"/>
  <c r="I42" i="110"/>
  <c r="I53" i="110"/>
  <c r="I47" i="110"/>
  <c r="I49" i="110"/>
  <c r="I58" i="110"/>
  <c r="I55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<sst xmlns="http://schemas.openxmlformats.org/spreadsheetml/2006/main" count="68" uniqueCount="54">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</sst>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Separation!$F$35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Separation!$F$36:$F$61</c:f>
              <c:numCache>
                <c:formatCode>0.00</c:formatCode>
                <c:ptCount val="26"/>
                <c:pt idx="0">
                  <c:v>0.92629085685598611</c:v>
                </c:pt>
                <c:pt idx="1">
                  <c:v>0.76357472191186071</c:v>
                </c:pt>
                <c:pt idx="2">
                  <c:v>0.62180233411990027</c:v>
                </c:pt>
                <c:pt idx="3">
                  <c:v>0.44962106989809247</c:v>
                </c:pt>
                <c:pt idx="4">
                  <c:v>0.35963505205730106</c:v>
                </c:pt>
                <c:pt idx="5">
                  <c:v>0.30353659669513977</c:v>
                </c:pt>
                <c:pt idx="6">
                  <c:v>0.28194157370789785</c:v>
                </c:pt>
                <c:pt idx="7">
                  <c:v>0.26431075506154222</c:v>
                </c:pt>
                <c:pt idx="8">
                  <c:v>0.24008594094612778</c:v>
                </c:pt>
                <c:pt idx="9">
                  <c:v>0.20199668855961583</c:v>
                </c:pt>
                <c:pt idx="10">
                  <c:v>0.14521518065480521</c:v>
                </c:pt>
                <c:pt idx="11">
                  <c:v>6.9954721389319019E-2</c:v>
                </c:pt>
                <c:pt idx="12">
                  <c:v>1.0874106193092814E-2</c:v>
                </c:pt>
                <c:pt idx="13">
                  <c:v>5.4971301887363211E-4</c:v>
                </c:pt>
                <c:pt idx="14">
                  <c:v>2.0205656376504066E-5</c:v>
                </c:pt>
                <c:pt idx="15">
                  <c:v>6.2816629942119562E-7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Separation!$E$35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Separation!$E$36:$E$61</c:f>
              <c:numCache>
                <c:formatCode>0.00</c:formatCode>
                <c:ptCount val="26"/>
                <c:pt idx="0">
                  <c:v>0.98230747543683494</c:v>
                </c:pt>
                <c:pt idx="1">
                  <c:v>0.95323844350876674</c:v>
                </c:pt>
                <c:pt idx="2">
                  <c:v>0.91612090593091644</c:v>
                </c:pt>
                <c:pt idx="3">
                  <c:v>0.85653492056803104</c:v>
                </c:pt>
                <c:pt idx="4">
                  <c:v>0.80489090385500672</c:v>
                </c:pt>
                <c:pt idx="5">
                  <c:v>0.75905467934363968</c:v>
                </c:pt>
                <c:pt idx="6">
                  <c:v>0.71786420113379856</c:v>
                </c:pt>
                <c:pt idx="7">
                  <c:v>0.69767037291069955</c:v>
                </c:pt>
                <c:pt idx="8">
                  <c:v>0.66486444343503559</c:v>
                </c:pt>
                <c:pt idx="9">
                  <c:v>0.63473273896467131</c:v>
                </c:pt>
                <c:pt idx="10">
                  <c:v>0.60698372027425784</c:v>
                </c:pt>
                <c:pt idx="11">
                  <c:v>0.58137871423346643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Separation!$I$35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Separation!$C$36:$C$61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Separation!$I$36:$I$61</c:f>
              <c:numCache>
                <c:formatCode>0.00</c:formatCode>
                <c:ptCount val="26"/>
                <c:pt idx="0">
                  <c:v>0.98899947508608677</c:v>
                </c:pt>
                <c:pt idx="1">
                  <c:v>0.97882130237552434</c:v>
                </c:pt>
                <c:pt idx="2">
                  <c:v>0.96743288803518024</c:v>
                </c:pt>
                <c:pt idx="3">
                  <c:v>0.94084853873041896</c:v>
                </c:pt>
                <c:pt idx="4">
                  <c:v>0.90908696439708514</c:v>
                </c:pt>
                <c:pt idx="5">
                  <c:v>0.87466189388318538</c:v>
                </c:pt>
                <c:pt idx="6">
                  <c:v>0.84035960207427784</c:v>
                </c:pt>
                <c:pt idx="7">
                  <c:v>0.81395763433905099</c:v>
                </c:pt>
                <c:pt idx="8">
                  <c:v>0.7762567261543647</c:v>
                </c:pt>
                <c:pt idx="9">
                  <c:v>0.73476962866094842</c:v>
                </c:pt>
                <c:pt idx="10">
                  <c:v>0.67870868770297421</c:v>
                </c:pt>
                <c:pt idx="11">
                  <c:v>0.60566570559744215</c:v>
                </c:pt>
                <c:pt idx="12">
                  <c:v>0.557717577094476</c:v>
                </c:pt>
                <c:pt idx="13">
                  <c:v>0.53582926065881087</c:v>
                </c:pt>
                <c:pt idx="14">
                  <c:v>0.51556532419726508</c:v>
                </c:pt>
                <c:pt idx="15">
                  <c:v>0.49679531011636002</c:v>
                </c:pt>
                <c:pt idx="16">
                  <c:v>0.4794033493546983</c:v>
                </c:pt>
                <c:pt idx="17">
                  <c:v>0.46328560693123144</c:v>
                </c:pt>
                <c:pt idx="18">
                  <c:v>0.44834831860394586</c:v>
                </c:pt>
                <c:pt idx="19">
                  <c:v>0.43450625401093967</c:v>
                </c:pt>
                <c:pt idx="20">
                  <c:v>0.42168149429020563</c:v>
                </c:pt>
                <c:pt idx="21">
                  <c:v>0.40980244604891802</c:v>
                </c:pt>
                <c:pt idx="22">
                  <c:v>0.39880303597498346</c:v>
                </c:pt>
                <c:pt idx="23">
                  <c:v>0.38862204559346658</c:v>
                </c:pt>
                <c:pt idx="24">
                  <c:v>0.3792025562147634</c:v>
                </c:pt>
                <c:pt idx="25">
                  <c:v>0.37049148157453793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33</xdr:row>
      <xdr:rowOff>154881</xdr:rowOff>
    </xdr:from>
    <xdr:to>
      <xdr:col>25</xdr:col>
      <xdr:colOff>11206</xdr:colOff>
      <xdr:row>60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34</xdr:row>
      <xdr:rowOff>20412</xdr:rowOff>
    </xdr:from>
    <xdr:to>
      <xdr:col>18</xdr:col>
      <xdr:colOff>324972</xdr:colOff>
      <xdr:row>60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ESP_gassep_ksep_d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42</xdr:row>
      <xdr:rowOff>123264</xdr:rowOff>
    </xdr:from>
    <xdr:to>
      <xdr:col>11</xdr:col>
      <xdr:colOff>560293</xdr:colOff>
      <xdr:row>50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gassep_ksep_d"/>
      <definedName name="MF_gas_fraction_d"/>
      <definedName name="MF_ksep_natural_d"/>
      <definedName name="MF_ksep_total_d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4"/>
  <sheetViews>
    <sheetView tabSelected="1" zoomScaleNormal="100" workbookViewId="0">
      <selection activeCell="I18" sqref="I18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7.25</v>
      </c>
      <c r="H1" t="s">
        <v>39</v>
      </c>
      <c r="I1" s="25">
        <v>44027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7.25</v>
      </c>
      <c r="J2" s="26"/>
      <c r="K2" s="26"/>
      <c r="L2" s="26"/>
    </row>
    <row r="3" spans="1:12" ht="15" x14ac:dyDescent="0.25">
      <c r="A3" s="28" t="s">
        <v>41</v>
      </c>
      <c r="B3" s="35" t="s">
        <v>42</v>
      </c>
      <c r="C3" s="36"/>
      <c r="D3" s="36"/>
      <c r="E3" s="37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35" t="s">
        <v>45</v>
      </c>
      <c r="C4" s="36"/>
      <c r="D4" s="36"/>
      <c r="E4" s="37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35" t="s">
        <v>48</v>
      </c>
      <c r="C5" s="36"/>
      <c r="D5" s="36"/>
      <c r="E5" s="37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38" t="s">
        <v>51</v>
      </c>
      <c r="C6" s="39"/>
      <c r="D6" s="39"/>
      <c r="E6" s="40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1"/>
      <c r="C7" s="42"/>
      <c r="D7" s="42"/>
      <c r="E7" s="43"/>
      <c r="H7" s="30"/>
      <c r="I7" s="31"/>
      <c r="J7" s="31"/>
      <c r="K7" s="31"/>
      <c r="L7" s="31"/>
    </row>
    <row r="8" spans="1:12" x14ac:dyDescent="0.2">
      <c r="A8" s="33"/>
      <c r="B8" s="44"/>
      <c r="C8" s="45"/>
      <c r="D8" s="45"/>
      <c r="E8" s="46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1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>
        <f>[1]!PVT_encode_string(gamma_gas_,gamma_oil_,gamma_wat_,Rsb_,Rp_,Pb_,Tres_,Bob_,muob_)</f>
        <v>{"gamma_gas":0.9,"gamma_oil":0.875,"gamma_wat":1,"rsb_m3m3":80,"rp_m3m3":80,"pb_atma":120,"t_res_C":120,"bob_m3m3":1.2,"muob_cP":1}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ht="12.75" customHeight="1" outlineLevel="1" x14ac:dyDescent="0.2"/>
    <row r="31" spans="1:20" x14ac:dyDescent="0.2">
      <c r="A31" t="s">
        <v>12</v>
      </c>
    </row>
    <row r="32" spans="1:20" outlineLevel="1" x14ac:dyDescent="0.2">
      <c r="A32" t="s">
        <v>9</v>
      </c>
    </row>
    <row r="33" spans="3:9" outlineLevel="1" x14ac:dyDescent="0.2"/>
    <row r="34" spans="3:9" outlineLevel="1" x14ac:dyDescent="0.2">
      <c r="F34" s="5">
        <v>0.8</v>
      </c>
      <c r="H34" s="19">
        <v>5</v>
      </c>
    </row>
    <row r="35" spans="3:9" ht="51" outlineLevel="1" x14ac:dyDescent="0.2">
      <c r="C35" s="20" t="s">
        <v>0</v>
      </c>
      <c r="D35" s="20" t="s">
        <v>13</v>
      </c>
      <c r="E35" s="21" t="str">
        <f>"Естественная сепарация "&amp;Dcas_&amp;" мм"</f>
        <v>Естественная сепарация 130 мм</v>
      </c>
      <c r="F35" s="21" t="str">
        <f>"Естественная сепарация "&amp;Dcas_*cf_dcas_&amp;" мм"</f>
        <v>Естественная сепарация 104 мм</v>
      </c>
      <c r="G35" s="23" t="s">
        <v>30</v>
      </c>
      <c r="H35" s="22" t="s">
        <v>10</v>
      </c>
      <c r="I35" s="21" t="s">
        <v>11</v>
      </c>
    </row>
    <row r="36" spans="3:9" outlineLevel="1" x14ac:dyDescent="0.2">
      <c r="C36" s="15">
        <v>1</v>
      </c>
      <c r="D36" s="15">
        <v>80</v>
      </c>
      <c r="E36" s="34">
        <f>[1]!MF_ksep_natural_d(C36,wc_,Pintake_,Tintake_,Dintake_,Dcas_,PVT_str_)</f>
        <v>0.98230747543683494</v>
      </c>
      <c r="F36" s="34">
        <f>[1]!MF_ksep_natural_d(C36,wc_,Pintake_,Tintake_,Dintake_,Dcas_*cf_dcas_,PVT_str_)</f>
        <v>0.92629085685598611</v>
      </c>
      <c r="G36" s="34">
        <f>[1]!MF_gas_fraction_d(Pintake_,Tintake_,0,PVT_str_)*(1-F36)</f>
        <v>5.0469101587225541E-2</v>
      </c>
      <c r="H36" s="34" cm="1">
        <f t="array" ref="H36">[1]!ESP_gassep_ksep_d(gassep_type,G36,C36)</f>
        <v>0.37823882201549691</v>
      </c>
      <c r="I36" s="34">
        <f>[1]!MF_ksep_total_d(E36,H36)</f>
        <v>0.98899947508608677</v>
      </c>
    </row>
    <row r="37" spans="3:9" outlineLevel="1" x14ac:dyDescent="0.2">
      <c r="C37" s="15">
        <v>5</v>
      </c>
      <c r="D37" s="15">
        <v>80</v>
      </c>
      <c r="E37" s="34">
        <f>[1]!MF_ksep_natural_d(C37,wc_,Pintake_,Tintake_,Dintake_,Dcas_,PVT_str_)</f>
        <v>0.95323844350876674</v>
      </c>
      <c r="F37" s="34">
        <f>[1]!MF_ksep_natural_d(C37,wc_,Pintake_,Tintake_,Dintake_,Dcas_*cf_dcas_,PVT_str_)</f>
        <v>0.76357472191186071</v>
      </c>
      <c r="G37" s="34">
        <f>[1]!MF_gas_fraction_d(Pintake_,Tintake_,0,PVT_str_)*(1-F37)</f>
        <v>0.16188183539598497</v>
      </c>
      <c r="H37" s="34" cm="1">
        <f t="array" ref="H37">[1]!ESP_gassep_ksep_d(gassep_type,G37,C37)</f>
        <v>0.54709168783878748</v>
      </c>
      <c r="I37" s="34">
        <f>[1]!MF_ksep_total_d(E37,H37)</f>
        <v>0.97882130237552434</v>
      </c>
    </row>
    <row r="38" spans="3:9" outlineLevel="1" x14ac:dyDescent="0.2">
      <c r="C38" s="15">
        <v>10</v>
      </c>
      <c r="D38" s="15">
        <v>80</v>
      </c>
      <c r="E38" s="34">
        <f>[1]!MF_ksep_natural_d(C38,wc_,Pintake_,Tintake_,Dintake_,Dcas_,PVT_str_)</f>
        <v>0.91612090593091644</v>
      </c>
      <c r="F38" s="34">
        <f>[1]!MF_ksep_natural_d(C38,wc_,Pintake_,Tintake_,Dintake_,Dcas_*cf_dcas_,PVT_str_)</f>
        <v>0.62180233411990027</v>
      </c>
      <c r="G38" s="34">
        <f>[1]!MF_gas_fraction_d(Pintake_,Tintake_,0,PVT_str_)*(1-F38)</f>
        <v>0.25895425730375576</v>
      </c>
      <c r="H38" s="34" cm="1">
        <f t="array" ref="H38">[1]!ESP_gassep_ksep_d(gassep_type,G38,C38)</f>
        <v>0.61173743796043822</v>
      </c>
      <c r="I38" s="34">
        <f>[1]!MF_ksep_total_d(E38,H38)</f>
        <v>0.96743288803518024</v>
      </c>
    </row>
    <row r="39" spans="3:9" outlineLevel="1" x14ac:dyDescent="0.2">
      <c r="C39" s="15">
        <v>20</v>
      </c>
      <c r="D39" s="15">
        <v>80</v>
      </c>
      <c r="E39" s="34">
        <f>[1]!MF_ksep_natural_d(C39,wc_,Pintake_,Tintake_,Dintake_,Dcas_,PVT_str_)</f>
        <v>0.85653492056803104</v>
      </c>
      <c r="F39" s="34">
        <f>[1]!MF_ksep_natural_d(C39,wc_,Pintake_,Tintake_,Dintake_,Dcas_*cf_dcas_,PVT_str_)</f>
        <v>0.44962106989809247</v>
      </c>
      <c r="G39" s="34">
        <f>[1]!MF_gas_fraction_d(Pintake_,Tintake_,0,PVT_str_)*(1-F39)</f>
        <v>0.3768478230782083</v>
      </c>
      <c r="H39" s="34" cm="1">
        <f t="array" ref="H39">[1]!ESP_gassep_ksep_d(gassep_type,G39,C39)</f>
        <v>0.58769436085921778</v>
      </c>
      <c r="I39" s="34">
        <f>[1]!MF_ksep_total_d(E39,H39)</f>
        <v>0.94084853873041896</v>
      </c>
    </row>
    <row r="40" spans="3:9" outlineLevel="1" x14ac:dyDescent="0.2">
      <c r="C40" s="15">
        <v>30</v>
      </c>
      <c r="D40" s="15">
        <v>80</v>
      </c>
      <c r="E40" s="34">
        <f>[1]!MF_ksep_natural_d(C40,wc_,Pintake_,Tintake_,Dintake_,Dcas_,PVT_str_)</f>
        <v>0.80489090385500672</v>
      </c>
      <c r="F40" s="34">
        <f>[1]!MF_ksep_natural_d(C40,wc_,Pintake_,Tintake_,Dintake_,Dcas_*cf_dcas_,PVT_str_)</f>
        <v>0.35963505205730106</v>
      </c>
      <c r="G40" s="34">
        <f>[1]!MF_gas_fraction_d(Pintake_,Tintake_,0,PVT_str_)*(1-F40)</f>
        <v>0.43846180042378025</v>
      </c>
      <c r="H40" s="34" cm="1">
        <f t="array" ref="H40">[1]!ESP_gassep_ksep_d(gassep_type,G40,C40)</f>
        <v>0.53403999403823899</v>
      </c>
      <c r="I40" s="34">
        <f>[1]!MF_ksep_total_d(E40,H40)</f>
        <v>0.90908696439708514</v>
      </c>
    </row>
    <row r="41" spans="3:9" outlineLevel="1" x14ac:dyDescent="0.2">
      <c r="C41" s="15">
        <v>40</v>
      </c>
      <c r="D41" s="15">
        <v>80</v>
      </c>
      <c r="E41" s="34">
        <f>[1]!MF_ksep_natural_d(C41,wc_,Pintake_,Tintake_,Dintake_,Dcas_,PVT_str_)</f>
        <v>0.75905467934363968</v>
      </c>
      <c r="F41" s="34">
        <f>[1]!MF_ksep_natural_d(C41,wc_,Pintake_,Tintake_,Dintake_,Dcas_*cf_dcas_,PVT_str_)</f>
        <v>0.30353659669513977</v>
      </c>
      <c r="G41" s="34">
        <f>[1]!MF_gas_fraction_d(Pintake_,Tintake_,0,PVT_str_)*(1-F41)</f>
        <v>0.4768727562671774</v>
      </c>
      <c r="H41" s="34" cm="1">
        <f t="array" ref="H41">[1]!ESP_gassep_ksep_d(gassep_type,G41,C41)</f>
        <v>0.47980684673443574</v>
      </c>
      <c r="I41" s="34">
        <f>[1]!MF_ksep_total_d(E41,H41)</f>
        <v>0.87466189388318538</v>
      </c>
    </row>
    <row r="42" spans="3:9" outlineLevel="1" x14ac:dyDescent="0.2">
      <c r="C42" s="15">
        <v>50</v>
      </c>
      <c r="D42" s="15">
        <v>80</v>
      </c>
      <c r="E42" s="34">
        <f>[1]!MF_ksep_natural_d(C42,wc_,Pintake_,Tintake_,Dintake_,Dcas_,PVT_str_)</f>
        <v>0.71786420113379856</v>
      </c>
      <c r="F42" s="34">
        <f>[1]!MF_ksep_natural_d(C42,wc_,Pintake_,Tintake_,Dintake_,Dcas_*cf_dcas_,PVT_str_)</f>
        <v>0.28194157370789785</v>
      </c>
      <c r="G42" s="34">
        <f>[1]!MF_gas_fraction_d(Pintake_,Tintake_,0,PVT_str_)*(1-F42)</f>
        <v>0.49165900071981139</v>
      </c>
      <c r="H42" s="34" cm="1">
        <f t="array" ref="H42">[1]!ESP_gassep_ksep_d(gassep_type,G42,C42)</f>
        <v>0.43417177626073183</v>
      </c>
      <c r="I42" s="34">
        <f>[1]!MF_ksep_total_d(E42,H42)</f>
        <v>0.84035960207427784</v>
      </c>
    </row>
    <row r="43" spans="3:9" outlineLevel="1" x14ac:dyDescent="0.2">
      <c r="C43" s="15">
        <v>60</v>
      </c>
      <c r="D43" s="15">
        <v>80</v>
      </c>
      <c r="E43" s="34">
        <f>[1]!MF_ksep_natural_d(C43,wc_,Pintake_,Tintake_,Dintake_,Dcas_,PVT_str_)</f>
        <v>0.69767037291069955</v>
      </c>
      <c r="F43" s="34">
        <f>[1]!MF_ksep_natural_d(C43,wc_,Pintake_,Tintake_,Dintake_,Dcas_*cf_dcas_,PVT_str_)</f>
        <v>0.26431075506154222</v>
      </c>
      <c r="G43" s="34">
        <f>[1]!MF_gas_fraction_d(Pintake_,Tintake_,0,PVT_str_)*(1-F43)</f>
        <v>0.50373093018981419</v>
      </c>
      <c r="H43" s="34" cm="1">
        <f t="array" ref="H43">[1]!ESP_gassep_ksep_d(gassep_type,G43,C43)</f>
        <v>0.38463733292669716</v>
      </c>
      <c r="I43" s="34">
        <f>[1]!MF_ksep_total_d(E43,H43)</f>
        <v>0.81395763433905099</v>
      </c>
    </row>
    <row r="44" spans="3:9" outlineLevel="1" x14ac:dyDescent="0.2">
      <c r="C44" s="15">
        <v>70</v>
      </c>
      <c r="D44" s="15">
        <v>80</v>
      </c>
      <c r="E44" s="34">
        <f>[1]!MF_ksep_natural_d(C44,wc_,Pintake_,Tintake_,Dintake_,Dcas_,PVT_str_)</f>
        <v>0.66486444343503559</v>
      </c>
      <c r="F44" s="34">
        <f>[1]!MF_ksep_natural_d(C44,wc_,Pintake_,Tintake_,Dintake_,Dcas_*cf_dcas_,PVT_str_)</f>
        <v>0.24008594094612778</v>
      </c>
      <c r="G44" s="34">
        <f>[1]!MF_gas_fraction_d(Pintake_,Tintake_,0,PVT_str_)*(1-F44)</f>
        <v>0.52031780872852906</v>
      </c>
      <c r="H44" s="34" cm="1">
        <f t="array" ref="H44">[1]!ESP_gassep_ksep_d(gassep_type,G44,C44)</f>
        <v>0.33237978047171557</v>
      </c>
      <c r="I44" s="34">
        <f>[1]!MF_ksep_total_d(E44,H44)</f>
        <v>0.7762567261543647</v>
      </c>
    </row>
    <row r="45" spans="3:9" outlineLevel="1" x14ac:dyDescent="0.2">
      <c r="C45" s="15">
        <v>80</v>
      </c>
      <c r="D45" s="15">
        <v>80</v>
      </c>
      <c r="E45" s="34">
        <f>[1]!MF_ksep_natural_d(C45,wc_,Pintake_,Tintake_,Dintake_,Dcas_,PVT_str_)</f>
        <v>0.63473273896467131</v>
      </c>
      <c r="F45" s="34">
        <f>[1]!MF_ksep_natural_d(C45,wc_,Pintake_,Tintake_,Dintake_,Dcas_*cf_dcas_,PVT_str_)</f>
        <v>0.20199668855961583</v>
      </c>
      <c r="G45" s="34">
        <f>[1]!MF_gas_fraction_d(Pintake_,Tintake_,0,PVT_str_)*(1-F45)</f>
        <v>0.54639775303503757</v>
      </c>
      <c r="H45" s="34" cm="1">
        <f t="array" ref="H45">[1]!ESP_gassep_ksep_d(gassep_type,G45,C45)</f>
        <v>0.2738731344624985</v>
      </c>
      <c r="I45" s="34">
        <f>[1]!MF_ksep_total_d(E45,H45)</f>
        <v>0.73476962866094842</v>
      </c>
    </row>
    <row r="46" spans="3:9" outlineLevel="1" x14ac:dyDescent="0.2">
      <c r="C46" s="15">
        <v>90</v>
      </c>
      <c r="D46" s="15">
        <v>80</v>
      </c>
      <c r="E46" s="34">
        <f>[1]!MF_ksep_natural_d(C46,wc_,Pintake_,Tintake_,Dintake_,Dcas_,PVT_str_)</f>
        <v>0.60698372027425784</v>
      </c>
      <c r="F46" s="34">
        <f>[1]!MF_ksep_natural_d(C46,wc_,Pintake_,Tintake_,Dintake_,Dcas_*cf_dcas_,PVT_str_)</f>
        <v>0.14521518065480521</v>
      </c>
      <c r="G46" s="34">
        <f>[1]!MF_gas_fraction_d(Pintake_,Tintake_,0,PVT_str_)*(1-F46)</f>
        <v>0.58527639913630436</v>
      </c>
      <c r="H46" s="34" cm="1">
        <f t="array" ref="H46">[1]!ESP_gassep_ksep_d(gassep_type,G46,C46)</f>
        <v>0.18249871857412131</v>
      </c>
      <c r="I46" s="34">
        <f>[1]!MF_ksep_total_d(E46,H46)</f>
        <v>0.67870868770297421</v>
      </c>
    </row>
    <row r="47" spans="3:9" outlineLevel="1" x14ac:dyDescent="0.2">
      <c r="C47" s="15">
        <v>100</v>
      </c>
      <c r="D47" s="15">
        <v>80</v>
      </c>
      <c r="E47" s="34">
        <f>[1]!MF_ksep_natural_d(C47,wc_,Pintake_,Tintake_,Dintake_,Dcas_,PVT_str_)</f>
        <v>0.58137871423346643</v>
      </c>
      <c r="F47" s="34">
        <f>[1]!MF_ksep_natural_d(C47,wc_,Pintake_,Tintake_,Dintake_,Dcas_*cf_dcas_,PVT_str_)</f>
        <v>6.9954721389319019E-2</v>
      </c>
      <c r="G47" s="34">
        <f>[1]!MF_gas_fraction_d(Pintake_,Tintake_,0,PVT_str_)*(1-F47)</f>
        <v>0.63680769636967272</v>
      </c>
      <c r="H47" s="34" cm="1">
        <f t="array" ref="H47">[1]!ESP_gassep_ksep_d(gassep_type,G47,C47)</f>
        <v>5.8016618336795889E-2</v>
      </c>
      <c r="I47" s="34">
        <f>[1]!MF_ksep_total_d(E47,H47)</f>
        <v>0.60566570559744215</v>
      </c>
    </row>
    <row r="48" spans="3:9" outlineLevel="1" x14ac:dyDescent="0.2">
      <c r="C48" s="15">
        <v>110</v>
      </c>
      <c r="D48" s="15">
        <v>80</v>
      </c>
      <c r="E48" s="34">
        <f>[1]!MF_ksep_natural_d(C48,wc_,Pintake_,Tintake_,Dintake_,Dcas_,PVT_str_)</f>
        <v>0.557717577094476</v>
      </c>
      <c r="F48" s="34">
        <f>[1]!MF_ksep_natural_d(C48,wc_,Pintake_,Tintake_,Dintake_,Dcas_*cf_dcas_,PVT_str_)</f>
        <v>1.0874106193092814E-2</v>
      </c>
      <c r="G48" s="34">
        <f>[1]!MF_gas_fraction_d(Pintake_,Tintake_,0,PVT_str_)*(1-F48)</f>
        <v>0.67726055530941576</v>
      </c>
      <c r="H48" s="34" cm="1">
        <f t="array" ref="H48">[1]!ESP_gassep_ksep_d(gassep_type,G48,C48)</f>
        <v>0</v>
      </c>
      <c r="I48" s="34">
        <f>[1]!MF_ksep_total_d(E48,H48)</f>
        <v>0.557717577094476</v>
      </c>
    </row>
    <row r="49" spans="3:9" outlineLevel="1" x14ac:dyDescent="0.2">
      <c r="C49" s="15">
        <v>120</v>
      </c>
      <c r="D49" s="15">
        <v>80</v>
      </c>
      <c r="E49" s="34">
        <f>[1]!MF_ksep_natural_d(C49,wc_,Pintake_,Tintake_,Dintake_,Dcas_,PVT_str_)</f>
        <v>0.53582926065881087</v>
      </c>
      <c r="F49" s="34">
        <f>[1]!MF_ksep_natural_d(C49,wc_,Pintake_,Tintake_,Dintake_,Dcas_*cf_dcas_,PVT_str_)</f>
        <v>5.4971301887363211E-4</v>
      </c>
      <c r="G49" s="34">
        <f>[1]!MF_gas_fraction_d(Pintake_,Tintake_,0,PVT_str_)*(1-F49)</f>
        <v>0.68432973052582091</v>
      </c>
      <c r="H49" s="34" cm="1">
        <f t="array" ref="H49">[1]!ESP_gassep_ksep_d(gassep_type,G49,C49)</f>
        <v>0</v>
      </c>
      <c r="I49" s="34">
        <f>[1]!MF_ksep_total_d(E49,H49)</f>
        <v>0.53582926065881087</v>
      </c>
    </row>
    <row r="50" spans="3:9" outlineLevel="1" x14ac:dyDescent="0.2">
      <c r="C50" s="15">
        <v>130</v>
      </c>
      <c r="D50" s="15">
        <v>80</v>
      </c>
      <c r="E50" s="34">
        <f>[1]!MF_ksep_natural_d(C50,wc_,Pintake_,Tintake_,Dintake_,Dcas_,PVT_str_)</f>
        <v>0.51556532419726508</v>
      </c>
      <c r="F50" s="34">
        <f>[1]!MF_ksep_natural_d(C50,wc_,Pintake_,Tintake_,Dintake_,Dcas_*cf_dcas_,PVT_str_)</f>
        <v>2.0205656376504066E-5</v>
      </c>
      <c r="G50" s="34">
        <f>[1]!MF_gas_fraction_d(Pintake_,Tintake_,0,PVT_str_)*(1-F50)</f>
        <v>0.68469228745877619</v>
      </c>
      <c r="H50" s="34" cm="1">
        <f t="array" ref="H50">[1]!ESP_gassep_ksep_d(gassep_type,G50,C50)</f>
        <v>0</v>
      </c>
      <c r="I50" s="34">
        <f>[1]!MF_ksep_total_d(E50,H50)</f>
        <v>0.51556532419726508</v>
      </c>
    </row>
    <row r="51" spans="3:9" outlineLevel="1" x14ac:dyDescent="0.2">
      <c r="C51" s="15">
        <v>140</v>
      </c>
      <c r="D51" s="15">
        <v>80</v>
      </c>
      <c r="E51" s="34">
        <f>[1]!MF_ksep_natural_d(C51,wc_,Pintake_,Tintake_,Dintake_,Dcas_,PVT_str_)</f>
        <v>0.49679531011636002</v>
      </c>
      <c r="F51" s="34">
        <f>[1]!MF_ksep_natural_d(C51,wc_,Pintake_,Tintake_,Dintake_,Dcas_*cf_dcas_,PVT_str_)</f>
        <v>6.2816629942119562E-7</v>
      </c>
      <c r="G51" s="34">
        <f>[1]!MF_gas_fraction_d(Pintake_,Tintake_,0,PVT_str_)*(1-F51)</f>
        <v>0.68470569228609313</v>
      </c>
      <c r="H51" s="34" cm="1">
        <f t="array" ref="H51">[1]!ESP_gassep_ksep_d(gassep_type,G51,C51)</f>
        <v>0</v>
      </c>
      <c r="I51" s="34">
        <f>[1]!MF_ksep_total_d(E51,H51)</f>
        <v>0.49679531011636002</v>
      </c>
    </row>
    <row r="52" spans="3:9" outlineLevel="1" x14ac:dyDescent="0.2">
      <c r="C52" s="15">
        <v>150</v>
      </c>
      <c r="D52" s="15">
        <v>80</v>
      </c>
      <c r="E52" s="34">
        <f>[1]!MF_ksep_natural_d(C52,wc_,Pintake_,Tintake_,Dintake_,Dcas_,PVT_str_)</f>
        <v>0.4794033493546983</v>
      </c>
      <c r="F52" s="34">
        <f>[1]!MF_ksep_natural_d(C52,wc_,Pintake_,Tintake_,Dintake_,Dcas_*cf_dcas_,PVT_str_)</f>
        <v>0</v>
      </c>
      <c r="G52" s="34">
        <f>[1]!MF_gas_fraction_d(Pintake_,Tintake_,0,PVT_str_)*(1-F52)</f>
        <v>0.68470612239540418</v>
      </c>
      <c r="H52" s="34" cm="1">
        <f t="array" ref="H52">[1]!ESP_gassep_ksep_d(gassep_type,G52,C52)</f>
        <v>0</v>
      </c>
      <c r="I52" s="34">
        <f>[1]!MF_ksep_total_d(E52,H52)</f>
        <v>0.4794033493546983</v>
      </c>
    </row>
    <row r="53" spans="3:9" outlineLevel="1" x14ac:dyDescent="0.2">
      <c r="C53" s="15">
        <v>160</v>
      </c>
      <c r="D53" s="15">
        <v>80</v>
      </c>
      <c r="E53" s="34">
        <f>[1]!MF_ksep_natural_d(C53,wc_,Pintake_,Tintake_,Dintake_,Dcas_,PVT_str_)</f>
        <v>0.46328560693123144</v>
      </c>
      <c r="F53" s="34">
        <f>[1]!MF_ksep_natural_d(C53,wc_,Pintake_,Tintake_,Dintake_,Dcas_*cf_dcas_,PVT_str_)</f>
        <v>0</v>
      </c>
      <c r="G53" s="34">
        <f>[1]!MF_gas_fraction_d(Pintake_,Tintake_,0,PVT_str_)*(1-F53)</f>
        <v>0.68470612239540418</v>
      </c>
      <c r="H53" s="34" cm="1">
        <f t="array" ref="H53">[1]!ESP_gassep_ksep_d(gassep_type,G53,C53)</f>
        <v>0</v>
      </c>
      <c r="I53" s="34">
        <f>[1]!MF_ksep_total_d(E53,H53)</f>
        <v>0.46328560693123144</v>
      </c>
    </row>
    <row r="54" spans="3:9" outlineLevel="1" x14ac:dyDescent="0.2">
      <c r="C54" s="15">
        <v>170</v>
      </c>
      <c r="D54" s="15">
        <v>80</v>
      </c>
      <c r="E54" s="34">
        <f>[1]!MF_ksep_natural_d(C54,wc_,Pintake_,Tintake_,Dintake_,Dcas_,PVT_str_)</f>
        <v>0.44834831860394586</v>
      </c>
      <c r="F54" s="34">
        <f>[1]!MF_ksep_natural_d(C54,wc_,Pintake_,Tintake_,Dintake_,Dcas_*cf_dcas_,PVT_str_)</f>
        <v>0</v>
      </c>
      <c r="G54" s="34">
        <f>[1]!MF_gas_fraction_d(Pintake_,Tintake_,0,PVT_str_)*(1-F54)</f>
        <v>0.68470612239540418</v>
      </c>
      <c r="H54" s="34" cm="1">
        <f t="array" ref="H54">[1]!ESP_gassep_ksep_d(gassep_type,G54,C54)</f>
        <v>0</v>
      </c>
      <c r="I54" s="34">
        <f>[1]!MF_ksep_total_d(E54,H54)</f>
        <v>0.44834831860394586</v>
      </c>
    </row>
    <row r="55" spans="3:9" outlineLevel="1" x14ac:dyDescent="0.2">
      <c r="C55" s="15">
        <v>180</v>
      </c>
      <c r="D55" s="15">
        <v>80</v>
      </c>
      <c r="E55" s="34">
        <f>[1]!MF_ksep_natural_d(C55,wc_,Pintake_,Tintake_,Dintake_,Dcas_,PVT_str_)</f>
        <v>0.43450625401093967</v>
      </c>
      <c r="F55" s="34">
        <f>[1]!MF_ksep_natural_d(C55,wc_,Pintake_,Tintake_,Dintake_,Dcas_*cf_dcas_,PVT_str_)</f>
        <v>0</v>
      </c>
      <c r="G55" s="34">
        <f>[1]!MF_gas_fraction_d(Pintake_,Tintake_,0,PVT_str_)*(1-F55)</f>
        <v>0.68470612239540418</v>
      </c>
      <c r="H55" s="34" cm="1">
        <f t="array" ref="H55">[1]!ESP_gassep_ksep_d(gassep_type,G55,C55)</f>
        <v>0</v>
      </c>
      <c r="I55" s="34">
        <f>[1]!MF_ksep_total_d(E55,H55)</f>
        <v>0.43450625401093967</v>
      </c>
    </row>
    <row r="56" spans="3:9" outlineLevel="1" x14ac:dyDescent="0.2">
      <c r="C56" s="15">
        <v>190</v>
      </c>
      <c r="D56" s="15">
        <v>80</v>
      </c>
      <c r="E56" s="34">
        <f>[1]!MF_ksep_natural_d(C56,wc_,Pintake_,Tintake_,Dintake_,Dcas_,PVT_str_)</f>
        <v>0.42168149429020563</v>
      </c>
      <c r="F56" s="34">
        <f>[1]!MF_ksep_natural_d(C56,wc_,Pintake_,Tintake_,Dintake_,Dcas_*cf_dcas_,PVT_str_)</f>
        <v>0</v>
      </c>
      <c r="G56" s="34">
        <f>[1]!MF_gas_fraction_d(Pintake_,Tintake_,0,PVT_str_)*(1-F56)</f>
        <v>0.68470612239540418</v>
      </c>
      <c r="H56" s="34" cm="1">
        <f t="array" ref="H56">[1]!ESP_gassep_ksep_d(gassep_type,G56,C56)</f>
        <v>0</v>
      </c>
      <c r="I56" s="34">
        <f>[1]!MF_ksep_total_d(E56,H56)</f>
        <v>0.42168149429020563</v>
      </c>
    </row>
    <row r="57" spans="3:9" outlineLevel="1" x14ac:dyDescent="0.2">
      <c r="C57" s="15">
        <v>200</v>
      </c>
      <c r="D57" s="15">
        <v>80</v>
      </c>
      <c r="E57" s="34">
        <f>[1]!MF_ksep_natural_d(C57,wc_,Pintake_,Tintake_,Dintake_,Dcas_,PVT_str_)</f>
        <v>0.40980244604891802</v>
      </c>
      <c r="F57" s="34">
        <f>[1]!MF_ksep_natural_d(C57,wc_,Pintake_,Tintake_,Dintake_,Dcas_*cf_dcas_,PVT_str_)</f>
        <v>0</v>
      </c>
      <c r="G57" s="34">
        <f>[1]!MF_gas_fraction_d(Pintake_,Tintake_,0,PVT_str_)*(1-F57)</f>
        <v>0.68470612239540418</v>
      </c>
      <c r="H57" s="34" cm="1">
        <f t="array" ref="H57">[1]!ESP_gassep_ksep_d(gassep_type,G57,C57)</f>
        <v>0</v>
      </c>
      <c r="I57" s="34">
        <f>[1]!MF_ksep_total_d(E57,H57)</f>
        <v>0.40980244604891802</v>
      </c>
    </row>
    <row r="58" spans="3:9" outlineLevel="1" x14ac:dyDescent="0.2">
      <c r="C58" s="15">
        <v>210</v>
      </c>
      <c r="D58" s="15">
        <v>80</v>
      </c>
      <c r="E58" s="34">
        <f>[1]!MF_ksep_natural_d(C58,wc_,Pintake_,Tintake_,Dintake_,Dcas_,PVT_str_)</f>
        <v>0.39880303597498346</v>
      </c>
      <c r="F58" s="34">
        <f>[1]!MF_ksep_natural_d(C58,wc_,Pintake_,Tintake_,Dintake_,Dcas_*cf_dcas_,PVT_str_)</f>
        <v>0</v>
      </c>
      <c r="G58" s="34">
        <f>[1]!MF_gas_fraction_d(Pintake_,Tintake_,0,PVT_str_)*(1-F58)</f>
        <v>0.68470612239540418</v>
      </c>
      <c r="H58" s="34" cm="1">
        <f t="array" ref="H58">[1]!ESP_gassep_ksep_d(gassep_type,G58,C58)</f>
        <v>0</v>
      </c>
      <c r="I58" s="34">
        <f>[1]!MF_ksep_total_d(E58,H58)</f>
        <v>0.39880303597498346</v>
      </c>
    </row>
    <row r="59" spans="3:9" outlineLevel="1" x14ac:dyDescent="0.2">
      <c r="C59" s="15">
        <v>220</v>
      </c>
      <c r="D59" s="15">
        <v>80</v>
      </c>
      <c r="E59" s="34">
        <f>[1]!MF_ksep_natural_d(C59,wc_,Pintake_,Tintake_,Dintake_,Dcas_,PVT_str_)</f>
        <v>0.38862204559346658</v>
      </c>
      <c r="F59" s="34">
        <f>[1]!MF_ksep_natural_d(C59,wc_,Pintake_,Tintake_,Dintake_,Dcas_*cf_dcas_,PVT_str_)</f>
        <v>0</v>
      </c>
      <c r="G59" s="34">
        <f>[1]!MF_gas_fraction_d(Pintake_,Tintake_,0,PVT_str_)*(1-F59)</f>
        <v>0.68470612239540418</v>
      </c>
      <c r="H59" s="34" cm="1">
        <f t="array" ref="H59">[1]!ESP_gassep_ksep_d(gassep_type,G59,C59)</f>
        <v>0</v>
      </c>
      <c r="I59" s="34">
        <f>[1]!MF_ksep_total_d(E59,H59)</f>
        <v>0.38862204559346658</v>
      </c>
    </row>
    <row r="60" spans="3:9" outlineLevel="1" x14ac:dyDescent="0.2">
      <c r="C60" s="15">
        <v>230</v>
      </c>
      <c r="D60" s="15">
        <v>80</v>
      </c>
      <c r="E60" s="34">
        <f>[1]!MF_ksep_natural_d(C60,wc_,Pintake_,Tintake_,Dintake_,Dcas_,PVT_str_)</f>
        <v>0.3792025562147634</v>
      </c>
      <c r="F60" s="34">
        <f>[1]!MF_ksep_natural_d(C60,wc_,Pintake_,Tintake_,Dintake_,Dcas_*cf_dcas_,PVT_str_)</f>
        <v>0</v>
      </c>
      <c r="G60" s="34">
        <f>[1]!MF_gas_fraction_d(Pintake_,Tintake_,0,PVT_str_)*(1-F60)</f>
        <v>0.68470612239540418</v>
      </c>
      <c r="H60" s="34" cm="1">
        <f t="array" ref="H60">[1]!ESP_gassep_ksep_d(gassep_type,G60,C60)</f>
        <v>0</v>
      </c>
      <c r="I60" s="34">
        <f>[1]!MF_ksep_total_d(E60,H60)</f>
        <v>0.3792025562147634</v>
      </c>
    </row>
    <row r="61" spans="3:9" outlineLevel="1" x14ac:dyDescent="0.2">
      <c r="C61" s="15">
        <v>240</v>
      </c>
      <c r="D61" s="15">
        <v>80</v>
      </c>
      <c r="E61" s="34">
        <f>[1]!MF_ksep_natural_d(C61,wc_,Pintake_,Tintake_,Dintake_,Dcas_,PVT_str_)</f>
        <v>0.37049148157453793</v>
      </c>
      <c r="F61" s="34">
        <f>[1]!MF_ksep_natural_d(C61,wc_,Pintake_,Tintake_,Dintake_,Dcas_*cf_dcas_,PVT_str_)</f>
        <v>0</v>
      </c>
      <c r="G61" s="34">
        <f>[1]!MF_gas_fraction_d(Pintake_,Tintake_,0,PVT_str_)*(1-F61)</f>
        <v>0.68470612239540418</v>
      </c>
      <c r="H61" s="34" cm="1">
        <f t="array" ref="H61">[1]!ESP_gassep_ksep_d(gassep_type,G61,C61)</f>
        <v>0</v>
      </c>
      <c r="I61" s="34">
        <f>[1]!MF_ksep_total_d(E61,H61)</f>
        <v>0.37049148157453793</v>
      </c>
    </row>
    <row r="62" spans="3:9" outlineLevel="1" x14ac:dyDescent="0.2"/>
    <row r="63" spans="3:9" outlineLevel="1" x14ac:dyDescent="0.2"/>
    <row r="65" spans="3:8" outlineLevel="1" x14ac:dyDescent="0.2"/>
    <row r="66" spans="3:8" outlineLevel="1" x14ac:dyDescent="0.2"/>
    <row r="67" spans="3:8" outlineLevel="1" x14ac:dyDescent="0.2"/>
    <row r="68" spans="3:8" outlineLevel="1" x14ac:dyDescent="0.2"/>
    <row r="69" spans="3:8" outlineLevel="1" x14ac:dyDescent="0.2"/>
    <row r="70" spans="3:8" outlineLevel="1" x14ac:dyDescent="0.2"/>
    <row r="71" spans="3:8" outlineLevel="1" x14ac:dyDescent="0.2">
      <c r="E71" s="4"/>
    </row>
    <row r="72" spans="3:8" outlineLevel="1" x14ac:dyDescent="0.2"/>
    <row r="73" spans="3:8" outlineLevel="1" x14ac:dyDescent="0.2"/>
    <row r="74" spans="3:8" outlineLevel="1" x14ac:dyDescent="0.2">
      <c r="F74" s="3"/>
      <c r="G74" s="7"/>
      <c r="H74" s="7"/>
    </row>
    <row r="75" spans="3:8" outlineLevel="1" x14ac:dyDescent="0.2">
      <c r="C75" s="8"/>
      <c r="D75" s="8"/>
      <c r="E75" s="9"/>
      <c r="F75" s="9"/>
      <c r="G75" s="9"/>
      <c r="H75" s="9"/>
    </row>
    <row r="76" spans="3:8" outlineLevel="1" x14ac:dyDescent="0.2">
      <c r="C76" s="8"/>
      <c r="D76" s="8"/>
      <c r="E76" s="9"/>
      <c r="F76" s="9"/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9"/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/>
    <row r="97" outlineLevel="1" x14ac:dyDescent="0.2"/>
    <row r="98" outlineLevel="1" x14ac:dyDescent="0.2"/>
    <row r="153" spans="11:11" x14ac:dyDescent="0.2">
      <c r="K153" t="s">
        <v>6</v>
      </c>
    </row>
    <row r="164" spans="11:11" x14ac:dyDescent="0.2">
      <c r="K164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Separation</vt:lpstr>
      <vt:lpstr>Separation!Bob_</vt:lpstr>
      <vt:lpstr>cf_dcas_</vt:lpstr>
      <vt:lpstr>course</vt:lpstr>
      <vt:lpstr>Separation!Dcas_</vt:lpstr>
      <vt:lpstr>Separation!Dintake_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2020-07-15T16:55:23Z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