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E5FEBB8-BE0B-48C0-A369-5678A7837958}" xr6:coauthVersionLast="45" xr6:coauthVersionMax="45" xr10:uidLastSave="{00000000-0000-0000-0000-000000000000}"/>
  <bookViews>
    <workbookView xWindow="-38520" yWindow="-120" windowWidth="38640" windowHeight="21240" tabRatio="422" xr2:uid="{00000000-000D-0000-FFFF-FFFF00000000}"/>
  </bookViews>
  <sheets>
    <sheet name="Separation" sheetId="110" r:id="rId1"/>
  </sheets>
  <externalReferences>
    <externalReference r:id="rId2"/>
  </externalReferences>
  <definedNames>
    <definedName name="Bob_" localSheetId="0">Separation!$C$18</definedName>
    <definedName name="cf_dcas_">Separation!$F$34</definedName>
    <definedName name="course">Separation!$B$3</definedName>
    <definedName name="Dcas_" localSheetId="0">Separation!$C$23</definedName>
    <definedName name="Dintake_" localSheetId="0">Separation!$C$24</definedName>
    <definedName name="gamma_gas_" localSheetId="0">Separation!$C$13</definedName>
    <definedName name="gamma_oil_" localSheetId="0">Separation!$C$11</definedName>
    <definedName name="gamma_wat_" localSheetId="0">Separation!$C$12</definedName>
    <definedName name="gassep_type">Separation!$H$34</definedName>
    <definedName name="Group">Separation!$B$4</definedName>
    <definedName name="input_Course">Separation!$I$3</definedName>
    <definedName name="input_Date">Separation!$I$1</definedName>
    <definedName name="input_Group">Separation!$I$4</definedName>
    <definedName name="input_Notes">Separation!$I$6</definedName>
    <definedName name="input_Student_Name">Separation!$I$5</definedName>
    <definedName name="input_Version">Separation!$I$2</definedName>
    <definedName name="muob_" localSheetId="0">Separation!$C$19</definedName>
    <definedName name="Pb_" localSheetId="0">Separation!$C$16</definedName>
    <definedName name="Pintake_" localSheetId="0">Separation!$C$25</definedName>
    <definedName name="PVT_str_">Separation!$C$29</definedName>
    <definedName name="Rp_" localSheetId="0">Separation!$C$15</definedName>
    <definedName name="Rsb_" localSheetId="0">Separation!$C$14</definedName>
    <definedName name="Tintake_" localSheetId="0">Separation!$C$26</definedName>
    <definedName name="Tres_" localSheetId="0">Separation!$C$17</definedName>
    <definedName name="ver_">Separation!$G$1</definedName>
    <definedName name="wc_" localSheetId="0">Separation!$C$20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5" i="110" l="1"/>
  <c r="G1" i="110"/>
  <c r="C29" i="110"/>
  <c r="F43" i="110" s="1"/>
  <c r="E36" i="110"/>
  <c r="F41" i="110"/>
  <c r="E55" i="110"/>
  <c r="E58" i="110"/>
  <c r="F61" i="110"/>
  <c r="F57" i="110"/>
  <c r="F58" i="110"/>
  <c r="F38" i="110"/>
  <c r="E37" i="110"/>
  <c r="F45" i="110"/>
  <c r="F40" i="110"/>
  <c r="F51" i="110"/>
  <c r="F42" i="110"/>
  <c r="F55" i="110"/>
  <c r="E53" i="110"/>
  <c r="E52" i="110"/>
  <c r="E51" i="110"/>
  <c r="E41" i="110"/>
  <c r="F44" i="110"/>
  <c r="F48" i="110"/>
  <c r="E45" i="110"/>
  <c r="E39" i="110"/>
  <c r="F56" i="110"/>
  <c r="E57" i="110"/>
  <c r="E46" i="110"/>
  <c r="E61" i="110"/>
  <c r="E60" i="110"/>
  <c r="F53" i="110"/>
  <c r="E50" i="110"/>
  <c r="E40" i="110"/>
  <c r="E43" i="110"/>
  <c r="F49" i="110"/>
  <c r="F46" i="110"/>
  <c r="F60" i="110"/>
  <c r="E49" i="110"/>
  <c r="F54" i="110"/>
  <c r="F52" i="110"/>
  <c r="F39" i="110"/>
  <c r="E59" i="110"/>
  <c r="E44" i="110"/>
  <c r="E38" i="110"/>
  <c r="F36" i="110"/>
  <c r="F50" i="110"/>
  <c r="E56" i="110"/>
  <c r="E47" i="110"/>
  <c r="F37" i="110"/>
  <c r="E42" i="110"/>
  <c r="E54" i="110"/>
  <c r="F47" i="110"/>
  <c r="E48" i="110"/>
  <c r="F59" i="110"/>
  <c r="F17" i="110" l="1"/>
  <c r="F16" i="110"/>
  <c r="F15" i="110"/>
  <c r="F14" i="110"/>
  <c r="F13" i="110"/>
  <c r="F12" i="110"/>
  <c r="F11" i="110"/>
  <c r="G48" i="110"/>
  <c r="G53" i="110"/>
  <c r="G50" i="110"/>
  <c r="G43" i="110"/>
  <c r="G47" i="110"/>
  <c r="G51" i="110"/>
  <c r="G36" i="110"/>
  <c r="G60" i="110"/>
  <c r="G46" i="110"/>
  <c r="G38" i="110"/>
  <c r="G58" i="110"/>
  <c r="G55" i="110"/>
  <c r="G56" i="110"/>
  <c r="G44" i="110"/>
  <c r="G49" i="110"/>
  <c r="G54" i="110"/>
  <c r="G52" i="110"/>
  <c r="G45" i="110"/>
  <c r="G40" i="110"/>
  <c r="H40" i="110" s="1"/>
  <c r="I40" i="110" s="1"/>
  <c r="G61" i="110"/>
  <c r="G57" i="110"/>
  <c r="G59" i="110"/>
  <c r="G42" i="110"/>
  <c r="G37" i="110"/>
  <c r="G39" i="110"/>
  <c r="G41" i="110"/>
  <c r="F35" i="110" l="1"/>
  <c r="H41" i="110"/>
  <c r="H44" i="110"/>
  <c r="H53" i="110"/>
  <c r="H48" i="110"/>
  <c r="H55" i="110"/>
  <c r="H59" i="110"/>
  <c r="H38" i="110"/>
  <c r="H61" i="110"/>
  <c r="H45" i="110"/>
  <c r="H54" i="110"/>
  <c r="H43" i="110"/>
  <c r="H39" i="110"/>
  <c r="H56" i="110"/>
  <c r="H58" i="110"/>
  <c r="H46" i="110"/>
  <c r="H52" i="110"/>
  <c r="H50" i="110"/>
  <c r="H37" i="110"/>
  <c r="H42" i="110"/>
  <c r="H57" i="110"/>
  <c r="H60" i="110"/>
  <c r="H36" i="110"/>
  <c r="H51" i="110"/>
  <c r="H47" i="110"/>
  <c r="H49" i="110"/>
  <c r="I49" i="110" l="1"/>
  <c r="I58" i="110"/>
  <c r="I44" i="110"/>
  <c r="I56" i="110"/>
  <c r="I41" i="110"/>
  <c r="I51" i="110"/>
  <c r="I39" i="110"/>
  <c r="I36" i="110"/>
  <c r="I54" i="110"/>
  <c r="I57" i="110"/>
  <c r="I42" i="110"/>
  <c r="I38" i="110"/>
  <c r="I52" i="110"/>
  <c r="I53" i="110"/>
  <c r="I47" i="110"/>
  <c r="I43" i="110"/>
  <c r="I45" i="110"/>
  <c r="I61" i="110"/>
  <c r="I59" i="110"/>
  <c r="I48" i="110"/>
  <c r="I37" i="110"/>
  <c r="I60" i="110"/>
  <c r="I50" i="110"/>
  <c r="I55" i="110"/>
  <c r="I46" i="110"/>
</calcChain>
</file>

<file path=xl/sharedStrings.xml><?xml version="1.0" encoding="utf-8"?>
<sst xmlns="http://schemas.openxmlformats.org/spreadsheetml/2006/main" count="68" uniqueCount="54">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</sst>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47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3" borderId="13" xfId="0" applyFill="1" applyBorder="1" applyAlignment="1">
      <alignment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2" fontId="0" fillId="8" borderId="0" xfId="0" applyNumberFormat="1" applyFill="1" applyAlignment="1">
      <alignment horizontal="center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Separation!$E$35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Separation!$E$36:$E$61</c:f>
              <c:numCache>
                <c:formatCode>0.00</c:formatCode>
                <c:ptCount val="26"/>
                <c:pt idx="0">
                  <c:v>0.98230747543683494</c:v>
                </c:pt>
                <c:pt idx="1">
                  <c:v>0.95323844350876674</c:v>
                </c:pt>
                <c:pt idx="2">
                  <c:v>0.91612090593091644</c:v>
                </c:pt>
                <c:pt idx="3">
                  <c:v>0.85653492056803104</c:v>
                </c:pt>
                <c:pt idx="4">
                  <c:v>0.80489090385500672</c:v>
                </c:pt>
                <c:pt idx="5">
                  <c:v>0.75905467934363968</c:v>
                </c:pt>
                <c:pt idx="6">
                  <c:v>0.71786420113379856</c:v>
                </c:pt>
                <c:pt idx="7">
                  <c:v>0.69767037291069955</c:v>
                </c:pt>
                <c:pt idx="8">
                  <c:v>0.66486444343503559</c:v>
                </c:pt>
                <c:pt idx="9">
                  <c:v>0.63473273896467131</c:v>
                </c:pt>
                <c:pt idx="10">
                  <c:v>0.60698372027425784</c:v>
                </c:pt>
                <c:pt idx="11">
                  <c:v>0.58137871423346643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Separation!$F$35</c:f>
              <c:strCache>
                <c:ptCount val="1"/>
                <c:pt idx="0">
                  <c:v>Естественная сепарация 117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Separation!$F$36:$F$61</c:f>
              <c:numCache>
                <c:formatCode>0.00</c:formatCode>
                <c:ptCount val="26"/>
                <c:pt idx="0">
                  <c:v>0.9755608422566896</c:v>
                </c:pt>
                <c:pt idx="1">
                  <c:v>0.92034913033311871</c:v>
                </c:pt>
                <c:pt idx="2">
                  <c:v>0.86374294815883312</c:v>
                </c:pt>
                <c:pt idx="3">
                  <c:v>0.77044972216436358</c:v>
                </c:pt>
                <c:pt idx="4">
                  <c:v>0.71122035319106336</c:v>
                </c:pt>
                <c:pt idx="5">
                  <c:v>0.65003552784635865</c:v>
                </c:pt>
                <c:pt idx="6">
                  <c:v>0.59773391645774232</c:v>
                </c:pt>
                <c:pt idx="7">
                  <c:v>0.55269843546743025</c:v>
                </c:pt>
                <c:pt idx="8">
                  <c:v>0.51375898845175794</c:v>
                </c:pt>
                <c:pt idx="9">
                  <c:v>0.48001675086645923</c:v>
                </c:pt>
                <c:pt idx="10">
                  <c:v>0.45075236845751876</c:v>
                </c:pt>
                <c:pt idx="11">
                  <c:v>0.4253727472122375</c:v>
                </c:pt>
                <c:pt idx="12">
                  <c:v>0.40337781798682926</c:v>
                </c:pt>
                <c:pt idx="13">
                  <c:v>0.38433856566644176</c:v>
                </c:pt>
                <c:pt idx="14">
                  <c:v>0.36788184069463314</c:v>
                </c:pt>
                <c:pt idx="15">
                  <c:v>0.35367947145069456</c:v>
                </c:pt>
                <c:pt idx="16">
                  <c:v>0.34144022127249318</c:v>
                </c:pt>
                <c:pt idx="17">
                  <c:v>0.33090369401264486</c:v>
                </c:pt>
                <c:pt idx="18">
                  <c:v>0.32183561440575525</c:v>
                </c:pt>
                <c:pt idx="19">
                  <c:v>0.31402410339626652</c:v>
                </c:pt>
                <c:pt idx="20">
                  <c:v>0.30727668958211662</c:v>
                </c:pt>
                <c:pt idx="21">
                  <c:v>0.30141787591495195</c:v>
                </c:pt>
                <c:pt idx="22">
                  <c:v>0.29628713248008154</c:v>
                </c:pt>
                <c:pt idx="23">
                  <c:v>0.2917372212813909</c:v>
                </c:pt>
                <c:pt idx="24">
                  <c:v>0.28763278332179176</c:v>
                </c:pt>
                <c:pt idx="25">
                  <c:v>0.28384913551515822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Separation!$E$35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Separation!$E$36:$E$61</c:f>
              <c:numCache>
                <c:formatCode>0.00</c:formatCode>
                <c:ptCount val="26"/>
                <c:pt idx="0">
                  <c:v>0.98230747543683494</c:v>
                </c:pt>
                <c:pt idx="1">
                  <c:v>0.95323844350876674</c:v>
                </c:pt>
                <c:pt idx="2">
                  <c:v>0.91612090593091644</c:v>
                </c:pt>
                <c:pt idx="3">
                  <c:v>0.85653492056803104</c:v>
                </c:pt>
                <c:pt idx="4">
                  <c:v>0.80489090385500672</c:v>
                </c:pt>
                <c:pt idx="5">
                  <c:v>0.75905467934363968</c:v>
                </c:pt>
                <c:pt idx="6">
                  <c:v>0.71786420113379856</c:v>
                </c:pt>
                <c:pt idx="7">
                  <c:v>0.69767037291069955</c:v>
                </c:pt>
                <c:pt idx="8">
                  <c:v>0.66486444343503559</c:v>
                </c:pt>
                <c:pt idx="9">
                  <c:v>0.63473273896467131</c:v>
                </c:pt>
                <c:pt idx="10">
                  <c:v>0.60698372027425784</c:v>
                </c:pt>
                <c:pt idx="11">
                  <c:v>0.58137871423346643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Separation!$I$35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Separation!$I$36:$I$61</c:f>
              <c:numCache>
                <c:formatCode>0.00</c:formatCode>
                <c:ptCount val="26"/>
                <c:pt idx="0">
                  <c:v>0.98535134831577265</c:v>
                </c:pt>
                <c:pt idx="1">
                  <c:v>0.97527058765744934</c:v>
                </c:pt>
                <c:pt idx="2">
                  <c:v>0.97016511105845793</c:v>
                </c:pt>
                <c:pt idx="3">
                  <c:v>0.96719322843800926</c:v>
                </c:pt>
                <c:pt idx="4">
                  <c:v>0.96939188571282064</c:v>
                </c:pt>
                <c:pt idx="5">
                  <c:v>0.97657762985682106</c:v>
                </c:pt>
                <c:pt idx="6">
                  <c:v>0.98299277117604689</c:v>
                </c:pt>
                <c:pt idx="7">
                  <c:v>0.98741252287161296</c:v>
                </c:pt>
                <c:pt idx="8">
                  <c:v>0.98737556440899799</c:v>
                </c:pt>
                <c:pt idx="9">
                  <c:v>0.98334227230286697</c:v>
                </c:pt>
                <c:pt idx="10">
                  <c:v>0.9760091381898478</c:v>
                </c:pt>
                <c:pt idx="11">
                  <c:v>0.96649638052289544</c:v>
                </c:pt>
                <c:pt idx="12">
                  <c:v>0.95519657835224714</c:v>
                </c:pt>
                <c:pt idx="13">
                  <c:v>0.94249009539531192</c:v>
                </c:pt>
                <c:pt idx="14">
                  <c:v>0.9287221605384447</c:v>
                </c:pt>
                <c:pt idx="15">
                  <c:v>0.91419276404975791</c:v>
                </c:pt>
                <c:pt idx="16">
                  <c:v>0.89915406481469817</c:v>
                </c:pt>
                <c:pt idx="17">
                  <c:v>0.88381197160376512</c:v>
                </c:pt>
                <c:pt idx="18">
                  <c:v>0.86832984760270171</c:v>
                </c:pt>
                <c:pt idx="19">
                  <c:v>0.85283311147355867</c:v>
                </c:pt>
                <c:pt idx="20">
                  <c:v>0.8374140256618644</c:v>
                </c:pt>
                <c:pt idx="21">
                  <c:v>0.82213628072165901</c:v>
                </c:pt>
                <c:pt idx="22">
                  <c:v>0.80703917535402325</c:v>
                </c:pt>
                <c:pt idx="23">
                  <c:v>0.79214130342239886</c:v>
                </c:pt>
                <c:pt idx="24">
                  <c:v>0.77744372241086845</c:v>
                </c:pt>
                <c:pt idx="25">
                  <c:v>0.76293261232273601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33</xdr:row>
      <xdr:rowOff>154881</xdr:rowOff>
    </xdr:from>
    <xdr:to>
      <xdr:col>25</xdr:col>
      <xdr:colOff>11206</xdr:colOff>
      <xdr:row>60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34</xdr:row>
      <xdr:rowOff>20412</xdr:rowOff>
    </xdr:from>
    <xdr:to>
      <xdr:col>18</xdr:col>
      <xdr:colOff>324972</xdr:colOff>
      <xdr:row>60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42</xdr:row>
      <xdr:rowOff>123264</xdr:rowOff>
    </xdr:from>
    <xdr:to>
      <xdr:col>11</xdr:col>
      <xdr:colOff>560293</xdr:colOff>
      <xdr:row>50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ksep_gasseparator_d"/>
      <definedName name="MF_gas_fraction_d"/>
      <definedName name="MF_ksep_natural_d"/>
      <definedName name="MF_ksep_total_d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4"/>
  <sheetViews>
    <sheetView tabSelected="1" zoomScale="115" zoomScaleNormal="115" workbookViewId="0">
      <selection activeCell="K17" sqref="K17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7.23</v>
      </c>
      <c r="H1" t="s">
        <v>39</v>
      </c>
      <c r="I1" s="25">
        <v>43958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7.23</v>
      </c>
      <c r="J2" s="26"/>
      <c r="K2" s="26"/>
      <c r="L2" s="26"/>
    </row>
    <row r="3" spans="1:12" ht="15" x14ac:dyDescent="0.25">
      <c r="A3" s="28" t="s">
        <v>41</v>
      </c>
      <c r="B3" s="29" t="s">
        <v>42</v>
      </c>
      <c r="C3" s="30"/>
      <c r="D3" s="30"/>
      <c r="E3" s="31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29" t="s">
        <v>45</v>
      </c>
      <c r="C4" s="30"/>
      <c r="D4" s="30"/>
      <c r="E4" s="31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29" t="s">
        <v>48</v>
      </c>
      <c r="C5" s="30"/>
      <c r="D5" s="30"/>
      <c r="E5" s="31"/>
      <c r="H5" t="s">
        <v>49</v>
      </c>
      <c r="I5" s="26" t="s">
        <v>48</v>
      </c>
      <c r="J5" s="26"/>
      <c r="K5" s="26"/>
      <c r="L5" s="26"/>
    </row>
    <row r="6" spans="1:12" x14ac:dyDescent="0.2">
      <c r="A6" s="32" t="s">
        <v>50</v>
      </c>
      <c r="B6" s="33" t="s">
        <v>51</v>
      </c>
      <c r="C6" s="34"/>
      <c r="D6" s="34"/>
      <c r="E6" s="35"/>
      <c r="H6" s="36" t="s">
        <v>52</v>
      </c>
      <c r="I6" s="37" t="s">
        <v>51</v>
      </c>
      <c r="J6" s="37"/>
      <c r="K6" s="37"/>
      <c r="L6" s="37"/>
    </row>
    <row r="7" spans="1:12" x14ac:dyDescent="0.2">
      <c r="A7" s="38"/>
      <c r="B7" s="39"/>
      <c r="C7" s="40"/>
      <c r="D7" s="40"/>
      <c r="E7" s="41"/>
      <c r="H7" s="36"/>
      <c r="I7" s="37"/>
      <c r="J7" s="37"/>
      <c r="K7" s="37"/>
      <c r="L7" s="37"/>
    </row>
    <row r="8" spans="1:12" x14ac:dyDescent="0.2">
      <c r="A8" s="42"/>
      <c r="B8" s="43"/>
      <c r="C8" s="44"/>
      <c r="D8" s="44"/>
      <c r="E8" s="45"/>
      <c r="H8" s="36"/>
      <c r="I8" s="37"/>
      <c r="J8" s="37"/>
      <c r="K8" s="37"/>
      <c r="L8" s="37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1</v>
      </c>
      <c r="D19" s="13" t="s">
        <v>28</v>
      </c>
    </row>
    <row r="20" spans="1:20" ht="15.75" x14ac:dyDescent="0.3">
      <c r="B20" s="13" t="s">
        <v>29</v>
      </c>
      <c r="C20" s="2">
        <v>1</v>
      </c>
      <c r="D20" s="13" t="s">
        <v>4</v>
      </c>
    </row>
    <row r="22" spans="1:20" x14ac:dyDescent="0.2">
      <c r="A22" s="1" t="s">
        <v>8</v>
      </c>
      <c r="B22" s="3"/>
      <c r="C22" s="4"/>
    </row>
    <row r="23" spans="1:20" ht="18" outlineLevel="1" x14ac:dyDescent="0.35">
      <c r="B23" s="13" t="s">
        <v>24</v>
      </c>
      <c r="C23" s="2">
        <v>130</v>
      </c>
      <c r="D23" s="13" t="s">
        <v>5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30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>
        <f>[1]!PVT_encode_string(gamma_gas_,gamma_oil_,gamma_wat_,Rsb_,Rp_,Pb_,Tres_,Bob_,muob_)</f>
        <v>gamma_gas:0.900;gamma_oil:0.875;gamma_wat:1.000;rsb_m3m3:80.000;rp_m3m3:80.000;pb_atma:120.000;tres_C:120.000;bob_m3m3:1.200;muob_cP:1.000;PVTcorr:0;ksep_fr:0.000;p_ksep_atma:-1.000;t_ksep_C:-1.000;gas_only:False;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ht="12.75" customHeight="1" outlineLevel="1" x14ac:dyDescent="0.2"/>
    <row r="31" spans="1:20" x14ac:dyDescent="0.2">
      <c r="A31" t="s">
        <v>12</v>
      </c>
    </row>
    <row r="32" spans="1:20" outlineLevel="1" x14ac:dyDescent="0.2">
      <c r="A32" t="s">
        <v>9</v>
      </c>
    </row>
    <row r="33" spans="3:9" outlineLevel="1" x14ac:dyDescent="0.2"/>
    <row r="34" spans="3:9" outlineLevel="1" x14ac:dyDescent="0.2">
      <c r="F34" s="5">
        <v>0.9</v>
      </c>
      <c r="H34" s="19">
        <v>7</v>
      </c>
    </row>
    <row r="35" spans="3:9" ht="51" outlineLevel="1" x14ac:dyDescent="0.2">
      <c r="C35" s="20" t="s">
        <v>0</v>
      </c>
      <c r="D35" s="20" t="s">
        <v>13</v>
      </c>
      <c r="E35" s="21" t="str">
        <f>"Естественная сепарация "&amp;Dcas_&amp;" мм"</f>
        <v>Естественная сепарация 130 мм</v>
      </c>
      <c r="F35" s="21" t="str">
        <f>"Естественная сепарация "&amp;Dcas_*cf_dcas_&amp;" мм"</f>
        <v>Естественная сепарация 117 мм</v>
      </c>
      <c r="G35" s="23" t="s">
        <v>30</v>
      </c>
      <c r="H35" s="22" t="s">
        <v>10</v>
      </c>
      <c r="I35" s="21" t="s">
        <v>11</v>
      </c>
    </row>
    <row r="36" spans="3:9" outlineLevel="1" x14ac:dyDescent="0.2">
      <c r="C36" s="15">
        <v>1</v>
      </c>
      <c r="D36" s="15">
        <v>80</v>
      </c>
      <c r="E36" s="46">
        <f>[1]!MF_ksep_natural_d(C36,wc_,Pintake_,Tintake_,Dintake_,Dcas_,PVT_str_)</f>
        <v>0.98230747543683494</v>
      </c>
      <c r="F36" s="46">
        <f>[1]!MF_ksep_natural_d(C36,wc_,Pintake_,Tintake_,Dintake_,Dcas_*cf_dcas_,PVT_str_)</f>
        <v>0.9755608422566896</v>
      </c>
      <c r="G36" s="46">
        <f>[1]!MF_gas_fraction_d(Pintake_,Tintake_,0,PVT_str_)*(1-F36)</f>
        <v>1.6733640933031681E-2</v>
      </c>
      <c r="H36" s="46">
        <f>[1]!ESP_ksep_gasseparator_d(gassep_type,G36,C36)</f>
        <v>0.17204287992200382</v>
      </c>
      <c r="I36" s="46">
        <f>[1]!MF_ksep_total_d(E36,H36)</f>
        <v>0.98535134831577265</v>
      </c>
    </row>
    <row r="37" spans="3:9" outlineLevel="1" x14ac:dyDescent="0.2">
      <c r="C37" s="15">
        <v>5</v>
      </c>
      <c r="D37" s="15">
        <v>80</v>
      </c>
      <c r="E37" s="46">
        <f>[1]!MF_ksep_natural_d(C37,wc_,Pintake_,Tintake_,Dintake_,Dcas_,PVT_str_)</f>
        <v>0.95323844350876674</v>
      </c>
      <c r="F37" s="46">
        <f>[1]!MF_ksep_natural_d(C37,wc_,Pintake_,Tintake_,Dintake_,Dcas_*cf_dcas_,PVT_str_)</f>
        <v>0.92034913033311871</v>
      </c>
      <c r="G37" s="46">
        <f>[1]!MF_gas_fraction_d(Pintake_,Tintake_,0,PVT_str_)*(1-F37)</f>
        <v>5.4537438115032005E-2</v>
      </c>
      <c r="H37" s="46">
        <f>[1]!ESP_ksep_gasseparator_d(gassep_type,G37,C37)</f>
        <v>0.47115934117405117</v>
      </c>
      <c r="I37" s="46">
        <f>[1]!MF_ksep_total_d(E37,H37)</f>
        <v>0.97527058765744934</v>
      </c>
    </row>
    <row r="38" spans="3:9" outlineLevel="1" x14ac:dyDescent="0.2">
      <c r="C38" s="15">
        <v>10</v>
      </c>
      <c r="D38" s="15">
        <v>80</v>
      </c>
      <c r="E38" s="46">
        <f>[1]!MF_ksep_natural_d(C38,wc_,Pintake_,Tintake_,Dintake_,Dcas_,PVT_str_)</f>
        <v>0.91612090593091644</v>
      </c>
      <c r="F38" s="46">
        <f>[1]!MF_ksep_natural_d(C38,wc_,Pintake_,Tintake_,Dintake_,Dcas_*cf_dcas_,PVT_str_)</f>
        <v>0.86374294815883312</v>
      </c>
      <c r="G38" s="46">
        <f>[1]!MF_gas_fraction_d(Pintake_,Tintake_,0,PVT_str_)*(1-F38)</f>
        <v>9.3296037615194935E-2</v>
      </c>
      <c r="H38" s="46">
        <f>[1]!ESP_ksep_gasseparator_d(gassep_type,G38,C38)</f>
        <v>0.64431078717934354</v>
      </c>
      <c r="I38" s="46">
        <f>[1]!MF_ksep_total_d(E38,H38)</f>
        <v>0.97016511105845793</v>
      </c>
    </row>
    <row r="39" spans="3:9" outlineLevel="1" x14ac:dyDescent="0.2">
      <c r="C39" s="15">
        <v>20</v>
      </c>
      <c r="D39" s="15">
        <v>80</v>
      </c>
      <c r="E39" s="46">
        <f>[1]!MF_ksep_natural_d(C39,wc_,Pintake_,Tintake_,Dintake_,Dcas_,PVT_str_)</f>
        <v>0.85653492056803104</v>
      </c>
      <c r="F39" s="46">
        <f>[1]!MF_ksep_natural_d(C39,wc_,Pintake_,Tintake_,Dintake_,Dcas_*cf_dcas_,PVT_str_)</f>
        <v>0.77044972216436358</v>
      </c>
      <c r="G39" s="46">
        <f>[1]!MF_gas_fraction_d(Pintake_,Tintake_,0,PVT_str_)*(1-F39)</f>
        <v>0.15717448063162631</v>
      </c>
      <c r="H39" s="46">
        <f>[1]!ESP_ksep_gasseparator_d(gassep_type,G39,C39)</f>
        <v>0.77132573521107173</v>
      </c>
      <c r="I39" s="46">
        <f>[1]!MF_ksep_total_d(E39,H39)</f>
        <v>0.96719322843800926</v>
      </c>
    </row>
    <row r="40" spans="3:9" outlineLevel="1" x14ac:dyDescent="0.2">
      <c r="C40" s="15">
        <v>30</v>
      </c>
      <c r="D40" s="15">
        <v>80</v>
      </c>
      <c r="E40" s="46">
        <f>[1]!MF_ksep_natural_d(C40,wc_,Pintake_,Tintake_,Dintake_,Dcas_,PVT_str_)</f>
        <v>0.80489090385500672</v>
      </c>
      <c r="F40" s="46">
        <f>[1]!MF_ksep_natural_d(C40,wc_,Pintake_,Tintake_,Dintake_,Dcas_*cf_dcas_,PVT_str_)</f>
        <v>0.71122035319106336</v>
      </c>
      <c r="G40" s="46">
        <f>[1]!MF_gas_fraction_d(Pintake_,Tintake_,0,PVT_str_)*(1-F40)</f>
        <v>0.19772919219326135</v>
      </c>
      <c r="H40" s="46">
        <f>[1]!ESP_ksep_gasseparator_d(gassep_type,G40,C40)</f>
        <v>0.84312307887258475</v>
      </c>
      <c r="I40" s="46">
        <f>[1]!MF_ksep_total_d(E40,H40)</f>
        <v>0.96939188571282064</v>
      </c>
    </row>
    <row r="41" spans="3:9" outlineLevel="1" x14ac:dyDescent="0.2">
      <c r="C41" s="15">
        <v>40</v>
      </c>
      <c r="D41" s="15">
        <v>80</v>
      </c>
      <c r="E41" s="46">
        <f>[1]!MF_ksep_natural_d(C41,wc_,Pintake_,Tintake_,Dintake_,Dcas_,PVT_str_)</f>
        <v>0.75905467934363968</v>
      </c>
      <c r="F41" s="46">
        <f>[1]!MF_ksep_natural_d(C41,wc_,Pintake_,Tintake_,Dintake_,Dcas_*cf_dcas_,PVT_str_)</f>
        <v>0.65003552784635865</v>
      </c>
      <c r="G41" s="46">
        <f>[1]!MF_gas_fraction_d(Pintake_,Tintake_,0,PVT_str_)*(1-F41)</f>
        <v>0.23962281670447416</v>
      </c>
      <c r="H41" s="46">
        <f>[1]!ESP_ksep_gasseparator_d(gassep_type,G41,C41)</f>
        <v>0.9027896865588676</v>
      </c>
      <c r="I41" s="46">
        <f>[1]!MF_ksep_total_d(E41,H41)</f>
        <v>0.97657762985682106</v>
      </c>
    </row>
    <row r="42" spans="3:9" outlineLevel="1" x14ac:dyDescent="0.2">
      <c r="C42" s="15">
        <v>50</v>
      </c>
      <c r="D42" s="15">
        <v>80</v>
      </c>
      <c r="E42" s="46">
        <f>[1]!MF_ksep_natural_d(C42,wc_,Pintake_,Tintake_,Dintake_,Dcas_,PVT_str_)</f>
        <v>0.71786420113379856</v>
      </c>
      <c r="F42" s="46">
        <f>[1]!MF_ksep_natural_d(C42,wc_,Pintake_,Tintake_,Dintake_,Dcas_*cf_dcas_,PVT_str_)</f>
        <v>0.59773391645774232</v>
      </c>
      <c r="G42" s="46">
        <f>[1]!MF_gas_fraction_d(Pintake_,Tintake_,0,PVT_str_)*(1-F42)</f>
        <v>0.27543405023340495</v>
      </c>
      <c r="H42" s="46">
        <f>[1]!ESP_ksep_gasseparator_d(gassep_type,G42,C42)</f>
        <v>0.93971970628222723</v>
      </c>
      <c r="I42" s="46">
        <f>[1]!MF_ksep_total_d(E42,H42)</f>
        <v>0.98299277117604689</v>
      </c>
    </row>
    <row r="43" spans="3:9" outlineLevel="1" x14ac:dyDescent="0.2">
      <c r="C43" s="15">
        <v>60</v>
      </c>
      <c r="D43" s="15">
        <v>80</v>
      </c>
      <c r="E43" s="46">
        <f>[1]!MF_ksep_natural_d(C43,wc_,Pintake_,Tintake_,Dintake_,Dcas_,PVT_str_)</f>
        <v>0.69767037291069955</v>
      </c>
      <c r="F43" s="46">
        <f>[1]!MF_ksep_natural_d(C43,wc_,Pintake_,Tintake_,Dintake_,Dcas_*cf_dcas_,PVT_str_)</f>
        <v>0.55269843546743025</v>
      </c>
      <c r="G43" s="46">
        <f>[1]!MF_gas_fraction_d(Pintake_,Tintake_,0,PVT_str_)*(1-F43)</f>
        <v>0.30627011979249347</v>
      </c>
      <c r="H43" s="46">
        <f>[1]!ESP_ksep_gasseparator_d(gassep_type,G43,C43)</f>
        <v>0.95836505588428811</v>
      </c>
      <c r="I43" s="46">
        <f>[1]!MF_ksep_total_d(E43,H43)</f>
        <v>0.98741252287161296</v>
      </c>
    </row>
    <row r="44" spans="3:9" outlineLevel="1" x14ac:dyDescent="0.2">
      <c r="C44" s="15">
        <v>70</v>
      </c>
      <c r="D44" s="15">
        <v>80</v>
      </c>
      <c r="E44" s="46">
        <f>[1]!MF_ksep_natural_d(C44,wc_,Pintake_,Tintake_,Dintake_,Dcas_,PVT_str_)</f>
        <v>0.66486444343503559</v>
      </c>
      <c r="F44" s="46">
        <f>[1]!MF_ksep_natural_d(C44,wc_,Pintake_,Tintake_,Dintake_,Dcas_*cf_dcas_,PVT_str_)</f>
        <v>0.51375898845175794</v>
      </c>
      <c r="G44" s="46">
        <f>[1]!MF_gas_fraction_d(Pintake_,Tintake_,0,PVT_str_)*(1-F44)</f>
        <v>0.33293219756681575</v>
      </c>
      <c r="H44" s="46">
        <f>[1]!ESP_ksep_gasseparator_d(gassep_type,G44,C44)</f>
        <v>0.96233036052516008</v>
      </c>
      <c r="I44" s="46">
        <f>[1]!MF_ksep_total_d(E44,H44)</f>
        <v>0.98737556440899799</v>
      </c>
    </row>
    <row r="45" spans="3:9" outlineLevel="1" x14ac:dyDescent="0.2">
      <c r="C45" s="15">
        <v>80</v>
      </c>
      <c r="D45" s="15">
        <v>80</v>
      </c>
      <c r="E45" s="46">
        <f>[1]!MF_ksep_natural_d(C45,wc_,Pintake_,Tintake_,Dintake_,Dcas_,PVT_str_)</f>
        <v>0.63473273896467131</v>
      </c>
      <c r="F45" s="46">
        <f>[1]!MF_ksep_natural_d(C45,wc_,Pintake_,Tintake_,Dintake_,Dcas_*cf_dcas_,PVT_str_)</f>
        <v>0.48001675086645923</v>
      </c>
      <c r="G45" s="46">
        <f>[1]!MF_gas_fraction_d(Pintake_,Tintake_,0,PVT_str_)*(1-F45)</f>
        <v>0.35603571422479013</v>
      </c>
      <c r="H45" s="46">
        <f>[1]!ESP_ksep_gasseparator_d(gassep_type,G45,C45)</f>
        <v>0.95439578228303934</v>
      </c>
      <c r="I45" s="46">
        <f>[1]!MF_ksep_total_d(E45,H45)</f>
        <v>0.98334227230286697</v>
      </c>
    </row>
    <row r="46" spans="3:9" outlineLevel="1" x14ac:dyDescent="0.2">
      <c r="C46" s="15">
        <v>90</v>
      </c>
      <c r="D46" s="15">
        <v>80</v>
      </c>
      <c r="E46" s="46">
        <f>[1]!MF_ksep_natural_d(C46,wc_,Pintake_,Tintake_,Dintake_,Dcas_,PVT_str_)</f>
        <v>0.60698372027425784</v>
      </c>
      <c r="F46" s="46">
        <f>[1]!MF_ksep_natural_d(C46,wc_,Pintake_,Tintake_,Dintake_,Dcas_*cf_dcas_,PVT_str_)</f>
        <v>0.45075236845751876</v>
      </c>
      <c r="G46" s="46">
        <f>[1]!MF_gas_fraction_d(Pintake_,Tintake_,0,PVT_str_)*(1-F46)</f>
        <v>0.37607321602831201</v>
      </c>
      <c r="H46" s="46">
        <f>[1]!ESP_ksep_gasseparator_d(gassep_type,G46,C46)</f>
        <v>0.93895707875792411</v>
      </c>
      <c r="I46" s="46">
        <f>[1]!MF_ksep_total_d(E46,H46)</f>
        <v>0.9760091381898478</v>
      </c>
    </row>
    <row r="47" spans="3:9" outlineLevel="1" x14ac:dyDescent="0.2">
      <c r="C47" s="15">
        <v>100</v>
      </c>
      <c r="D47" s="15">
        <v>80</v>
      </c>
      <c r="E47" s="46">
        <f>[1]!MF_ksep_natural_d(C47,wc_,Pintake_,Tintake_,Dintake_,Dcas_,PVT_str_)</f>
        <v>0.58137871423346643</v>
      </c>
      <c r="F47" s="46">
        <f>[1]!MF_ksep_natural_d(C47,wc_,Pintake_,Tintake_,Dintake_,Dcas_*cf_dcas_,PVT_str_)</f>
        <v>0.4253727472122375</v>
      </c>
      <c r="G47" s="46">
        <f>[1]!MF_gas_fraction_d(Pintake_,Tintake_,0,PVT_str_)*(1-F47)</f>
        <v>0.39345079807903255</v>
      </c>
      <c r="H47" s="46">
        <f>[1]!ESP_ksep_gasseparator_d(gassep_type,G47,C47)</f>
        <v>0.91996675607224221</v>
      </c>
      <c r="I47" s="46">
        <f>[1]!MF_ksep_total_d(E47,H47)</f>
        <v>0.96649638052289544</v>
      </c>
    </row>
    <row r="48" spans="3:9" outlineLevel="1" x14ac:dyDescent="0.2">
      <c r="C48" s="15">
        <v>110</v>
      </c>
      <c r="D48" s="15">
        <v>80</v>
      </c>
      <c r="E48" s="46">
        <f>[1]!MF_ksep_natural_d(C48,wc_,Pintake_,Tintake_,Dintake_,Dcas_,PVT_str_)</f>
        <v>0.557717577094476</v>
      </c>
      <c r="F48" s="46">
        <f>[1]!MF_ksep_natural_d(C48,wc_,Pintake_,Tintake_,Dintake_,Dcas_*cf_dcas_,PVT_str_)</f>
        <v>0.40337781798682926</v>
      </c>
      <c r="G48" s="46">
        <f>[1]!MF_gas_fraction_d(Pintake_,Tintake_,0,PVT_str_)*(1-F48)</f>
        <v>0.4085108607813232</v>
      </c>
      <c r="H48" s="46">
        <f>[1]!ESP_ksep_gasseparator_d(gassep_type,G48,C48)</f>
        <v>0.8986995201992839</v>
      </c>
      <c r="I48" s="46">
        <f>[1]!MF_ksep_total_d(E48,H48)</f>
        <v>0.95519657835224714</v>
      </c>
    </row>
    <row r="49" spans="3:9" outlineLevel="1" x14ac:dyDescent="0.2">
      <c r="C49" s="15">
        <v>120</v>
      </c>
      <c r="D49" s="15">
        <v>80</v>
      </c>
      <c r="E49" s="46">
        <f>[1]!MF_ksep_natural_d(C49,wc_,Pintake_,Tintake_,Dintake_,Dcas_,PVT_str_)</f>
        <v>0.53582926065881087</v>
      </c>
      <c r="F49" s="46">
        <f>[1]!MF_ksep_natural_d(C49,wc_,Pintake_,Tintake_,Dintake_,Dcas_*cf_dcas_,PVT_str_)</f>
        <v>0.38433856566644176</v>
      </c>
      <c r="G49" s="46">
        <f>[1]!MF_gas_fraction_d(Pintake_,Tintake_,0,PVT_str_)*(1-F49)</f>
        <v>0.42154715341092341</v>
      </c>
      <c r="H49" s="46">
        <f>[1]!ESP_ksep_gasseparator_d(gassep_type,G49,C49)</f>
        <v>0.87610183122203367</v>
      </c>
      <c r="I49" s="46">
        <f>[1]!MF_ksep_total_d(E49,H49)</f>
        <v>0.94249009539531192</v>
      </c>
    </row>
    <row r="50" spans="3:9" outlineLevel="1" x14ac:dyDescent="0.2">
      <c r="C50" s="15">
        <v>130</v>
      </c>
      <c r="D50" s="15">
        <v>80</v>
      </c>
      <c r="E50" s="46">
        <f>[1]!MF_ksep_natural_d(C50,wc_,Pintake_,Tintake_,Dintake_,Dcas_,PVT_str_)</f>
        <v>0.51556532419726508</v>
      </c>
      <c r="F50" s="46">
        <f>[1]!MF_ksep_natural_d(C50,wc_,Pintake_,Tintake_,Dintake_,Dcas_*cf_dcas_,PVT_str_)</f>
        <v>0.36788184069463314</v>
      </c>
      <c r="G50" s="46">
        <f>[1]!MF_gas_fraction_d(Pintake_,Tintake_,0,PVT_str_)*(1-F50)</f>
        <v>0.4328151737536981</v>
      </c>
      <c r="H50" s="46">
        <f>[1]!ESP_ksep_gasseparator_d(gassep_type,G50,C50)</f>
        <v>0.85286387820309528</v>
      </c>
      <c r="I50" s="46">
        <f>[1]!MF_ksep_total_d(E50,H50)</f>
        <v>0.9287221605384447</v>
      </c>
    </row>
    <row r="51" spans="3:9" outlineLevel="1" x14ac:dyDescent="0.2">
      <c r="C51" s="15">
        <v>140</v>
      </c>
      <c r="D51" s="15">
        <v>80</v>
      </c>
      <c r="E51" s="46">
        <f>[1]!MF_ksep_natural_d(C51,wc_,Pintake_,Tintake_,Dintake_,Dcas_,PVT_str_)</f>
        <v>0.49679531011636002</v>
      </c>
      <c r="F51" s="46">
        <f>[1]!MF_ksep_natural_d(C51,wc_,Pintake_,Tintake_,Dintake_,Dcas_*cf_dcas_,PVT_str_)</f>
        <v>0.35367947145069456</v>
      </c>
      <c r="G51" s="46">
        <f>[1]!MF_gas_fraction_d(Pintake_,Tintake_,0,PVT_str_)*(1-F51)</f>
        <v>0.44253962292754306</v>
      </c>
      <c r="H51" s="46">
        <f>[1]!ESP_ksep_gasseparator_d(gassep_type,G51,C51)</f>
        <v>0.82947846537343684</v>
      </c>
      <c r="I51" s="46">
        <f>[1]!MF_ksep_total_d(E51,H51)</f>
        <v>0.91419276404975791</v>
      </c>
    </row>
    <row r="52" spans="3:9" outlineLevel="1" x14ac:dyDescent="0.2">
      <c r="C52" s="15">
        <v>150</v>
      </c>
      <c r="D52" s="15">
        <v>80</v>
      </c>
      <c r="E52" s="46">
        <f>[1]!MF_ksep_natural_d(C52,wc_,Pintake_,Tintake_,Dintake_,Dcas_,PVT_str_)</f>
        <v>0.4794033493546983</v>
      </c>
      <c r="F52" s="46">
        <f>[1]!MF_ksep_natural_d(C52,wc_,Pintake_,Tintake_,Dintake_,Dcas_*cf_dcas_,PVT_str_)</f>
        <v>0.34144022127249318</v>
      </c>
      <c r="G52" s="46">
        <f>[1]!MF_gas_fraction_d(Pintake_,Tintake_,0,PVT_str_)*(1-F52)</f>
        <v>0.4509199124580866</v>
      </c>
      <c r="H52" s="46">
        <f>[1]!ESP_ksep_gasseparator_d(gassep_type,G52,C52)</f>
        <v>0.80628777565069043</v>
      </c>
      <c r="I52" s="46">
        <f>[1]!MF_ksep_total_d(E52,H52)</f>
        <v>0.89915406481469817</v>
      </c>
    </row>
    <row r="53" spans="3:9" outlineLevel="1" x14ac:dyDescent="0.2">
      <c r="C53" s="15">
        <v>160</v>
      </c>
      <c r="D53" s="15">
        <v>80</v>
      </c>
      <c r="E53" s="46">
        <f>[1]!MF_ksep_natural_d(C53,wc_,Pintake_,Tintake_,Dintake_,Dcas_,PVT_str_)</f>
        <v>0.46328560693123144</v>
      </c>
      <c r="F53" s="46">
        <f>[1]!MF_ksep_natural_d(C53,wc_,Pintake_,Tintake_,Dintake_,Dcas_*cf_dcas_,PVT_str_)</f>
        <v>0.33090369401264486</v>
      </c>
      <c r="G53" s="46">
        <f>[1]!MF_gas_fraction_d(Pintake_,Tintake_,0,PVT_str_)*(1-F53)</f>
        <v>0.45813433718169078</v>
      </c>
      <c r="H53" s="46">
        <f>[1]!ESP_ksep_gasseparator_d(gassep_type,G53,C53)</f>
        <v>0.78351982004449827</v>
      </c>
      <c r="I53" s="46">
        <f>[1]!MF_ksep_total_d(E53,H53)</f>
        <v>0.88381197160376512</v>
      </c>
    </row>
    <row r="54" spans="3:9" outlineLevel="1" x14ac:dyDescent="0.2">
      <c r="C54" s="15">
        <v>170</v>
      </c>
      <c r="D54" s="15">
        <v>80</v>
      </c>
      <c r="E54" s="46">
        <f>[1]!MF_ksep_natural_d(C54,wc_,Pintake_,Tintake_,Dintake_,Dcas_,PVT_str_)</f>
        <v>0.44834831860394586</v>
      </c>
      <c r="F54" s="46">
        <f>[1]!MF_ksep_natural_d(C54,wc_,Pintake_,Tintake_,Dintake_,Dcas_*cf_dcas_,PVT_str_)</f>
        <v>0.32183561440575525</v>
      </c>
      <c r="G54" s="46">
        <f>[1]!MF_gas_fraction_d(Pintake_,Tintake_,0,PVT_str_)*(1-F54)</f>
        <v>0.464343306806897</v>
      </c>
      <c r="H54" s="46">
        <f>[1]!ESP_ksep_gasseparator_d(gassep_type,G54,C54)</f>
        <v>0.76131650308019871</v>
      </c>
      <c r="I54" s="46">
        <f>[1]!MF_ksep_total_d(E54,H54)</f>
        <v>0.86832984760270171</v>
      </c>
    </row>
    <row r="55" spans="3:9" outlineLevel="1" x14ac:dyDescent="0.2">
      <c r="C55" s="15">
        <v>180</v>
      </c>
      <c r="D55" s="15">
        <v>80</v>
      </c>
      <c r="E55" s="46">
        <f>[1]!MF_ksep_natural_d(C55,wc_,Pintake_,Tintake_,Dintake_,Dcas_,PVT_str_)</f>
        <v>0.43450625401093967</v>
      </c>
      <c r="F55" s="46">
        <f>[1]!MF_ksep_natural_d(C55,wc_,Pintake_,Tintake_,Dintake_,Dcas_*cf_dcas_,PVT_str_)</f>
        <v>0.31402410339626652</v>
      </c>
      <c r="G55" s="46">
        <f>[1]!MF_gas_fraction_d(Pintake_,Tintake_,0,PVT_str_)*(1-F55)</f>
        <v>0.46969189622025304</v>
      </c>
      <c r="H55" s="46">
        <f>[1]!ESP_ksep_gasseparator_d(gassep_type,G55,C55)</f>
        <v>0.73975505552401222</v>
      </c>
      <c r="I55" s="46">
        <f>[1]!MF_ksep_total_d(E55,H55)</f>
        <v>0.85283311147355867</v>
      </c>
    </row>
    <row r="56" spans="3:9" outlineLevel="1" x14ac:dyDescent="0.2">
      <c r="C56" s="15">
        <v>190</v>
      </c>
      <c r="D56" s="15">
        <v>80</v>
      </c>
      <c r="E56" s="46">
        <f>[1]!MF_ksep_natural_d(C56,wc_,Pintake_,Tintake_,Dintake_,Dcas_,PVT_str_)</f>
        <v>0.42168149429020563</v>
      </c>
      <c r="F56" s="46">
        <f>[1]!MF_ksep_natural_d(C56,wc_,Pintake_,Tintake_,Dintake_,Dcas_*cf_dcas_,PVT_str_)</f>
        <v>0.30727668958211662</v>
      </c>
      <c r="G56" s="46">
        <f>[1]!MF_gas_fraction_d(Pintake_,Tintake_,0,PVT_str_)*(1-F56)</f>
        <v>0.4743118917691368</v>
      </c>
      <c r="H56" s="46">
        <f>[1]!ESP_ksep_gasseparator_d(gassep_type,G56,C56)</f>
        <v>0.7188643062034008</v>
      </c>
      <c r="I56" s="46">
        <f>[1]!MF_ksep_total_d(E56,H56)</f>
        <v>0.8374140256618644</v>
      </c>
    </row>
    <row r="57" spans="3:9" outlineLevel="1" x14ac:dyDescent="0.2">
      <c r="C57" s="15">
        <v>200</v>
      </c>
      <c r="D57" s="15">
        <v>80</v>
      </c>
      <c r="E57" s="46">
        <f>[1]!MF_ksep_natural_d(C57,wc_,Pintake_,Tintake_,Dintake_,Dcas_,PVT_str_)</f>
        <v>0.40980244604891802</v>
      </c>
      <c r="F57" s="46">
        <f>[1]!MF_ksep_natural_d(C57,wc_,Pintake_,Tintake_,Dintake_,Dcas_*cf_dcas_,PVT_str_)</f>
        <v>0.30141787591495195</v>
      </c>
      <c r="G57" s="46">
        <f>[1]!MF_gas_fraction_d(Pintake_,Tintake_,0,PVT_str_)*(1-F57)</f>
        <v>0.47832345735701837</v>
      </c>
      <c r="H57" s="46">
        <f>[1]!ESP_ksep_gasseparator_d(gassep_type,G57,C57)</f>
        <v>0.6986369765722833</v>
      </c>
      <c r="I57" s="46">
        <f>[1]!MF_ksep_total_d(E57,H57)</f>
        <v>0.82213628072165901</v>
      </c>
    </row>
    <row r="58" spans="3:9" outlineLevel="1" x14ac:dyDescent="0.2">
      <c r="C58" s="15">
        <v>210</v>
      </c>
      <c r="D58" s="15">
        <v>80</v>
      </c>
      <c r="E58" s="46">
        <f>[1]!MF_ksep_natural_d(C58,wc_,Pintake_,Tintake_,Dintake_,Dcas_,PVT_str_)</f>
        <v>0.39880303597498346</v>
      </c>
      <c r="F58" s="46">
        <f>[1]!MF_ksep_natural_d(C58,wc_,Pintake_,Tintake_,Dintake_,Dcas_*cf_dcas_,PVT_str_)</f>
        <v>0.29628713248008154</v>
      </c>
      <c r="G58" s="46">
        <f>[1]!MF_gas_fraction_d(Pintake_,Tintake_,0,PVT_str_)*(1-F58)</f>
        <v>0.48183650879931411</v>
      </c>
      <c r="H58" s="46">
        <f>[1]!ESP_ksep_gasseparator_d(gassep_type,G58,C58)</f>
        <v>0.6790389236929889</v>
      </c>
      <c r="I58" s="46">
        <f>[1]!MF_ksep_total_d(E58,H58)</f>
        <v>0.80703917535402325</v>
      </c>
    </row>
    <row r="59" spans="3:9" outlineLevel="1" x14ac:dyDescent="0.2">
      <c r="C59" s="15">
        <v>220</v>
      </c>
      <c r="D59" s="15">
        <v>80</v>
      </c>
      <c r="E59" s="46">
        <f>[1]!MF_ksep_natural_d(C59,wc_,Pintake_,Tintake_,Dintake_,Dcas_,PVT_str_)</f>
        <v>0.38862204559346658</v>
      </c>
      <c r="F59" s="46">
        <f>[1]!MF_ksep_natural_d(C59,wc_,Pintake_,Tintake_,Dintake_,Dcas_*cf_dcas_,PVT_str_)</f>
        <v>0.2917372212813909</v>
      </c>
      <c r="G59" s="46">
        <f>[1]!MF_gas_fraction_d(Pintake_,Tintake_,0,PVT_str_)*(1-F59)</f>
        <v>0.48495186085341302</v>
      </c>
      <c r="H59" s="46">
        <f>[1]!ESP_ksep_gasseparator_d(gassep_type,G59,C59)</f>
        <v>0.66001604231972966</v>
      </c>
      <c r="I59" s="46">
        <f>[1]!MF_ksep_total_d(E59,H59)</f>
        <v>0.79214130342239886</v>
      </c>
    </row>
    <row r="60" spans="3:9" outlineLevel="1" x14ac:dyDescent="0.2">
      <c r="C60" s="15">
        <v>230</v>
      </c>
      <c r="D60" s="15">
        <v>80</v>
      </c>
      <c r="E60" s="46">
        <f>[1]!MF_ksep_natural_d(C60,wc_,Pintake_,Tintake_,Dintake_,Dcas_,PVT_str_)</f>
        <v>0.3792025562147634</v>
      </c>
      <c r="F60" s="46">
        <f>[1]!MF_ksep_natural_d(C60,wc_,Pintake_,Tintake_,Dintake_,Dcas_*cf_dcas_,PVT_str_)</f>
        <v>0.28763278332179176</v>
      </c>
      <c r="G60" s="46">
        <f>[1]!MF_gas_fraction_d(Pintake_,Tintake_,0,PVT_str_)*(1-F60)</f>
        <v>0.48776219465334264</v>
      </c>
      <c r="H60" s="46">
        <f>[1]!ESP_ksep_gasseparator_d(gassep_type,G60,C60)</f>
        <v>0.64149936534512486</v>
      </c>
      <c r="I60" s="46">
        <f>[1]!MF_ksep_total_d(E60,H60)</f>
        <v>0.77744372241086845</v>
      </c>
    </row>
    <row r="61" spans="3:9" outlineLevel="1" x14ac:dyDescent="0.2">
      <c r="C61" s="15">
        <v>240</v>
      </c>
      <c r="D61" s="15">
        <v>80</v>
      </c>
      <c r="E61" s="46">
        <f>[1]!MF_ksep_natural_d(C61,wc_,Pintake_,Tintake_,Dintake_,Dcas_,PVT_str_)</f>
        <v>0.37049148157453793</v>
      </c>
      <c r="F61" s="46">
        <f>[1]!MF_ksep_natural_d(C61,wc_,Pintake_,Tintake_,Dintake_,Dcas_*cf_dcas_,PVT_str_)</f>
        <v>0.28384913551515822</v>
      </c>
      <c r="G61" s="46">
        <f>[1]!MF_gas_fraction_d(Pintake_,Tintake_,0,PVT_str_)*(1-F61)</f>
        <v>0.49035288147153261</v>
      </c>
      <c r="H61" s="46">
        <f>[1]!ESP_ksep_gasseparator_d(gassep_type,G61,C61)</f>
        <v>0.62340876932019729</v>
      </c>
      <c r="I61" s="46">
        <f>[1]!MF_ksep_total_d(E61,H61)</f>
        <v>0.76293261232273601</v>
      </c>
    </row>
    <row r="62" spans="3:9" outlineLevel="1" x14ac:dyDescent="0.2"/>
    <row r="63" spans="3:9" outlineLevel="1" x14ac:dyDescent="0.2"/>
    <row r="65" spans="3:8" outlineLevel="1" x14ac:dyDescent="0.2"/>
    <row r="66" spans="3:8" outlineLevel="1" x14ac:dyDescent="0.2"/>
    <row r="67" spans="3:8" outlineLevel="1" x14ac:dyDescent="0.2"/>
    <row r="68" spans="3:8" outlineLevel="1" x14ac:dyDescent="0.2"/>
    <row r="69" spans="3:8" outlineLevel="1" x14ac:dyDescent="0.2"/>
    <row r="70" spans="3:8" outlineLevel="1" x14ac:dyDescent="0.2"/>
    <row r="71" spans="3:8" outlineLevel="1" x14ac:dyDescent="0.2">
      <c r="E71" s="4"/>
    </row>
    <row r="72" spans="3:8" outlineLevel="1" x14ac:dyDescent="0.2"/>
    <row r="73" spans="3:8" outlineLevel="1" x14ac:dyDescent="0.2"/>
    <row r="74" spans="3:8" outlineLevel="1" x14ac:dyDescent="0.2">
      <c r="F74" s="3"/>
      <c r="G74" s="7"/>
      <c r="H74" s="7"/>
    </row>
    <row r="75" spans="3:8" outlineLevel="1" x14ac:dyDescent="0.2">
      <c r="C75" s="8"/>
      <c r="D75" s="8"/>
      <c r="E75" s="9"/>
      <c r="F75" s="9"/>
      <c r="G75" s="9"/>
      <c r="H75" s="9"/>
    </row>
    <row r="76" spans="3:8" outlineLevel="1" x14ac:dyDescent="0.2">
      <c r="C76" s="8"/>
      <c r="D76" s="8"/>
      <c r="E76" s="9"/>
      <c r="F76" s="9"/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9"/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/>
    <row r="97" outlineLevel="1" x14ac:dyDescent="0.2"/>
    <row r="98" outlineLevel="1" x14ac:dyDescent="0.2"/>
    <row r="153" spans="11:11" x14ac:dyDescent="0.2">
      <c r="K153" t="s">
        <v>6</v>
      </c>
    </row>
    <row r="164" spans="11:11" x14ac:dyDescent="0.2">
      <c r="K164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26</vt:i4>
      </vt:variant>
    </vt:vector>
  </HeadingPairs>
  <TitlesOfParts>
    <vt:vector size="27" baseType="lpstr">
      <vt:lpstr>Separation</vt:lpstr>
      <vt:lpstr>Separation!Bob_</vt:lpstr>
      <vt:lpstr>cf_dcas_</vt:lpstr>
      <vt:lpstr>course</vt:lpstr>
      <vt:lpstr>Separation!Dcas_</vt:lpstr>
      <vt:lpstr>Separation!Dintake_</vt:lpstr>
      <vt:lpstr>Separation!gamma_gas_</vt:lpstr>
      <vt:lpstr>Separation!gamma_oil_</vt:lpstr>
      <vt:lpstr>Separation!gamma_wat_</vt:lpstr>
      <vt:lpstr>gassep_type</vt:lpstr>
      <vt:lpstr>Group</vt:lpstr>
      <vt:lpstr>input_Course</vt:lpstr>
      <vt:lpstr>input_Date</vt:lpstr>
      <vt:lpstr>input_Group</vt:lpstr>
      <vt:lpstr>input_Notes</vt:lpstr>
      <vt:lpstr>input_Student_Name</vt:lpstr>
      <vt:lpstr>input_Version</vt:lpstr>
      <vt:lpstr>Separation!muob_</vt:lpstr>
      <vt:lpstr>Separation!Pb_</vt:lpstr>
      <vt:lpstr>Separation!Pintake_</vt:lpstr>
      <vt:lpstr>PVT_str_</vt:lpstr>
      <vt:lpstr>Separation!Rp_</vt:lpstr>
      <vt:lpstr>Separation!Rsb_</vt:lpstr>
      <vt:lpstr>Separation!Tintake_</vt:lpstr>
      <vt:lpstr>Separation!Tres_</vt:lpstr>
      <vt:lpstr>ver_</vt:lpstr>
      <vt:lpstr>Separation!wc_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2020-05-07T06:55:20Z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