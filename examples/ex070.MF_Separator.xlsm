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3D2B776-498D-4BFD-90EE-04E412AE3DD0}" xr6:coauthVersionLast="47" xr6:coauthVersionMax="47" xr10:uidLastSave="{00000000-0000-0000-0000-000000000000}"/>
  <bookViews>
    <workbookView xWindow="-120" yWindow="-120" windowWidth="38640" windowHeight="21240" tabRatio="422" xr2:uid="{00000000-000D-0000-FFFF-FFFF00000000}"/>
  </bookViews>
  <sheets>
    <sheet name="Separation" sheetId="110" r:id="rId1"/>
  </sheets>
  <externalReferences>
    <externalReference r:id="rId2"/>
  </externalReferences>
  <definedNames>
    <definedName name="Bob_" localSheetId="0">Separation!$C$18</definedName>
    <definedName name="cf_dcas_">Separation!$F$35</definedName>
    <definedName name="course">Separation!$B$3</definedName>
    <definedName name="Dcas_" localSheetId="0">Separation!$C$23</definedName>
    <definedName name="Dintake_" localSheetId="0">Separation!$C$24</definedName>
    <definedName name="feed">Separation!$C$30</definedName>
    <definedName name="gamma_gas_" localSheetId="0">Separation!$C$13</definedName>
    <definedName name="gamma_oil_" localSheetId="0">Separation!$C$11</definedName>
    <definedName name="gamma_wat_" localSheetId="0">Separation!$C$12</definedName>
    <definedName name="gassep_type">Separation!$H$35</definedName>
    <definedName name="Group">Separation!$B$4</definedName>
    <definedName name="input_Course">Separation!$I$3</definedName>
    <definedName name="input_Date">Separation!$I$1</definedName>
    <definedName name="input_Group">Separation!$I$4</definedName>
    <definedName name="input_Notes">Separation!$I$6</definedName>
    <definedName name="input_Student_Name">Separation!$I$5</definedName>
    <definedName name="input_Version">Separation!$I$2</definedName>
    <definedName name="muob_" localSheetId="0">Separation!$C$19</definedName>
    <definedName name="Pb_" localSheetId="0">Separation!$C$16</definedName>
    <definedName name="Pintake_" localSheetId="0">Separation!$C$25</definedName>
    <definedName name="PVT_str_">Separation!$C$29</definedName>
    <definedName name="Rp_" localSheetId="0">Separation!$C$15</definedName>
    <definedName name="Rsb_" localSheetId="0">Separation!$C$14</definedName>
    <definedName name="Tintake_" localSheetId="0">Separation!$C$26</definedName>
    <definedName name="Tres_" localSheetId="0">Separation!$C$17</definedName>
    <definedName name="ver_">Separation!$G$1</definedName>
    <definedName name="wc_" localSheetId="0">Separation!$C$20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10" l="1"/>
  <c r="G1" i="110"/>
  <c r="E67" i="110" a="1"/>
  <c r="C29" i="110" a="1"/>
  <c r="E67" i="110" l="1"/>
  <c r="C29" i="110"/>
  <c r="F17" i="110"/>
  <c r="F16" i="110"/>
  <c r="F15" i="110"/>
  <c r="F14" i="110"/>
  <c r="F13" i="110"/>
  <c r="F12" i="110"/>
  <c r="F11" i="110"/>
  <c r="D48" i="110" a="1"/>
  <c r="D56" i="110" a="1"/>
  <c r="D43" i="110" a="1"/>
  <c r="D47" i="110" a="1"/>
  <c r="D45" i="110" a="1"/>
  <c r="D53" i="110" a="1"/>
  <c r="D37" i="110" a="1"/>
  <c r="D50" i="110" a="1"/>
  <c r="D62" i="110" a="1"/>
  <c r="D38" i="110" a="1"/>
  <c r="D61" i="110" a="1"/>
  <c r="D60" i="110" a="1"/>
  <c r="D39" i="110" a="1"/>
  <c r="D59" i="110" a="1"/>
  <c r="D54" i="110" a="1"/>
  <c r="D58" i="110" a="1"/>
  <c r="D51" i="110" a="1"/>
  <c r="D52" i="110" a="1"/>
  <c r="D46" i="110" a="1"/>
  <c r="D40" i="110" a="1"/>
  <c r="D57" i="110" a="1"/>
  <c r="D44" i="110" a="1"/>
  <c r="D55" i="110" a="1"/>
  <c r="D41" i="110" a="1"/>
  <c r="D42" i="110" a="1"/>
  <c r="D49" i="110" a="1"/>
  <c r="D38" i="110" l="1"/>
  <c r="D42" i="110"/>
  <c r="D46" i="110"/>
  <c r="D50" i="110"/>
  <c r="D54" i="110"/>
  <c r="D58" i="110"/>
  <c r="D62" i="110"/>
  <c r="D39" i="110"/>
  <c r="D43" i="110"/>
  <c r="D47" i="110"/>
  <c r="D51" i="110"/>
  <c r="D55" i="110"/>
  <c r="D59" i="110"/>
  <c r="D40" i="110"/>
  <c r="D44" i="110"/>
  <c r="D48" i="110"/>
  <c r="D52" i="110"/>
  <c r="D56" i="110"/>
  <c r="D60" i="110"/>
  <c r="D41" i="110"/>
  <c r="D45" i="110"/>
  <c r="D49" i="110"/>
  <c r="D53" i="110"/>
  <c r="D57" i="110"/>
  <c r="D61" i="110"/>
  <c r="D37" i="110"/>
  <c r="F36" i="110"/>
  <c r="E70" i="110" a="1"/>
  <c r="E56" i="110" a="1"/>
  <c r="F42" i="110" a="1"/>
  <c r="F46" i="110" a="1"/>
  <c r="E52" i="110" a="1"/>
  <c r="E43" i="110" a="1"/>
  <c r="F40" i="110" a="1"/>
  <c r="F52" i="110" a="1"/>
  <c r="F61" i="110" a="1"/>
  <c r="F54" i="110" a="1"/>
  <c r="E41" i="110" a="1"/>
  <c r="F41" i="110" a="1"/>
  <c r="F45" i="110" a="1"/>
  <c r="E39" i="110" a="1"/>
  <c r="F49" i="110" a="1"/>
  <c r="E48" i="110" a="1"/>
  <c r="E55" i="110" a="1"/>
  <c r="F47" i="110" a="1"/>
  <c r="E51" i="110" a="1"/>
  <c r="F55" i="110" a="1"/>
  <c r="E38" i="110" a="1"/>
  <c r="E45" i="110" a="1"/>
  <c r="F56" i="110" a="1"/>
  <c r="E47" i="110" a="1"/>
  <c r="E59" i="110" a="1"/>
  <c r="F38" i="110" a="1"/>
  <c r="F37" i="110" a="1"/>
  <c r="F51" i="110" a="1"/>
  <c r="F53" i="110" a="1"/>
  <c r="F43" i="110" a="1"/>
  <c r="F60" i="110" a="1"/>
  <c r="E46" i="110" a="1"/>
  <c r="E37" i="110" a="1"/>
  <c r="E61" i="110" a="1"/>
  <c r="F59" i="110" a="1"/>
  <c r="E58" i="110" a="1"/>
  <c r="E53" i="110" a="1"/>
  <c r="F48" i="110" a="1"/>
  <c r="F62" i="110" a="1"/>
  <c r="F50" i="110" a="1"/>
  <c r="E60" i="110" a="1"/>
  <c r="E49" i="110" a="1"/>
  <c r="E40" i="110" a="1"/>
  <c r="E42" i="110" a="1"/>
  <c r="E57" i="110" a="1"/>
  <c r="F57" i="110" a="1"/>
  <c r="F44" i="110" a="1"/>
  <c r="E62" i="110" a="1"/>
  <c r="E54" i="110" a="1"/>
  <c r="E44" i="110" a="1"/>
  <c r="F39" i="110" a="1"/>
  <c r="E50" i="110" a="1"/>
  <c r="F58" i="110" a="1"/>
  <c r="E70" i="110" l="1"/>
  <c r="E37" i="110"/>
  <c r="F57" i="110"/>
  <c r="E57" i="110"/>
  <c r="F58" i="110"/>
  <c r="E58" i="110"/>
  <c r="F45" i="110"/>
  <c r="E45" i="110"/>
  <c r="F48" i="110"/>
  <c r="E48" i="110"/>
  <c r="F44" i="110"/>
  <c r="E44" i="110"/>
  <c r="F62" i="110"/>
  <c r="E62" i="110"/>
  <c r="F49" i="110"/>
  <c r="E49" i="110"/>
  <c r="F54" i="110"/>
  <c r="E54" i="110"/>
  <c r="F41" i="110"/>
  <c r="E41" i="110"/>
  <c r="F50" i="110"/>
  <c r="E50" i="110"/>
  <c r="F60" i="110"/>
  <c r="E60" i="110"/>
  <c r="F37" i="110"/>
  <c r="F56" i="110"/>
  <c r="E56" i="110"/>
  <c r="F47" i="110"/>
  <c r="E47" i="110"/>
  <c r="F42" i="110"/>
  <c r="E42" i="110"/>
  <c r="F39" i="110"/>
  <c r="E39" i="110"/>
  <c r="F53" i="110"/>
  <c r="E53" i="110"/>
  <c r="F40" i="110"/>
  <c r="E40" i="110"/>
  <c r="F59" i="110"/>
  <c r="E59" i="110"/>
  <c r="F55" i="110"/>
  <c r="E55" i="110"/>
  <c r="F51" i="110"/>
  <c r="E51" i="110"/>
  <c r="F46" i="110"/>
  <c r="E46" i="110"/>
  <c r="F61" i="110"/>
  <c r="E61" i="110"/>
  <c r="F52" i="110"/>
  <c r="E52" i="110"/>
  <c r="F43" i="110"/>
  <c r="E43" i="110"/>
  <c r="F38" i="110"/>
  <c r="E38" i="110"/>
  <c r="G57" i="110" a="1"/>
  <c r="G45" i="110" a="1"/>
  <c r="G46" i="110" a="1"/>
  <c r="G58" i="110" a="1"/>
  <c r="G54" i="110" a="1"/>
  <c r="G52" i="110" a="1"/>
  <c r="G56" i="110" a="1"/>
  <c r="G49" i="110" a="1"/>
  <c r="G62" i="110" a="1"/>
  <c r="G40" i="110" a="1"/>
  <c r="G41" i="110" a="1"/>
  <c r="G47" i="110" a="1"/>
  <c r="G48" i="110" a="1"/>
  <c r="G50" i="110" a="1"/>
  <c r="G44" i="110" a="1"/>
  <c r="G59" i="110" a="1"/>
  <c r="G55" i="110" a="1"/>
  <c r="G38" i="110" a="1"/>
  <c r="E73" i="110" a="1"/>
  <c r="G51" i="110" a="1"/>
  <c r="G53" i="110" a="1"/>
  <c r="G42" i="110" a="1"/>
  <c r="G43" i="110" a="1"/>
  <c r="G60" i="110" a="1"/>
  <c r="G39" i="110" a="1"/>
  <c r="G37" i="110" a="1"/>
  <c r="G61" i="110" a="1"/>
  <c r="E73" i="110" l="1"/>
  <c r="G52" i="110"/>
  <c r="G55" i="110"/>
  <c r="G37" i="110"/>
  <c r="G54" i="110"/>
  <c r="G48" i="110"/>
  <c r="G59" i="110"/>
  <c r="G49" i="110"/>
  <c r="G50" i="110"/>
  <c r="G39" i="110"/>
  <c r="G61" i="110"/>
  <c r="G42" i="110"/>
  <c r="G60" i="110"/>
  <c r="G45" i="110"/>
  <c r="G38" i="110"/>
  <c r="G46" i="110"/>
  <c r="G40" i="110"/>
  <c r="G47" i="110"/>
  <c r="G62" i="110"/>
  <c r="G58" i="110"/>
  <c r="G43" i="110"/>
  <c r="G51" i="110"/>
  <c r="G53" i="110"/>
  <c r="G56" i="110"/>
  <c r="G41" i="110"/>
  <c r="G44" i="110"/>
  <c r="G57" i="110"/>
  <c r="H58" i="110" a="1"/>
  <c r="H48" i="110" a="1"/>
  <c r="H44" i="110" a="1"/>
  <c r="H41" i="110" a="1"/>
  <c r="H54" i="110" a="1"/>
  <c r="H38" i="110" a="1"/>
  <c r="H50" i="110" a="1"/>
  <c r="H49" i="110" a="1"/>
  <c r="H57" i="110" a="1"/>
  <c r="H61" i="110" a="1"/>
  <c r="H37" i="110" a="1"/>
  <c r="H56" i="110" a="1"/>
  <c r="H40" i="110" a="1"/>
  <c r="H60" i="110" a="1"/>
  <c r="H51" i="110" a="1"/>
  <c r="H39" i="110" a="1"/>
  <c r="H55" i="110" a="1"/>
  <c r="E79" i="110" a="1"/>
  <c r="H59" i="110" a="1"/>
  <c r="H46" i="110" a="1"/>
  <c r="H42" i="110" a="1"/>
  <c r="H53" i="110" a="1"/>
  <c r="H47" i="110" a="1"/>
  <c r="H52" i="110" a="1"/>
  <c r="H43" i="110" a="1"/>
  <c r="H62" i="110" a="1"/>
  <c r="H45" i="110" a="1"/>
  <c r="E79" i="110" l="1"/>
  <c r="H41" i="110"/>
  <c r="H50" i="110"/>
  <c r="H56" i="110"/>
  <c r="H46" i="110"/>
  <c r="H49" i="110"/>
  <c r="H53" i="110"/>
  <c r="H38" i="110"/>
  <c r="H59" i="110"/>
  <c r="H51" i="110"/>
  <c r="H45" i="110"/>
  <c r="H48" i="110"/>
  <c r="H40" i="110"/>
  <c r="H43" i="110"/>
  <c r="H60" i="110"/>
  <c r="H54" i="110"/>
  <c r="H58" i="110"/>
  <c r="H42" i="110"/>
  <c r="H37" i="110"/>
  <c r="H57" i="110"/>
  <c r="H62" i="110"/>
  <c r="H61" i="110"/>
  <c r="H55" i="110"/>
  <c r="H44" i="110"/>
  <c r="H47" i="110"/>
  <c r="H39" i="110"/>
  <c r="H52" i="110"/>
  <c r="I60" i="110" a="1"/>
  <c r="I37" i="110" a="1"/>
  <c r="I56" i="110" a="1"/>
  <c r="I42" i="110" a="1"/>
  <c r="I55" i="110" a="1"/>
  <c r="I48" i="110" a="1"/>
  <c r="I62" i="110" a="1"/>
  <c r="I43" i="110" a="1"/>
  <c r="I38" i="110" a="1"/>
  <c r="I58" i="110" a="1"/>
  <c r="I51" i="110" a="1"/>
  <c r="I54" i="110" a="1"/>
  <c r="I52" i="110" a="1"/>
  <c r="I41" i="110" a="1"/>
  <c r="I39" i="110" a="1"/>
  <c r="I45" i="110" a="1"/>
  <c r="I46" i="110" a="1"/>
  <c r="I40" i="110" a="1"/>
  <c r="I47" i="110" a="1"/>
  <c r="I59" i="110" a="1"/>
  <c r="I44" i="110" a="1"/>
  <c r="I57" i="110" a="1"/>
  <c r="I50" i="110" a="1"/>
  <c r="I49" i="110" a="1"/>
  <c r="I53" i="110" a="1"/>
  <c r="I61" i="110" a="1"/>
  <c r="I44" i="110" l="1"/>
  <c r="I48" i="110"/>
  <c r="I47" i="110"/>
  <c r="I59" i="110"/>
  <c r="I54" i="110"/>
  <c r="I60" i="110"/>
  <c r="I43" i="110"/>
  <c r="I62" i="110"/>
  <c r="I46" i="110"/>
  <c r="I37" i="110"/>
  <c r="I45" i="110"/>
  <c r="I50" i="110"/>
  <c r="I58" i="110"/>
  <c r="I38" i="110"/>
  <c r="I55" i="110"/>
  <c r="I53" i="110"/>
  <c r="I61" i="110"/>
  <c r="I49" i="110"/>
  <c r="I40" i="110"/>
  <c r="I57" i="110"/>
  <c r="I56" i="110"/>
  <c r="I52" i="110"/>
  <c r="I39" i="110"/>
  <c r="I42" i="110"/>
  <c r="I51" i="110"/>
  <c r="I41" i="110"/>
  <c r="J61" i="110" a="1"/>
  <c r="J48" i="110" a="1"/>
  <c r="J59" i="110" a="1"/>
  <c r="J40" i="110" a="1"/>
  <c r="J42" i="110" a="1"/>
  <c r="J46" i="110" a="1"/>
  <c r="J49" i="110" a="1"/>
  <c r="J39" i="110" a="1"/>
  <c r="J51" i="110" a="1"/>
  <c r="J52" i="110" a="1"/>
  <c r="J56" i="110" a="1"/>
  <c r="J55" i="110" a="1"/>
  <c r="J50" i="110" a="1"/>
  <c r="J54" i="110" a="1"/>
  <c r="J60" i="110" a="1"/>
  <c r="J45" i="110" a="1"/>
  <c r="J38" i="110" a="1"/>
  <c r="J37" i="110" a="1"/>
  <c r="J53" i="110" a="1"/>
  <c r="J62" i="110" a="1"/>
  <c r="J44" i="110" a="1"/>
  <c r="J57" i="110" a="1"/>
  <c r="J47" i="110" a="1"/>
  <c r="J43" i="110" a="1"/>
  <c r="J41" i="110" a="1"/>
  <c r="J58" i="110" a="1"/>
  <c r="J62" i="110" l="1"/>
  <c r="J42" i="110"/>
  <c r="J39" i="110"/>
  <c r="J43" i="110"/>
  <c r="J52" i="110"/>
  <c r="J38" i="110"/>
  <c r="J60" i="110"/>
  <c r="J54" i="110"/>
  <c r="J59" i="110"/>
  <c r="J47" i="110"/>
  <c r="J41" i="110"/>
  <c r="J49" i="110"/>
  <c r="J37" i="110"/>
  <c r="J48" i="110"/>
  <c r="J53" i="110"/>
  <c r="J55" i="110"/>
  <c r="J56" i="110"/>
  <c r="J58" i="110"/>
  <c r="J57" i="110"/>
  <c r="J50" i="110"/>
  <c r="J40" i="110"/>
  <c r="J45" i="110"/>
  <c r="J51" i="110"/>
  <c r="J61" i="110"/>
  <c r="J46" i="110"/>
  <c r="J4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<sst xmlns="http://schemas.openxmlformats.org/spreadsheetml/2006/main" count="70" uniqueCount="56">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</sst>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5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2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Alignment="1"/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</cellXfs>
  <cellStyles count="6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0.91903000000000001</c:v>
                </c:pt>
                <c:pt idx="1">
                  <c:v>0.74199000000000004</c:v>
                </c:pt>
                <c:pt idx="2">
                  <c:v>0.59257000000000004</c:v>
                </c:pt>
                <c:pt idx="3">
                  <c:v>0.42037000000000002</c:v>
                </c:pt>
                <c:pt idx="4">
                  <c:v>0.33787</c:v>
                </c:pt>
                <c:pt idx="5">
                  <c:v>0.29913000000000001</c:v>
                </c:pt>
                <c:pt idx="6">
                  <c:v>0.27078999999999998</c:v>
                </c:pt>
                <c:pt idx="7">
                  <c:v>0.24643000000000001</c:v>
                </c:pt>
                <c:pt idx="8">
                  <c:v>0.20619999999999999</c:v>
                </c:pt>
                <c:pt idx="9">
                  <c:v>0.14263999999999999</c:v>
                </c:pt>
                <c:pt idx="10">
                  <c:v>5.6869999999999997E-2</c:v>
                </c:pt>
                <c:pt idx="11">
                  <c:v>4.7699999999999999E-3</c:v>
                </c:pt>
                <c:pt idx="12">
                  <c:v>1.3999999999999999E-4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0.98128000000000004</c:v>
                </c:pt>
                <c:pt idx="1">
                  <c:v>0.94886999999999999</c:v>
                </c:pt>
                <c:pt idx="2">
                  <c:v>0.90781000000000001</c:v>
                </c:pt>
                <c:pt idx="3">
                  <c:v>0.84248000000000001</c:v>
                </c:pt>
                <c:pt idx="4">
                  <c:v>0.78642999999999996</c:v>
                </c:pt>
                <c:pt idx="5">
                  <c:v>0.73714999999999997</c:v>
                </c:pt>
                <c:pt idx="6">
                  <c:v>0.69325000000000003</c:v>
                </c:pt>
                <c:pt idx="7">
                  <c:v>0.67188000000000003</c:v>
                </c:pt>
                <c:pt idx="8">
                  <c:v>0.63739000000000001</c:v>
                </c:pt>
                <c:pt idx="9">
                  <c:v>0.60597000000000001</c:v>
                </c:pt>
                <c:pt idx="10">
                  <c:v>0.57726999999999995</c:v>
                </c:pt>
                <c:pt idx="11">
                  <c:v>0.55101999999999995</c:v>
                </c:pt>
                <c:pt idx="12">
                  <c:v>0.52697000000000005</c:v>
                </c:pt>
                <c:pt idx="13">
                  <c:v>0.50492999999999999</c:v>
                </c:pt>
                <c:pt idx="14">
                  <c:v>0.48470000000000002</c:v>
                </c:pt>
                <c:pt idx="15">
                  <c:v>0.46615000000000001</c:v>
                </c:pt>
                <c:pt idx="16">
                  <c:v>0.44912000000000002</c:v>
                </c:pt>
                <c:pt idx="17">
                  <c:v>0.43348999999999999</c:v>
                </c:pt>
                <c:pt idx="18">
                  <c:v>0.41915999999999998</c:v>
                </c:pt>
                <c:pt idx="19">
                  <c:v>0.40600999999999998</c:v>
                </c:pt>
                <c:pt idx="20">
                  <c:v>0.39395999999999998</c:v>
                </c:pt>
                <c:pt idx="21">
                  <c:v>0.38291999999999998</c:v>
                </c:pt>
                <c:pt idx="22">
                  <c:v>0.37281999999999998</c:v>
                </c:pt>
                <c:pt idx="23">
                  <c:v>0.36357</c:v>
                </c:pt>
                <c:pt idx="24">
                  <c:v>0.35510999999999998</c:v>
                </c:pt>
                <c:pt idx="25">
                  <c:v>0.34737000000000001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0.99281810749980104</c:v>
                </c:pt>
                <c:pt idx="1">
                  <c:v>0.99088165955075502</c:v>
                </c:pt>
                <c:pt idx="2">
                  <c:v>0.98399236892318487</c:v>
                </c:pt>
                <c:pt idx="3">
                  <c:v>0.96278330009531199</c:v>
                </c:pt>
                <c:pt idx="4">
                  <c:v>0.94276614235109091</c:v>
                </c:pt>
                <c:pt idx="5">
                  <c:v>0.92580313772933187</c:v>
                </c:pt>
                <c:pt idx="6">
                  <c:v>0.90972910797821305</c:v>
                </c:pt>
                <c:pt idx="7">
                  <c:v>0.89930670648557687</c:v>
                </c:pt>
                <c:pt idx="8">
                  <c:v>0.88140799750606891</c:v>
                </c:pt>
                <c:pt idx="9">
                  <c:v>0.85976551264347001</c:v>
                </c:pt>
                <c:pt idx="10">
                  <c:v>0.83554150154368179</c:v>
                </c:pt>
                <c:pt idx="11">
                  <c:v>0.81538598165760434</c:v>
                </c:pt>
                <c:pt idx="12">
                  <c:v>0.80004854571872985</c:v>
                </c:pt>
                <c:pt idx="13">
                  <c:v>0.78557438167313742</c:v>
                </c:pt>
                <c:pt idx="14">
                  <c:v>0.77155244975577109</c:v>
                </c:pt>
                <c:pt idx="15">
                  <c:v>0.75797656128941293</c:v>
                </c:pt>
                <c:pt idx="16">
                  <c:v>0.7448332545285794</c:v>
                </c:pt>
                <c:pt idx="17">
                  <c:v>0.73211996529950407</c:v>
                </c:pt>
                <c:pt idx="18">
                  <c:v>0.71983756717903347</c:v>
                </c:pt>
                <c:pt idx="19">
                  <c:v>0.7079718540214528</c:v>
                </c:pt>
                <c:pt idx="20">
                  <c:v>0.6965228554755345</c:v>
                </c:pt>
                <c:pt idx="21">
                  <c:v>0.68548135766125506</c:v>
                </c:pt>
                <c:pt idx="22">
                  <c:v>0.67484416427910188</c:v>
                </c:pt>
                <c:pt idx="23">
                  <c:v>0.66459403688875818</c:v>
                </c:pt>
                <c:pt idx="24">
                  <c:v>0.65472575336565875</c:v>
                </c:pt>
                <c:pt idx="25">
                  <c:v>0.64522575832611428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0.14954273177947791</c:v>
                </c:pt>
                <c:pt idx="1">
                  <c:v>0.3591000417218676</c:v>
                </c:pt>
                <c:pt idx="2">
                  <c:v>0.4694377575294269</c:v>
                </c:pt>
                <c:pt idx="3">
                  <c:v>0.55727728078658023</c:v>
                </c:pt>
                <c:pt idx="4">
                  <c:v>0.58981271625912124</c:v>
                </c:pt>
                <c:pt idx="5">
                  <c:v>0.60349562608943197</c:v>
                </c:pt>
                <c:pt idx="6">
                  <c:v>0.61294088359867349</c:v>
                </c:pt>
                <c:pt idx="7">
                  <c:v>0.6207072486673878</c:v>
                </c:pt>
                <c:pt idx="8">
                  <c:v>0.63287274619355438</c:v>
                </c:pt>
                <c:pt idx="9">
                  <c:v>0.65057944643538057</c:v>
                </c:pt>
                <c:pt idx="10">
                  <c:v>0.67193138061359625</c:v>
                </c:pt>
                <c:pt idx="11">
                  <c:v>0.68367298311006908</c:v>
                </c:pt>
                <c:pt idx="12">
                  <c:v>0.68467589578714705</c:v>
                </c:pt>
                <c:pt idx="13">
                  <c:v>0.68470612239540418</c:v>
                </c:pt>
                <c:pt idx="14">
                  <c:v>0.68470612239540407</c:v>
                </c:pt>
                <c:pt idx="15">
                  <c:v>0.68470612239540418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1.5356999556545426E-2</c:v>
                </c:pt>
                <c:pt idx="1">
                  <c:v>1.9417294000764394E-2</c:v>
                </c:pt>
                <c:pt idx="2">
                  <c:v>3.3595019662320459E-2</c:v>
                </c:pt>
                <c:pt idx="3">
                  <c:v>7.4777783274518894E-2</c:v>
                </c:pt>
                <c:pt idx="4">
                  <c:v>0.11055101546653667</c:v>
                </c:pt>
                <c:pt idx="5">
                  <c:v>0.13876938756703708</c:v>
                </c:pt>
                <c:pt idx="6">
                  <c:v>0.16390494688537688</c:v>
                </c:pt>
                <c:pt idx="7">
                  <c:v>0.17943332164075118</c:v>
                </c:pt>
                <c:pt idx="8">
                  <c:v>0.2047964357379255</c:v>
                </c:pt>
                <c:pt idx="9">
                  <c:v>0.23344592668367858</c:v>
                </c:pt>
                <c:pt idx="10">
                  <c:v>0.26315924561921283</c:v>
                </c:pt>
                <c:pt idx="11">
                  <c:v>0.28618130833677047</c:v>
                </c:pt>
                <c:pt idx="12">
                  <c:v>0.30275856043893656</c:v>
                </c:pt>
                <c:pt idx="13">
                  <c:v>0.31771173005909603</c:v>
                </c:pt>
                <c:pt idx="14">
                  <c:v>0.33159851903311621</c:v>
                </c:pt>
                <c:pt idx="15">
                  <c:v>0.34451537589930759</c:v>
                </c:pt>
                <c:pt idx="16">
                  <c:v>0.35655375722611471</c:v>
                </c:pt>
                <c:pt idx="17">
                  <c:v>0.3677848945731701</c:v>
                </c:pt>
                <c:pt idx="18">
                  <c:v>0.37826918647636643</c:v>
                </c:pt>
                <c:pt idx="19">
                  <c:v>0.38807276637500676</c:v>
                </c:pt>
                <c:pt idx="20">
                  <c:v>0.39724337060213766</c:v>
                </c:pt>
                <c:pt idx="21">
                  <c:v>0.40583090946482875</c:v>
                </c:pt>
                <c:pt idx="22">
                  <c:v>0.41387571407132173</c:v>
                </c:pt>
                <c:pt idx="23">
                  <c:v>0.42142433842191102</c:v>
                </c:pt>
                <c:pt idx="24">
                  <c:v>0.42851030108091964</c:v>
                </c:pt>
                <c:pt idx="25">
                  <c:v>0.43516975173320166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5"/>
  <sheetViews>
    <sheetView tabSelected="1" topLeftCell="A45" zoomScale="130" zoomScaleNormal="130" workbookViewId="0">
      <selection activeCell="I85" sqref="I85"/>
    </sheetView>
  </sheetViews>
  <sheetFormatPr defaultRowHeight="12.75" outlineLevelRow="1" x14ac:dyDescent="0.2"/>
  <cols>
    <col min="2" max="2" width="12.42578125" customWidth="1"/>
    <col min="3" max="4" width="9.85546875" customWidth="1"/>
    <col min="5" max="9" width="15.7109375" customWidth="1"/>
    <col min="10" max="10" width="11.28515625" customWidth="1"/>
    <col min="11" max="11" width="10.140625" customWidth="1"/>
  </cols>
  <sheetData>
    <row r="1" spans="1:12" x14ac:dyDescent="0.2">
      <c r="A1" s="1" t="s">
        <v>31</v>
      </c>
      <c r="F1" t="s">
        <v>32</v>
      </c>
      <c r="G1" t="str">
        <f>[1]!unf_version()</f>
        <v>7.46</v>
      </c>
      <c r="H1" t="s">
        <v>39</v>
      </c>
      <c r="I1" s="25">
        <v>45034</v>
      </c>
      <c r="J1" s="26"/>
      <c r="K1" s="26"/>
      <c r="L1" s="26"/>
    </row>
    <row r="2" spans="1:12" x14ac:dyDescent="0.2">
      <c r="A2" t="s">
        <v>53</v>
      </c>
      <c r="H2" t="s">
        <v>40</v>
      </c>
      <c r="I2" s="27">
        <v>7.46</v>
      </c>
      <c r="J2" s="26"/>
      <c r="K2" s="26"/>
      <c r="L2" s="26"/>
    </row>
    <row r="3" spans="1:12" ht="15" x14ac:dyDescent="0.25">
      <c r="A3" s="28" t="s">
        <v>41</v>
      </c>
      <c r="B3" s="40" t="s">
        <v>42</v>
      </c>
      <c r="C3" s="41"/>
      <c r="D3" s="41"/>
      <c r="E3" s="42"/>
      <c r="H3" t="s">
        <v>43</v>
      </c>
      <c r="I3" s="26" t="s">
        <v>42</v>
      </c>
      <c r="J3" s="26"/>
      <c r="K3" s="26"/>
      <c r="L3" s="26"/>
    </row>
    <row r="4" spans="1:12" ht="15" x14ac:dyDescent="0.25">
      <c r="A4" s="28" t="s">
        <v>44</v>
      </c>
      <c r="B4" s="40" t="s">
        <v>45</v>
      </c>
      <c r="C4" s="41"/>
      <c r="D4" s="41"/>
      <c r="E4" s="42"/>
      <c r="H4" t="s">
        <v>46</v>
      </c>
      <c r="I4" s="26" t="s">
        <v>45</v>
      </c>
      <c r="J4" s="26"/>
      <c r="K4" s="26"/>
      <c r="L4" s="26"/>
    </row>
    <row r="5" spans="1:12" ht="15" x14ac:dyDescent="0.25">
      <c r="A5" s="28" t="s">
        <v>47</v>
      </c>
      <c r="B5" s="40" t="s">
        <v>48</v>
      </c>
      <c r="C5" s="41"/>
      <c r="D5" s="41"/>
      <c r="E5" s="42"/>
      <c r="H5" t="s">
        <v>49</v>
      </c>
      <c r="I5" s="26" t="s">
        <v>48</v>
      </c>
      <c r="J5" s="26"/>
      <c r="K5" s="26"/>
      <c r="L5" s="26"/>
    </row>
    <row r="6" spans="1:12" x14ac:dyDescent="0.2">
      <c r="A6" s="29" t="s">
        <v>50</v>
      </c>
      <c r="B6" s="43" t="s">
        <v>51</v>
      </c>
      <c r="C6" s="44"/>
      <c r="D6" s="44"/>
      <c r="E6" s="45"/>
      <c r="H6" s="30" t="s">
        <v>52</v>
      </c>
      <c r="I6" s="31" t="s">
        <v>51</v>
      </c>
      <c r="J6" s="31"/>
      <c r="K6" s="31"/>
      <c r="L6" s="31"/>
    </row>
    <row r="7" spans="1:12" x14ac:dyDescent="0.2">
      <c r="A7" s="32"/>
      <c r="B7" s="46"/>
      <c r="C7" s="47"/>
      <c r="D7" s="47"/>
      <c r="E7" s="48"/>
      <c r="H7" s="30"/>
      <c r="I7" s="31"/>
      <c r="J7" s="31"/>
      <c r="K7" s="31"/>
      <c r="L7" s="31"/>
    </row>
    <row r="8" spans="1:12" x14ac:dyDescent="0.2">
      <c r="A8" s="33"/>
      <c r="B8" s="49"/>
      <c r="C8" s="50"/>
      <c r="D8" s="50"/>
      <c r="E8" s="51"/>
      <c r="H8" s="30"/>
      <c r="I8" s="31"/>
      <c r="J8" s="31"/>
      <c r="K8" s="31"/>
      <c r="L8" s="31"/>
    </row>
    <row r="10" spans="1:12" x14ac:dyDescent="0.2">
      <c r="A10" s="1" t="s">
        <v>7</v>
      </c>
    </row>
    <row r="11" spans="1:12" ht="18.75" outlineLevel="1" x14ac:dyDescent="0.35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8.75" outlineLevel="1" x14ac:dyDescent="0.35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8.75" outlineLevel="1" x14ac:dyDescent="0.35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8.75" outlineLevel="1" x14ac:dyDescent="0.35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8.75" outlineLevel="1" x14ac:dyDescent="0.35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8" outlineLevel="1" x14ac:dyDescent="0.35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8" outlineLevel="1" x14ac:dyDescent="0.35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8" outlineLevel="1" x14ac:dyDescent="0.35">
      <c r="B18" s="12" t="s">
        <v>22</v>
      </c>
      <c r="C18" s="2">
        <v>1.2</v>
      </c>
      <c r="D18" s="13" t="s">
        <v>1</v>
      </c>
    </row>
    <row r="19" spans="1:20" ht="18" outlineLevel="1" x14ac:dyDescent="0.35">
      <c r="B19" s="13" t="s">
        <v>23</v>
      </c>
      <c r="C19" s="2">
        <v>1</v>
      </c>
      <c r="D19" s="13" t="s">
        <v>28</v>
      </c>
    </row>
    <row r="20" spans="1:20" ht="15.75" x14ac:dyDescent="0.3">
      <c r="B20" s="13" t="s">
        <v>29</v>
      </c>
      <c r="C20" s="2">
        <v>0</v>
      </c>
      <c r="D20" s="13" t="s">
        <v>4</v>
      </c>
    </row>
    <row r="22" spans="1:20" x14ac:dyDescent="0.2">
      <c r="A22" s="1" t="s">
        <v>8</v>
      </c>
      <c r="B22" s="3"/>
      <c r="C22" s="4"/>
    </row>
    <row r="23" spans="1:20" ht="18" outlineLevel="1" x14ac:dyDescent="0.35">
      <c r="B23" s="13" t="s">
        <v>24</v>
      </c>
      <c r="C23" s="2">
        <v>130</v>
      </c>
      <c r="D23" s="13" t="s">
        <v>5</v>
      </c>
    </row>
    <row r="24" spans="1:20" ht="18" outlineLevel="1" x14ac:dyDescent="0.35">
      <c r="B24" s="13" t="s">
        <v>25</v>
      </c>
      <c r="C24" s="2">
        <v>100</v>
      </c>
      <c r="D24" s="13" t="s">
        <v>5</v>
      </c>
    </row>
    <row r="25" spans="1:20" ht="18" outlineLevel="1" x14ac:dyDescent="0.35">
      <c r="B25" s="13" t="s">
        <v>26</v>
      </c>
      <c r="C25" s="2">
        <v>30</v>
      </c>
      <c r="D25" s="13" t="s">
        <v>2</v>
      </c>
    </row>
    <row r="26" spans="1:20" ht="18" outlineLevel="1" x14ac:dyDescent="0.35">
      <c r="B26" s="13" t="s">
        <v>27</v>
      </c>
      <c r="C26" s="2">
        <v>80</v>
      </c>
      <c r="D26" s="13" t="s">
        <v>3</v>
      </c>
    </row>
    <row r="29" spans="1:20" x14ac:dyDescent="0.2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{"gamma_gas":0.9,"gamma_oil":0.875,"gamma_wat":1,"rsb_m3m3":80,"pb_atma":120,"t_res_C":120,"bob_m3m3":1.2,"muob_cP":1,"PVT_corr_set":0}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2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2"/>
    <row r="32" spans="1:20" x14ac:dyDescent="0.2">
      <c r="A32" t="s">
        <v>12</v>
      </c>
    </row>
    <row r="33" spans="1:10" outlineLevel="1" x14ac:dyDescent="0.2">
      <c r="A33" t="s">
        <v>9</v>
      </c>
    </row>
    <row r="34" spans="1:10" outlineLevel="1" x14ac:dyDescent="0.2"/>
    <row r="35" spans="1:10" outlineLevel="1" x14ac:dyDescent="0.2">
      <c r="F35" s="5">
        <v>0.8</v>
      </c>
      <c r="H35" s="19">
        <v>3</v>
      </c>
    </row>
    <row r="36" spans="1:10" ht="51" outlineLevel="1" x14ac:dyDescent="0.2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2"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{"gamma_gas":0.9,"gamma_oil":0.875,"gamma_wat":1,"rsb_m3m3":80,"pb_atma":120,"t_res_C":120,"bob_m3m3":1.2,"muob_cP":1,"PVT_corr_set":0,"q_liq_sm3day":1,"fw_perc":0,"rp_m3m3":80}</v>
      </c>
      <c r="E37" s="34" cm="1">
        <f t="array" ref="E37">[1]!well_ksep_natural_d(D37,Pintake_,Tintake_,Dintake_,Dcas_)</f>
        <v>0.98128000000000004</v>
      </c>
      <c r="F37" s="34" cm="1">
        <f t="array" ref="F37">[1]!well_ksep_natural_d(D37,Pintake_,Tintake_,Dintake_,Dcas_*cf_dcas_)</f>
        <v>0.91903000000000001</v>
      </c>
      <c r="G37" s="34" cm="1">
        <f t="array" ref="G37">[1]!feed_gas_fraction_d(Pintake_,Tintake_,D37,F37)</f>
        <v>0.14954273177947791</v>
      </c>
      <c r="H37" s="34" cm="1">
        <f t="array" ref="H37">[1]!ESP_gassep_ksep_d(gassep_type,G37,B37)</f>
        <v>0.61635189635689269</v>
      </c>
      <c r="I37" s="34" cm="1">
        <f t="array" ref="I37">[1]!well_ksep_total_d(E37,H37)</f>
        <v>0.99281810749980104</v>
      </c>
      <c r="J37" s="34" cm="1">
        <f t="array" ref="J37">[1]!feed_gas_fraction_d(Pintake_,Tintake_,D37,I37)</f>
        <v>1.5356999556545426E-2</v>
      </c>
    </row>
    <row r="38" spans="1:10" outlineLevel="1" x14ac:dyDescent="0.2"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{"gamma_gas":0.9,"gamma_oil":0.875,"gamma_wat":1,"rsb_m3m3":80,"pb_atma":120,"t_res_C":120,"bob_m3m3":1.2,"muob_cP":1,"PVT_corr_set":0,"q_liq_sm3day":5,"fw_perc":0,"rp_m3m3":80}</v>
      </c>
      <c r="E38" s="34" cm="1">
        <f t="array" ref="E38">[1]!well_ksep_natural_d(D38,Pintake_,Tintake_,Dintake_,Dcas_)</f>
        <v>0.94886999999999999</v>
      </c>
      <c r="F38" s="34" cm="1">
        <f t="array" ref="F38">[1]!well_ksep_natural_d(D38,Pintake_,Tintake_,Dintake_,Dcas_*cf_dcas_)</f>
        <v>0.74199000000000004</v>
      </c>
      <c r="G38" s="34" cm="1">
        <f t="array" ref="G38">[1]!feed_gas_fraction_d(Pintake_,Tintake_,D38,F38)</f>
        <v>0.3591000417218676</v>
      </c>
      <c r="H38" s="34" cm="1">
        <f t="array" ref="H38">[1]!ESP_gassep_ksep_d(gassep_type,G38,B38)</f>
        <v>0.82166359379532661</v>
      </c>
      <c r="I38" s="34" cm="1">
        <f t="array" ref="I38">[1]!well_ksep_total_d(E38,H38)</f>
        <v>0.99088165955075502</v>
      </c>
      <c r="J38" s="34" cm="1">
        <f t="array" ref="J38">[1]!feed_gas_fraction_d(Pintake_,Tintake_,D38,I38)</f>
        <v>1.9417294000764394E-2</v>
      </c>
    </row>
    <row r="39" spans="1:10" outlineLevel="1" x14ac:dyDescent="0.2">
      <c r="B39" s="15">
        <v>10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{"gamma_gas":0.9,"gamma_oil":0.875,"gamma_wat":1,"rsb_m3m3":80,"pb_atma":120,"t_res_C":120,"bob_m3m3":1.2,"muob_cP":1,"PVT_corr_set":0,"q_liq_sm3day":10,"fw_perc":0,"rp_m3m3":80}</v>
      </c>
      <c r="E39" s="34" cm="1">
        <f t="array" ref="E39">[1]!well_ksep_natural_d(D39,Pintake_,Tintake_,Dintake_,Dcas_)</f>
        <v>0.90781000000000001</v>
      </c>
      <c r="F39" s="34" cm="1">
        <f t="array" ref="F39">[1]!well_ksep_natural_d(D39,Pintake_,Tintake_,Dintake_,Dcas_*cf_dcas_)</f>
        <v>0.59257000000000004</v>
      </c>
      <c r="G39" s="34" cm="1">
        <f t="array" ref="G39">[1]!feed_gas_fraction_d(Pintake_,Tintake_,D39,F39)</f>
        <v>0.4694377575294269</v>
      </c>
      <c r="H39" s="34" cm="1">
        <f t="array" ref="H39">[1]!ESP_gassep_ksep_d(gassep_type,G39,B39)</f>
        <v>0.8263626089943038</v>
      </c>
      <c r="I39" s="34" cm="1">
        <f t="array" ref="I39">[1]!well_ksep_total_d(E39,H39)</f>
        <v>0.98399236892318487</v>
      </c>
      <c r="J39" s="34" cm="1">
        <f t="array" ref="J39">[1]!feed_gas_fraction_d(Pintake_,Tintake_,D39,I39)</f>
        <v>3.3595019662320459E-2</v>
      </c>
    </row>
    <row r="40" spans="1:10" outlineLevel="1" x14ac:dyDescent="0.2">
      <c r="B40" s="15">
        <v>20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{"gamma_gas":0.9,"gamma_oil":0.875,"gamma_wat":1,"rsb_m3m3":80,"pb_atma":120,"t_res_C":120,"bob_m3m3":1.2,"muob_cP":1,"PVT_corr_set":0,"q_liq_sm3day":20,"fw_perc":0,"rp_m3m3":80}</v>
      </c>
      <c r="E40" s="34" cm="1">
        <f t="array" ref="E40">[1]!well_ksep_natural_d(D40,Pintake_,Tintake_,Dintake_,Dcas_)</f>
        <v>0.84248000000000001</v>
      </c>
      <c r="F40" s="34" cm="1">
        <f t="array" ref="F40">[1]!well_ksep_natural_d(D40,Pintake_,Tintake_,Dintake_,Dcas_*cf_dcas_)</f>
        <v>0.42037000000000002</v>
      </c>
      <c r="G40" s="34" cm="1">
        <f t="array" ref="G40">[1]!feed_gas_fraction_d(Pintake_,Tintake_,D40,F40)</f>
        <v>0.55727728078658023</v>
      </c>
      <c r="H40" s="34" cm="1">
        <f t="array" ref="H40">[1]!ESP_gassep_ksep_d(gassep_type,G40,B40)</f>
        <v>0.76373349476455032</v>
      </c>
      <c r="I40" s="34" cm="1">
        <f t="array" ref="I40">[1]!well_ksep_total_d(E40,H40)</f>
        <v>0.96278330009531199</v>
      </c>
      <c r="J40" s="34" cm="1">
        <f t="array" ref="J40">[1]!feed_gas_fraction_d(Pintake_,Tintake_,D40,I40)</f>
        <v>7.4777783274518894E-2</v>
      </c>
    </row>
    <row r="41" spans="1:10" outlineLevel="1" x14ac:dyDescent="0.2">
      <c r="B41" s="15">
        <v>30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{"gamma_gas":0.9,"gamma_oil":0.875,"gamma_wat":1,"rsb_m3m3":80,"pb_atma":120,"t_res_C":120,"bob_m3m3":1.2,"muob_cP":1,"PVT_corr_set":0,"q_liq_sm3day":30,"fw_perc":0,"rp_m3m3":80}</v>
      </c>
      <c r="E41" s="34" cm="1">
        <f t="array" ref="E41">[1]!well_ksep_natural_d(D41,Pintake_,Tintake_,Dintake_,Dcas_)</f>
        <v>0.78642999999999996</v>
      </c>
      <c r="F41" s="34" cm="1">
        <f t="array" ref="F41">[1]!well_ksep_natural_d(D41,Pintake_,Tintake_,Dintake_,Dcas_*cf_dcas_)</f>
        <v>0.33787</v>
      </c>
      <c r="G41" s="34" cm="1">
        <f t="array" ref="G41">[1]!feed_gas_fraction_d(Pintake_,Tintake_,D41,F41)</f>
        <v>0.58981271625912124</v>
      </c>
      <c r="H41" s="34" cm="1">
        <f t="array" ref="H41">[1]!ESP_gassep_ksep_d(gassep_type,G41,B41)</f>
        <v>0.7320135896946709</v>
      </c>
      <c r="I41" s="34" cm="1">
        <f t="array" ref="I41">[1]!well_ksep_total_d(E41,H41)</f>
        <v>0.94276614235109091</v>
      </c>
      <c r="J41" s="34" cm="1">
        <f t="array" ref="J41">[1]!feed_gas_fraction_d(Pintake_,Tintake_,D41,I41)</f>
        <v>0.11055101546653667</v>
      </c>
    </row>
    <row r="42" spans="1:10" outlineLevel="1" x14ac:dyDescent="0.2">
      <c r="B42" s="15">
        <v>40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{"gamma_gas":0.9,"gamma_oil":0.875,"gamma_wat":1,"rsb_m3m3":80,"pb_atma":120,"t_res_C":120,"bob_m3m3":1.2,"muob_cP":1,"PVT_corr_set":0,"q_liq_sm3day":40,"fw_perc":0,"rp_m3m3":80}</v>
      </c>
      <c r="E42" s="34" cm="1">
        <f t="array" ref="E42">[1]!well_ksep_natural_d(D42,Pintake_,Tintake_,Dintake_,Dcas_)</f>
        <v>0.73714999999999997</v>
      </c>
      <c r="F42" s="34" cm="1">
        <f t="array" ref="F42">[1]!well_ksep_natural_d(D42,Pintake_,Tintake_,Dintake_,Dcas_*cf_dcas_)</f>
        <v>0.29913000000000001</v>
      </c>
      <c r="G42" s="34" cm="1">
        <f t="array" ref="G42">[1]!feed_gas_fraction_d(Pintake_,Tintake_,D42,F42)</f>
        <v>0.60349562608943197</v>
      </c>
      <c r="H42" s="34" cm="1">
        <f t="array" ref="H42">[1]!ESP_gassep_ksep_d(gassep_type,G42,B42)</f>
        <v>0.71772165771098273</v>
      </c>
      <c r="I42" s="34" cm="1">
        <f t="array" ref="I42">[1]!well_ksep_total_d(E42,H42)</f>
        <v>0.92580313772933187</v>
      </c>
      <c r="J42" s="34" cm="1">
        <f t="array" ref="J42">[1]!feed_gas_fraction_d(Pintake_,Tintake_,D42,I42)</f>
        <v>0.13876938756703708</v>
      </c>
    </row>
    <row r="43" spans="1:10" outlineLevel="1" x14ac:dyDescent="0.2">
      <c r="B43" s="15">
        <v>50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{"gamma_gas":0.9,"gamma_oil":0.875,"gamma_wat":1,"rsb_m3m3":80,"pb_atma":120,"t_res_C":120,"bob_m3m3":1.2,"muob_cP":1,"PVT_corr_set":0,"q_liq_sm3day":50,"fw_perc":0,"rp_m3m3":80}</v>
      </c>
      <c r="E43" s="34" cm="1">
        <f t="array" ref="E43">[1]!well_ksep_natural_d(D43,Pintake_,Tintake_,Dintake_,Dcas_)</f>
        <v>0.69325000000000003</v>
      </c>
      <c r="F43" s="34" cm="1">
        <f t="array" ref="F43">[1]!well_ksep_natural_d(D43,Pintake_,Tintake_,Dintake_,Dcas_*cf_dcas_)</f>
        <v>0.27078999999999998</v>
      </c>
      <c r="G43" s="34" cm="1">
        <f t="array" ref="G43">[1]!feed_gas_fraction_d(Pintake_,Tintake_,D43,F43)</f>
        <v>0.61294088359867349</v>
      </c>
      <c r="H43" s="34" cm="1">
        <f t="array" ref="H43">[1]!ESP_gassep_ksep_d(gassep_type,G43,B43)</f>
        <v>0.70571836341715732</v>
      </c>
      <c r="I43" s="34" cm="1">
        <f t="array" ref="I43">[1]!well_ksep_total_d(E43,H43)</f>
        <v>0.90972910797821305</v>
      </c>
      <c r="J43" s="34" cm="1">
        <f t="array" ref="J43">[1]!feed_gas_fraction_d(Pintake_,Tintake_,D43,I43)</f>
        <v>0.16390494688537688</v>
      </c>
    </row>
    <row r="44" spans="1:10" outlineLevel="1" x14ac:dyDescent="0.2">
      <c r="B44" s="15">
        <v>60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{"gamma_gas":0.9,"gamma_oil":0.875,"gamma_wat":1,"rsb_m3m3":80,"pb_atma":120,"t_res_C":120,"bob_m3m3":1.2,"muob_cP":1,"PVT_corr_set":0,"q_liq_sm3day":60,"fw_perc":0,"rp_m3m3":80}</v>
      </c>
      <c r="E44" s="34" cm="1">
        <f t="array" ref="E44">[1]!well_ksep_natural_d(D44,Pintake_,Tintake_,Dintake_,Dcas_)</f>
        <v>0.67188000000000003</v>
      </c>
      <c r="F44" s="34" cm="1">
        <f t="array" ref="F44">[1]!well_ksep_natural_d(D44,Pintake_,Tintake_,Dintake_,Dcas_*cf_dcas_)</f>
        <v>0.24643000000000001</v>
      </c>
      <c r="G44" s="34" cm="1">
        <f t="array" ref="G44">[1]!feed_gas_fraction_d(Pintake_,Tintake_,D44,F44)</f>
        <v>0.6207072486673878</v>
      </c>
      <c r="H44" s="34" cm="1">
        <f t="array" ref="H44">[1]!ESP_gassep_ksep_d(gassep_type,G44,B44)</f>
        <v>0.69312052445927352</v>
      </c>
      <c r="I44" s="34" cm="1">
        <f t="array" ref="I44">[1]!well_ksep_total_d(E44,H44)</f>
        <v>0.89930670648557687</v>
      </c>
      <c r="J44" s="34" cm="1">
        <f t="array" ref="J44">[1]!feed_gas_fraction_d(Pintake_,Tintake_,D44,I44)</f>
        <v>0.17943332164075118</v>
      </c>
    </row>
    <row r="45" spans="1:10" outlineLevel="1" x14ac:dyDescent="0.2">
      <c r="B45" s="15">
        <v>70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{"gamma_gas":0.9,"gamma_oil":0.875,"gamma_wat":1,"rsb_m3m3":80,"pb_atma":120,"t_res_C":120,"bob_m3m3":1.2,"muob_cP":1,"PVT_corr_set":0,"q_liq_sm3day":70,"fw_perc":0,"rp_m3m3":80}</v>
      </c>
      <c r="E45" s="34" cm="1">
        <f t="array" ref="E45">[1]!well_ksep_natural_d(D45,Pintake_,Tintake_,Dintake_,Dcas_)</f>
        <v>0.63739000000000001</v>
      </c>
      <c r="F45" s="34" cm="1">
        <f t="array" ref="F45">[1]!well_ksep_natural_d(D45,Pintake_,Tintake_,Dintake_,Dcas_*cf_dcas_)</f>
        <v>0.20619999999999999</v>
      </c>
      <c r="G45" s="34" cm="1">
        <f t="array" ref="G45">[1]!feed_gas_fraction_d(Pintake_,Tintake_,D45,F45)</f>
        <v>0.63287274619355438</v>
      </c>
      <c r="H45" s="34" cm="1">
        <f t="array" ref="H45">[1]!ESP_gassep_ksep_d(gassep_type,G45,B45)</f>
        <v>0.67294889138763125</v>
      </c>
      <c r="I45" s="34" cm="1">
        <f t="array" ref="I45">[1]!well_ksep_total_d(E45,H45)</f>
        <v>0.88140799750606891</v>
      </c>
      <c r="J45" s="34" cm="1">
        <f t="array" ref="J45">[1]!feed_gas_fraction_d(Pintake_,Tintake_,D45,I45)</f>
        <v>0.2047964357379255</v>
      </c>
    </row>
    <row r="46" spans="1:10" outlineLevel="1" x14ac:dyDescent="0.2">
      <c r="B46" s="15">
        <v>80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{"gamma_gas":0.9,"gamma_oil":0.875,"gamma_wat":1,"rsb_m3m3":80,"pb_atma":120,"t_res_C":120,"bob_m3m3":1.2,"muob_cP":1,"PVT_corr_set":0,"q_liq_sm3day":80,"fw_perc":0,"rp_m3m3":80}</v>
      </c>
      <c r="E46" s="34" cm="1">
        <f t="array" ref="E46">[1]!well_ksep_natural_d(D46,Pintake_,Tintake_,Dintake_,Dcas_)</f>
        <v>0.60597000000000001</v>
      </c>
      <c r="F46" s="34" cm="1">
        <f t="array" ref="F46">[1]!well_ksep_natural_d(D46,Pintake_,Tintake_,Dintake_,Dcas_*cf_dcas_)</f>
        <v>0.14263999999999999</v>
      </c>
      <c r="G46" s="34" cm="1">
        <f t="array" ref="G46">[1]!feed_gas_fraction_d(Pintake_,Tintake_,D46,F46)</f>
        <v>0.65057944643538057</v>
      </c>
      <c r="H46" s="34" cm="1">
        <f t="array" ref="H46">[1]!ESP_gassep_ksep_d(gassep_type,G46,B46)</f>
        <v>0.64410200401865325</v>
      </c>
      <c r="I46" s="34" cm="1">
        <f t="array" ref="I46">[1]!well_ksep_total_d(E46,H46)</f>
        <v>0.85976551264347001</v>
      </c>
      <c r="J46" s="34" cm="1">
        <f t="array" ref="J46">[1]!feed_gas_fraction_d(Pintake_,Tintake_,D46,I46)</f>
        <v>0.23344592668367858</v>
      </c>
    </row>
    <row r="47" spans="1:10" outlineLevel="1" x14ac:dyDescent="0.2">
      <c r="B47" s="15">
        <v>90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{"gamma_gas":0.9,"gamma_oil":0.875,"gamma_wat":1,"rsb_m3m3":80,"pb_atma":120,"t_res_C":120,"bob_m3m3":1.2,"muob_cP":1,"PVT_corr_set":0,"q_liq_sm3day":90,"fw_perc":0,"rp_m3m3":80}</v>
      </c>
      <c r="E47" s="34" cm="1">
        <f t="array" ref="E47">[1]!well_ksep_natural_d(D47,Pintake_,Tintake_,Dintake_,Dcas_)</f>
        <v>0.57726999999999995</v>
      </c>
      <c r="F47" s="34" cm="1">
        <f t="array" ref="F47">[1]!well_ksep_natural_d(D47,Pintake_,Tintake_,Dintake_,Dcas_*cf_dcas_)</f>
        <v>5.6869999999999997E-2</v>
      </c>
      <c r="G47" s="34" cm="1">
        <f t="array" ref="G47">[1]!feed_gas_fraction_d(Pintake_,Tintake_,D47,F47)</f>
        <v>0.67193138061359625</v>
      </c>
      <c r="H47" s="34" cm="1">
        <f t="array" ref="H47">[1]!ESP_gassep_ksep_d(gassep_type,G47,B47)</f>
        <v>0.61096090067816777</v>
      </c>
      <c r="I47" s="34" cm="1">
        <f t="array" ref="I47">[1]!well_ksep_total_d(E47,H47)</f>
        <v>0.83554150154368179</v>
      </c>
      <c r="J47" s="34" cm="1">
        <f t="array" ref="J47">[1]!feed_gas_fraction_d(Pintake_,Tintake_,D47,I47)</f>
        <v>0.26315924561921283</v>
      </c>
    </row>
    <row r="48" spans="1:10" outlineLevel="1" x14ac:dyDescent="0.2">
      <c r="B48" s="15">
        <v>100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{"gamma_gas":0.9,"gamma_oil":0.875,"gamma_wat":1,"rsb_m3m3":80,"pb_atma":120,"t_res_C":120,"bob_m3m3":1.2,"muob_cP":1,"PVT_corr_set":0,"q_liq_sm3day":100,"fw_perc":0,"rp_m3m3":80}</v>
      </c>
      <c r="E48" s="34" cm="1">
        <f t="array" ref="E48">[1]!well_ksep_natural_d(D48,Pintake_,Tintake_,Dintake_,Dcas_)</f>
        <v>0.55101999999999995</v>
      </c>
      <c r="F48" s="34" cm="1">
        <f t="array" ref="F48">[1]!well_ksep_natural_d(D48,Pintake_,Tintake_,Dintake_,Dcas_*cf_dcas_)</f>
        <v>4.7699999999999999E-3</v>
      </c>
      <c r="G48" s="34" cm="1">
        <f t="array" ref="G48">[1]!feed_gas_fraction_d(Pintake_,Tintake_,D48,F48)</f>
        <v>0.68367298311006908</v>
      </c>
      <c r="H48" s="34" cm="1">
        <f t="array" ref="H48">[1]!ESP_gassep_ksep_d(gassep_type,G48,B48)</f>
        <v>0.58881460567865906</v>
      </c>
      <c r="I48" s="34" cm="1">
        <f t="array" ref="I48">[1]!well_ksep_total_d(E48,H48)</f>
        <v>0.81538598165760434</v>
      </c>
      <c r="J48" s="34" cm="1">
        <f t="array" ref="J48">[1]!feed_gas_fraction_d(Pintake_,Tintake_,D48,I48)</f>
        <v>0.28618130833677047</v>
      </c>
    </row>
    <row r="49" spans="2:10" outlineLevel="1" x14ac:dyDescent="0.2">
      <c r="B49" s="15">
        <v>110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{"gamma_gas":0.9,"gamma_oil":0.875,"gamma_wat":1,"rsb_m3m3":80,"pb_atma":120,"t_res_C":120,"bob_m3m3":1.2,"muob_cP":1,"PVT_corr_set":0,"q_liq_sm3day":110,"fw_perc":0,"rp_m3m3":80}</v>
      </c>
      <c r="E49" s="34" cm="1">
        <f t="array" ref="E49">[1]!well_ksep_natural_d(D49,Pintake_,Tintake_,Dintake_,Dcas_)</f>
        <v>0.52697000000000005</v>
      </c>
      <c r="F49" s="34" cm="1">
        <f t="array" ref="F49">[1]!well_ksep_natural_d(D49,Pintake_,Tintake_,Dintake_,Dcas_*cf_dcas_)</f>
        <v>1.3999999999999999E-4</v>
      </c>
      <c r="G49" s="34" cm="1">
        <f t="array" ref="G49">[1]!feed_gas_fraction_d(Pintake_,Tintake_,D49,F49)</f>
        <v>0.68467589578714705</v>
      </c>
      <c r="H49" s="34" cm="1">
        <f t="array" ref="H49">[1]!ESP_gassep_ksep_d(gassep_type,G49,B49)</f>
        <v>0.57729646263182</v>
      </c>
      <c r="I49" s="34" cm="1">
        <f t="array" ref="I49">[1]!well_ksep_total_d(E49,H49)</f>
        <v>0.80004854571872985</v>
      </c>
      <c r="J49" s="34" cm="1">
        <f t="array" ref="J49">[1]!feed_gas_fraction_d(Pintake_,Tintake_,D49,I49)</f>
        <v>0.30275856043893656</v>
      </c>
    </row>
    <row r="50" spans="2:10" outlineLevel="1" x14ac:dyDescent="0.2">
      <c r="B50" s="15">
        <v>120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{"gamma_gas":0.9,"gamma_oil":0.875,"gamma_wat":1,"rsb_m3m3":80,"pb_atma":120,"t_res_C":120,"bob_m3m3":1.2,"muob_cP":1,"PVT_corr_set":0,"q_liq_sm3day":120,"fw_perc":0,"rp_m3m3":80}</v>
      </c>
      <c r="E50" s="34" cm="1">
        <f t="array" ref="E50">[1]!well_ksep_natural_d(D50,Pintake_,Tintake_,Dintake_,Dcas_)</f>
        <v>0.50492999999999999</v>
      </c>
      <c r="F50" s="34" cm="1">
        <f t="array" ref="F50">[1]!well_ksep_natural_d(D50,Pintake_,Tintake_,Dintake_,Dcas_*cf_dcas_)</f>
        <v>0</v>
      </c>
      <c r="G50" s="34" cm="1">
        <f t="array" ref="G50">[1]!feed_gas_fraction_d(Pintake_,Tintake_,D50,F50)</f>
        <v>0.68470612239540418</v>
      </c>
      <c r="H50" s="34" cm="1">
        <f t="array" ref="H50">[1]!ESP_gassep_ksep_d(gassep_type,G50,B50)</f>
        <v>0.56687818222299358</v>
      </c>
      <c r="I50" s="34" cm="1">
        <f t="array" ref="I50">[1]!well_ksep_total_d(E50,H50)</f>
        <v>0.78557438167313742</v>
      </c>
      <c r="J50" s="34" cm="1">
        <f t="array" ref="J50">[1]!feed_gas_fraction_d(Pintake_,Tintake_,D50,I50)</f>
        <v>0.31771173005909603</v>
      </c>
    </row>
    <row r="51" spans="2:10" outlineLevel="1" x14ac:dyDescent="0.2">
      <c r="B51" s="15">
        <v>130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{"gamma_gas":0.9,"gamma_oil":0.875,"gamma_wat":1,"rsb_m3m3":80,"pb_atma":120,"t_res_C":120,"bob_m3m3":1.2,"muob_cP":1,"PVT_corr_set":0,"q_liq_sm3day":130,"fw_perc":0,"rp_m3m3":80}</v>
      </c>
      <c r="E51" s="34" cm="1">
        <f t="array" ref="E51">[1]!well_ksep_natural_d(D51,Pintake_,Tintake_,Dintake_,Dcas_)</f>
        <v>0.48470000000000002</v>
      </c>
      <c r="F51" s="34" cm="1">
        <f t="array" ref="F51">[1]!well_ksep_natural_d(D51,Pintake_,Tintake_,Dintake_,Dcas_*cf_dcas_)</f>
        <v>0</v>
      </c>
      <c r="G51" s="34" cm="1">
        <f t="array" ref="G51">[1]!feed_gas_fraction_d(Pintake_,Tintake_,D51,F51)</f>
        <v>0.68470612239540407</v>
      </c>
      <c r="H51" s="34" cm="1">
        <f t="array" ref="H51">[1]!ESP_gassep_ksep_d(gassep_type,G51,B51)</f>
        <v>0.55667077383227459</v>
      </c>
      <c r="I51" s="34" cm="1">
        <f t="array" ref="I51">[1]!well_ksep_total_d(E51,H51)</f>
        <v>0.77155244975577109</v>
      </c>
      <c r="J51" s="34" cm="1">
        <f t="array" ref="J51">[1]!feed_gas_fraction_d(Pintake_,Tintake_,D51,I51)</f>
        <v>0.33159851903311621</v>
      </c>
    </row>
    <row r="52" spans="2:10" outlineLevel="1" x14ac:dyDescent="0.2">
      <c r="B52" s="15">
        <v>140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{"gamma_gas":0.9,"gamma_oil":0.875,"gamma_wat":1,"rsb_m3m3":80,"pb_atma":120,"t_res_C":120,"bob_m3m3":1.2,"muob_cP":1,"PVT_corr_set":0,"q_liq_sm3day":140,"fw_perc":0,"rp_m3m3":80}</v>
      </c>
      <c r="E52" s="34" cm="1">
        <f t="array" ref="E52">[1]!well_ksep_natural_d(D52,Pintake_,Tintake_,Dintake_,Dcas_)</f>
        <v>0.46615000000000001</v>
      </c>
      <c r="F52" s="34" cm="1">
        <f t="array" ref="F52">[1]!well_ksep_natural_d(D52,Pintake_,Tintake_,Dintake_,Dcas_*cf_dcas_)</f>
        <v>0</v>
      </c>
      <c r="G52" s="34" cm="1">
        <f t="array" ref="G52">[1]!feed_gas_fraction_d(Pintake_,Tintake_,D52,F52)</f>
        <v>0.68470612239540418</v>
      </c>
      <c r="H52" s="34" cm="1">
        <f t="array" ref="H52">[1]!ESP_gassep_ksep_d(gassep_type,G52,B52)</f>
        <v>0.54664523984155289</v>
      </c>
      <c r="I52" s="34" cm="1">
        <f t="array" ref="I52">[1]!well_ksep_total_d(E52,H52)</f>
        <v>0.75797656128941293</v>
      </c>
      <c r="J52" s="34" cm="1">
        <f t="array" ref="J52">[1]!feed_gas_fraction_d(Pintake_,Tintake_,D52,I52)</f>
        <v>0.34451537589930759</v>
      </c>
    </row>
    <row r="53" spans="2:10" outlineLevel="1" x14ac:dyDescent="0.2">
      <c r="B53" s="15">
        <v>150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{"gamma_gas":0.9,"gamma_oil":0.875,"gamma_wat":1,"rsb_m3m3":80,"pb_atma":120,"t_res_C":120,"bob_m3m3":1.2,"muob_cP":1,"PVT_corr_set":0,"q_liq_sm3day":150,"fw_perc":0,"rp_m3m3":80}</v>
      </c>
      <c r="E53" s="34" cm="1">
        <f t="array" ref="E53">[1]!well_ksep_natural_d(D53,Pintake_,Tintake_,Dintake_,Dcas_)</f>
        <v>0.44912000000000002</v>
      </c>
      <c r="F53" s="34" cm="1">
        <f t="array" ref="F53">[1]!well_ksep_natural_d(D53,Pintake_,Tintake_,Dintake_,Dcas_*cf_dcas_)</f>
        <v>0</v>
      </c>
      <c r="G53" s="34" cm="1">
        <f t="array" ref="G53">[1]!feed_gas_fraction_d(Pintake_,Tintake_,D53,F53)</f>
        <v>0.68470612239540407</v>
      </c>
      <c r="H53" s="34" cm="1">
        <f t="array" ref="H53">[1]!ESP_gassep_ksep_d(gassep_type,G53,B53)</f>
        <v>0.5368015802508338</v>
      </c>
      <c r="I53" s="34" cm="1">
        <f t="array" ref="I53">[1]!well_ksep_total_d(E53,H53)</f>
        <v>0.7448332545285794</v>
      </c>
      <c r="J53" s="34" cm="1">
        <f t="array" ref="J53">[1]!feed_gas_fraction_d(Pintake_,Tintake_,D53,I53)</f>
        <v>0.35655375722611471</v>
      </c>
    </row>
    <row r="54" spans="2:10" outlineLevel="1" x14ac:dyDescent="0.2">
      <c r="B54" s="15">
        <v>160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{"gamma_gas":0.9,"gamma_oil":0.875,"gamma_wat":1,"rsb_m3m3":80,"pb_atma":120,"t_res_C":120,"bob_m3m3":1.2,"muob_cP":1,"PVT_corr_set":0,"q_liq_sm3day":160,"fw_perc":0,"rp_m3m3":80}</v>
      </c>
      <c r="E54" s="34" cm="1">
        <f t="array" ref="E54">[1]!well_ksep_natural_d(D54,Pintake_,Tintake_,Dintake_,Dcas_)</f>
        <v>0.43348999999999999</v>
      </c>
      <c r="F54" s="34" cm="1">
        <f t="array" ref="F54">[1]!well_ksep_natural_d(D54,Pintake_,Tintake_,Dintake_,Dcas_*cf_dcas_)</f>
        <v>0</v>
      </c>
      <c r="G54" s="34" cm="1">
        <f t="array" ref="G54">[1]!feed_gas_fraction_d(Pintake_,Tintake_,D54,F54)</f>
        <v>0.68470612239540418</v>
      </c>
      <c r="H54" s="34" cm="1">
        <f t="array" ref="H54">[1]!ESP_gassep_ksep_d(gassep_type,G54,B54)</f>
        <v>0.5271397950601121</v>
      </c>
      <c r="I54" s="34" cm="1">
        <f t="array" ref="I54">[1]!well_ksep_total_d(E54,H54)</f>
        <v>0.73211996529950407</v>
      </c>
      <c r="J54" s="34" cm="1">
        <f t="array" ref="J54">[1]!feed_gas_fraction_d(Pintake_,Tintake_,D54,I54)</f>
        <v>0.3677848945731701</v>
      </c>
    </row>
    <row r="55" spans="2:10" outlineLevel="1" x14ac:dyDescent="0.2">
      <c r="B55" s="15">
        <v>170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{"gamma_gas":0.9,"gamma_oil":0.875,"gamma_wat":1,"rsb_m3m3":80,"pb_atma":120,"t_res_C":120,"bob_m3m3":1.2,"muob_cP":1,"PVT_corr_set":0,"q_liq_sm3day":170,"fw_perc":0,"rp_m3m3":80}</v>
      </c>
      <c r="E55" s="34" cm="1">
        <f t="array" ref="E55">[1]!well_ksep_natural_d(D55,Pintake_,Tintake_,Dintake_,Dcas_)</f>
        <v>0.41915999999999998</v>
      </c>
      <c r="F55" s="34" cm="1">
        <f t="array" ref="F55">[1]!well_ksep_natural_d(D55,Pintake_,Tintake_,Dintake_,Dcas_*cf_dcas_)</f>
        <v>0</v>
      </c>
      <c r="G55" s="34" cm="1">
        <f t="array" ref="G55">[1]!feed_gas_fraction_d(Pintake_,Tintake_,D55,F55)</f>
        <v>0.68470612239540418</v>
      </c>
      <c r="H55" s="34" cm="1">
        <f t="array" ref="H55">[1]!ESP_gassep_ksep_d(gassep_type,G55,B55)</f>
        <v>0.51765988426939169</v>
      </c>
      <c r="I55" s="34" cm="1">
        <f t="array" ref="I55">[1]!well_ksep_total_d(E55,H55)</f>
        <v>0.71983756717903347</v>
      </c>
      <c r="J55" s="34" cm="1">
        <f t="array" ref="J55">[1]!feed_gas_fraction_d(Pintake_,Tintake_,D55,I55)</f>
        <v>0.37826918647636643</v>
      </c>
    </row>
    <row r="56" spans="2:10" outlineLevel="1" x14ac:dyDescent="0.2">
      <c r="B56" s="15">
        <v>180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{"gamma_gas":0.9,"gamma_oil":0.875,"gamma_wat":1,"rsb_m3m3":80,"pb_atma":120,"t_res_C":120,"bob_m3m3":1.2,"muob_cP":1,"PVT_corr_set":0,"q_liq_sm3day":180,"fw_perc":0,"rp_m3m3":80}</v>
      </c>
      <c r="E56" s="34" cm="1">
        <f t="array" ref="E56">[1]!well_ksep_natural_d(D56,Pintake_,Tintake_,Dintake_,Dcas_)</f>
        <v>0.40600999999999998</v>
      </c>
      <c r="F56" s="34" cm="1">
        <f t="array" ref="F56">[1]!well_ksep_natural_d(D56,Pintake_,Tintake_,Dintake_,Dcas_*cf_dcas_)</f>
        <v>0</v>
      </c>
      <c r="G56" s="34" cm="1">
        <f t="array" ref="G56">[1]!feed_gas_fraction_d(Pintake_,Tintake_,D56,F56)</f>
        <v>0.68470612239540407</v>
      </c>
      <c r="H56" s="34" cm="1">
        <f t="array" ref="H56">[1]!ESP_gassep_ksep_d(gassep_type,G56,B56)</f>
        <v>0.50836184787867267</v>
      </c>
      <c r="I56" s="34" cm="1">
        <f t="array" ref="I56">[1]!well_ksep_total_d(E56,H56)</f>
        <v>0.7079718540214528</v>
      </c>
      <c r="J56" s="34" cm="1">
        <f t="array" ref="J56">[1]!feed_gas_fraction_d(Pintake_,Tintake_,D56,I56)</f>
        <v>0.38807276637500676</v>
      </c>
    </row>
    <row r="57" spans="2:10" outlineLevel="1" x14ac:dyDescent="0.2">
      <c r="B57" s="15">
        <v>190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{"gamma_gas":0.9,"gamma_oil":0.875,"gamma_wat":1,"rsb_m3m3":80,"pb_atma":120,"t_res_C":120,"bob_m3m3":1.2,"muob_cP":1,"PVT_corr_set":0,"q_liq_sm3day":190,"fw_perc":0,"rp_m3m3":80}</v>
      </c>
      <c r="E57" s="34" cm="1">
        <f t="array" ref="E57">[1]!well_ksep_natural_d(D57,Pintake_,Tintake_,Dintake_,Dcas_)</f>
        <v>0.39395999999999998</v>
      </c>
      <c r="F57" s="34" cm="1">
        <f t="array" ref="F57">[1]!well_ksep_natural_d(D57,Pintake_,Tintake_,Dintake_,Dcas_*cf_dcas_)</f>
        <v>0</v>
      </c>
      <c r="G57" s="34" cm="1">
        <f t="array" ref="G57">[1]!feed_gas_fraction_d(Pintake_,Tintake_,D57,F57)</f>
        <v>0.68470612239540407</v>
      </c>
      <c r="H57" s="34" cm="1">
        <f t="array" ref="H57">[1]!ESP_gassep_ksep_d(gassep_type,G57,B57)</f>
        <v>0.49924568588795226</v>
      </c>
      <c r="I57" s="34" cm="1">
        <f t="array" ref="I57">[1]!well_ksep_total_d(E57,H57)</f>
        <v>0.6965228554755345</v>
      </c>
      <c r="J57" s="34" cm="1">
        <f t="array" ref="J57">[1]!feed_gas_fraction_d(Pintake_,Tintake_,D57,I57)</f>
        <v>0.39724337060213766</v>
      </c>
    </row>
    <row r="58" spans="2:10" outlineLevel="1" x14ac:dyDescent="0.2">
      <c r="B58" s="15">
        <v>200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{"gamma_gas":0.9,"gamma_oil":0.875,"gamma_wat":1,"rsb_m3m3":80,"pb_atma":120,"t_res_C":120,"bob_m3m3":1.2,"muob_cP":1,"PVT_corr_set":0,"q_liq_sm3day":200,"fw_perc":0,"rp_m3m3":80}</v>
      </c>
      <c r="E58" s="34" cm="1">
        <f t="array" ref="E58">[1]!well_ksep_natural_d(D58,Pintake_,Tintake_,Dintake_,Dcas_)</f>
        <v>0.38291999999999998</v>
      </c>
      <c r="F58" s="34" cm="1">
        <f t="array" ref="F58">[1]!well_ksep_natural_d(D58,Pintake_,Tintake_,Dintake_,Dcas_*cf_dcas_)</f>
        <v>0</v>
      </c>
      <c r="G58" s="34" cm="1">
        <f t="array" ref="G58">[1]!feed_gas_fraction_d(Pintake_,Tintake_,D58,F58)</f>
        <v>0.68470612239540418</v>
      </c>
      <c r="H58" s="34" cm="1">
        <f t="array" ref="H58">[1]!ESP_gassep_ksep_d(gassep_type,G58,B58)</f>
        <v>0.49031139829723053</v>
      </c>
      <c r="I58" s="34" cm="1">
        <f t="array" ref="I58">[1]!well_ksep_total_d(E58,H58)</f>
        <v>0.68548135766125506</v>
      </c>
      <c r="J58" s="34" cm="1">
        <f t="array" ref="J58">[1]!feed_gas_fraction_d(Pintake_,Tintake_,D58,I58)</f>
        <v>0.40583090946482875</v>
      </c>
    </row>
    <row r="59" spans="2:10" outlineLevel="1" x14ac:dyDescent="0.2">
      <c r="B59" s="15">
        <v>210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{"gamma_gas":0.9,"gamma_oil":0.875,"gamma_wat":1,"rsb_m3m3":80,"pb_atma":120,"t_res_C":120,"bob_m3m3":1.2,"muob_cP":1,"PVT_corr_set":0,"q_liq_sm3day":210,"fw_perc":0,"rp_m3m3":80}</v>
      </c>
      <c r="E59" s="34" cm="1">
        <f t="array" ref="E59">[1]!well_ksep_natural_d(D59,Pintake_,Tintake_,Dintake_,Dcas_)</f>
        <v>0.37281999999999998</v>
      </c>
      <c r="F59" s="34" cm="1">
        <f t="array" ref="F59">[1]!well_ksep_natural_d(D59,Pintake_,Tintake_,Dintake_,Dcas_*cf_dcas_)</f>
        <v>0</v>
      </c>
      <c r="G59" s="34" cm="1">
        <f t="array" ref="G59">[1]!feed_gas_fraction_d(Pintake_,Tintake_,D59,F59)</f>
        <v>0.68470612239540407</v>
      </c>
      <c r="H59" s="34" cm="1">
        <f t="array" ref="H59">[1]!ESP_gassep_ksep_d(gassep_type,G59,B59)</f>
        <v>0.48155898510651146</v>
      </c>
      <c r="I59" s="34" cm="1">
        <f t="array" ref="I59">[1]!well_ksep_total_d(E59,H59)</f>
        <v>0.67484416427910188</v>
      </c>
      <c r="J59" s="34" cm="1">
        <f t="array" ref="J59">[1]!feed_gas_fraction_d(Pintake_,Tintake_,D59,I59)</f>
        <v>0.41387571407132173</v>
      </c>
    </row>
    <row r="60" spans="2:10" outlineLevel="1" x14ac:dyDescent="0.2">
      <c r="B60" s="15">
        <v>220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{"gamma_gas":0.9,"gamma_oil":0.875,"gamma_wat":1,"rsb_m3m3":80,"pb_atma":120,"t_res_C":120,"bob_m3m3":1.2,"muob_cP":1,"PVT_corr_set":0,"q_liq_sm3day":220,"fw_perc":0,"rp_m3m3":80}</v>
      </c>
      <c r="E60" s="34" cm="1">
        <f t="array" ref="E60">[1]!well_ksep_natural_d(D60,Pintake_,Tintake_,Dintake_,Dcas_)</f>
        <v>0.36357</v>
      </c>
      <c r="F60" s="34" cm="1">
        <f t="array" ref="F60">[1]!well_ksep_natural_d(D60,Pintake_,Tintake_,Dintake_,Dcas_*cf_dcas_)</f>
        <v>0</v>
      </c>
      <c r="G60" s="34" cm="1">
        <f t="array" ref="G60">[1]!feed_gas_fraction_d(Pintake_,Tintake_,D60,F60)</f>
        <v>0.68470612239540418</v>
      </c>
      <c r="H60" s="34" cm="1">
        <f t="array" ref="H60">[1]!ESP_gassep_ksep_d(gassep_type,G60,B60)</f>
        <v>0.47298844631578979</v>
      </c>
      <c r="I60" s="34" cm="1">
        <f t="array" ref="I60">[1]!well_ksep_total_d(E60,H60)</f>
        <v>0.66459403688875818</v>
      </c>
      <c r="J60" s="34" cm="1">
        <f t="array" ref="J60">[1]!feed_gas_fraction_d(Pintake_,Tintake_,D60,I60)</f>
        <v>0.42142433842191102</v>
      </c>
    </row>
    <row r="61" spans="2:10" outlineLevel="1" x14ac:dyDescent="0.2">
      <c r="B61" s="15">
        <v>230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{"gamma_gas":0.9,"gamma_oil":0.875,"gamma_wat":1,"rsb_m3m3":80,"pb_atma":120,"t_res_C":120,"bob_m3m3":1.2,"muob_cP":1,"PVT_corr_set":0,"q_liq_sm3day":230,"fw_perc":0,"rp_m3m3":80}</v>
      </c>
      <c r="E61" s="34" cm="1">
        <f t="array" ref="E61">[1]!well_ksep_natural_d(D61,Pintake_,Tintake_,Dintake_,Dcas_)</f>
        <v>0.35510999999999998</v>
      </c>
      <c r="F61" s="34" cm="1">
        <f t="array" ref="F61">[1]!well_ksep_natural_d(D61,Pintake_,Tintake_,Dintake_,Dcas_*cf_dcas_)</f>
        <v>0</v>
      </c>
      <c r="G61" s="34" cm="1">
        <f t="array" ref="G61">[1]!feed_gas_fraction_d(Pintake_,Tintake_,D61,F61)</f>
        <v>0.68470612239540407</v>
      </c>
      <c r="H61" s="34" cm="1">
        <f t="array" ref="H61">[1]!ESP_gassep_ksep_d(gassep_type,G61,B61)</f>
        <v>0.46459978192507073</v>
      </c>
      <c r="I61" s="34" cm="1">
        <f t="array" ref="I61">[1]!well_ksep_total_d(E61,H61)</f>
        <v>0.65472575336565875</v>
      </c>
      <c r="J61" s="34" cm="1">
        <f t="array" ref="J61">[1]!feed_gas_fraction_d(Pintake_,Tintake_,D61,I61)</f>
        <v>0.42851030108091964</v>
      </c>
    </row>
    <row r="62" spans="2:10" outlineLevel="1" x14ac:dyDescent="0.2">
      <c r="B62" s="15">
        <v>240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{"gamma_gas":0.9,"gamma_oil":0.875,"gamma_wat":1,"rsb_m3m3":80,"pb_atma":120,"t_res_C":120,"bob_m3m3":1.2,"muob_cP":1,"PVT_corr_set":0,"q_liq_sm3day":240,"fw_perc":0,"rp_m3m3":80}</v>
      </c>
      <c r="E62" s="34" cm="1">
        <f t="array" ref="E62">[1]!well_ksep_natural_d(D62,Pintake_,Tintake_,Dintake_,Dcas_)</f>
        <v>0.34737000000000001</v>
      </c>
      <c r="F62" s="34" cm="1">
        <f t="array" ref="F62">[1]!well_ksep_natural_d(D62,Pintake_,Tintake_,Dintake_,Dcas_*cf_dcas_)</f>
        <v>0</v>
      </c>
      <c r="G62" s="34" cm="1">
        <f t="array" ref="G62">[1]!feed_gas_fraction_d(Pintake_,Tintake_,D62,F62)</f>
        <v>0.68470612239540418</v>
      </c>
      <c r="H62" s="34" cm="1">
        <f t="array" ref="H62">[1]!ESP_gassep_ksep_d(gassep_type,G62,B62)</f>
        <v>0.45639299193434901</v>
      </c>
      <c r="I62" s="34" cm="1">
        <f t="array" ref="I62">[1]!well_ksep_total_d(E62,H62)</f>
        <v>0.64522575832611428</v>
      </c>
      <c r="J62" s="34" cm="1">
        <f t="array" ref="J62">[1]!feed_gas_fraction_d(Pintake_,Tintake_,D62,I62)</f>
        <v>0.43516975173320166</v>
      </c>
    </row>
    <row r="63" spans="2:10" outlineLevel="1" x14ac:dyDescent="0.2"/>
    <row r="64" spans="2:10" outlineLevel="1" x14ac:dyDescent="0.2"/>
    <row r="66" spans="3:8" outlineLevel="1" x14ac:dyDescent="0.2"/>
    <row r="67" spans="3:8" outlineLevel="1" x14ac:dyDescent="0.2">
      <c r="E67" t="str" cm="1">
        <f t="array" ref="E67">[1]!encode_arange(12,15,1)</f>
        <v>[12,13,14,15]</v>
      </c>
    </row>
    <row r="68" spans="3:8" outlineLevel="1" x14ac:dyDescent="0.2"/>
    <row r="69" spans="3:8" outlineLevel="1" x14ac:dyDescent="0.2"/>
    <row r="70" spans="3:8" outlineLevel="1" x14ac:dyDescent="0.2">
      <c r="E70" t="str" cm="1">
        <f t="array" ref="E70">[1]!well_ksep_natural_d(D61,E67,Tintake_,Dintake_,Dcas_)</f>
        <v>{"p_atma":[12,13,14,15],"t_C":[80,80,80,80],"feed":[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],"k_sep":[0.36054,0.36026,0.35997,0.35968]}</v>
      </c>
    </row>
    <row r="71" spans="3:8" outlineLevel="1" x14ac:dyDescent="0.2"/>
    <row r="72" spans="3:8" outlineLevel="1" x14ac:dyDescent="0.2">
      <c r="E72" s="4"/>
    </row>
    <row r="73" spans="3:8" outlineLevel="1" x14ac:dyDescent="0.2">
      <c r="E73" t="str" cm="1">
        <f t="array" ref="E73:F76">[1]!decode_json(E70)</f>
        <v>p_atma</v>
      </c>
      <c r="F73" t="str">
        <v>[12,13,14,15]</v>
      </c>
    </row>
    <row r="74" spans="3:8" outlineLevel="1" x14ac:dyDescent="0.2">
      <c r="E74" t="str">
        <v>t_C</v>
      </c>
      <c r="F74" t="str">
        <v>[80,80,80,80]</v>
      </c>
    </row>
    <row r="75" spans="3:8" outlineLevel="1" x14ac:dyDescent="0.2">
      <c r="E75" t="str">
        <v>feed</v>
      </c>
      <c r="F75" s="39" t="str">
        <v>[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]</v>
      </c>
      <c r="G75" s="7"/>
      <c r="H75" s="7"/>
    </row>
    <row r="76" spans="3:8" outlineLevel="1" x14ac:dyDescent="0.2">
      <c r="C76" s="8"/>
      <c r="D76" s="8"/>
      <c r="E76" s="9" t="str">
        <v>k_sep</v>
      </c>
      <c r="F76" s="9" t="str">
        <v>[0.36054,0.36026,0.35997,0.35968]</v>
      </c>
      <c r="G76" s="9"/>
      <c r="H76" s="9"/>
    </row>
    <row r="77" spans="3:8" outlineLevel="1" x14ac:dyDescent="0.2">
      <c r="C77" s="8"/>
      <c r="D77" s="8"/>
      <c r="E77" s="9"/>
      <c r="F77" s="9"/>
      <c r="G77" s="9"/>
      <c r="H77" s="9"/>
    </row>
    <row r="78" spans="3:8" outlineLevel="1" x14ac:dyDescent="0.2">
      <c r="C78" s="8"/>
      <c r="D78" s="8"/>
      <c r="E78" s="9"/>
      <c r="F78" s="9"/>
      <c r="G78" s="9"/>
      <c r="H78" s="9"/>
    </row>
    <row r="79" spans="3:8" outlineLevel="1" x14ac:dyDescent="0.2">
      <c r="C79" s="8"/>
      <c r="D79" s="8"/>
      <c r="E79" s="38" t="str" cm="1">
        <f t="array" ref="E79">[1]!well_ksep_total_d(F76,0.4)</f>
        <v>[0.616324,0.616156,0.615982,0.615808]</v>
      </c>
      <c r="F79" s="9"/>
      <c r="G79" s="9"/>
      <c r="H79" s="9"/>
    </row>
    <row r="80" spans="3:8" outlineLevel="1" x14ac:dyDescent="0.2">
      <c r="C80" s="8"/>
      <c r="D80" s="8"/>
      <c r="E80" s="9"/>
      <c r="F80" s="9"/>
      <c r="G80" s="9"/>
      <c r="H80" s="9"/>
    </row>
    <row r="81" spans="3:8" outlineLevel="1" x14ac:dyDescent="0.2">
      <c r="C81" s="8"/>
      <c r="D81" s="8"/>
      <c r="E81" s="9"/>
      <c r="F81" s="9"/>
      <c r="G81" s="9"/>
      <c r="H81" s="9"/>
    </row>
    <row r="82" spans="3:8" outlineLevel="1" x14ac:dyDescent="0.2">
      <c r="C82" s="8"/>
      <c r="D82" s="8"/>
      <c r="E82" s="9"/>
      <c r="F82" s="9"/>
      <c r="G82" s="9"/>
      <c r="H82" s="9"/>
    </row>
    <row r="83" spans="3:8" outlineLevel="1" x14ac:dyDescent="0.2">
      <c r="C83" s="8"/>
      <c r="D83" s="8"/>
      <c r="E83" s="9"/>
      <c r="F83" s="9"/>
      <c r="G83" s="9"/>
      <c r="H83" s="9"/>
    </row>
    <row r="84" spans="3:8" outlineLevel="1" x14ac:dyDescent="0.2">
      <c r="C84" s="8"/>
      <c r="D84" s="8"/>
      <c r="E84" s="9"/>
      <c r="F84" s="9"/>
      <c r="G84" s="9"/>
      <c r="H84" s="9"/>
    </row>
    <row r="85" spans="3:8" outlineLevel="1" x14ac:dyDescent="0.2">
      <c r="C85" s="8"/>
      <c r="D85" s="8"/>
      <c r="E85" s="9"/>
      <c r="F85" s="9"/>
      <c r="G85" s="9"/>
      <c r="H85" s="9"/>
    </row>
    <row r="86" spans="3:8" outlineLevel="1" x14ac:dyDescent="0.2">
      <c r="C86" s="8"/>
      <c r="D86" s="8"/>
      <c r="E86" s="9"/>
      <c r="F86" s="9"/>
      <c r="G86" s="9"/>
      <c r="H86" s="9"/>
    </row>
    <row r="87" spans="3:8" outlineLevel="1" x14ac:dyDescent="0.2">
      <c r="C87" s="8"/>
      <c r="D87" s="8"/>
      <c r="E87" s="9"/>
      <c r="F87" s="9"/>
      <c r="G87" s="9"/>
      <c r="H87" s="9"/>
    </row>
    <row r="88" spans="3:8" outlineLevel="1" x14ac:dyDescent="0.2">
      <c r="C88" s="8"/>
      <c r="D88" s="8"/>
      <c r="E88" s="9"/>
      <c r="F88" s="9"/>
      <c r="G88" s="9"/>
      <c r="H88" s="9"/>
    </row>
    <row r="89" spans="3:8" outlineLevel="1" x14ac:dyDescent="0.2">
      <c r="C89" s="8"/>
      <c r="D89" s="8"/>
      <c r="E89" s="9"/>
      <c r="F89" s="9"/>
      <c r="G89" s="9"/>
      <c r="H89" s="9"/>
    </row>
    <row r="90" spans="3:8" outlineLevel="1" x14ac:dyDescent="0.2">
      <c r="C90" s="8"/>
      <c r="D90" s="8"/>
      <c r="E90" s="9"/>
      <c r="F90" s="9"/>
      <c r="G90" s="9"/>
      <c r="H90" s="9"/>
    </row>
    <row r="91" spans="3:8" outlineLevel="1" x14ac:dyDescent="0.2">
      <c r="C91" s="8"/>
      <c r="D91" s="8"/>
      <c r="E91" s="9"/>
      <c r="F91" s="9"/>
      <c r="G91" s="9"/>
      <c r="H91" s="9"/>
    </row>
    <row r="92" spans="3:8" outlineLevel="1" x14ac:dyDescent="0.2">
      <c r="C92" s="8"/>
      <c r="D92" s="8"/>
      <c r="E92" s="9"/>
      <c r="F92" s="9"/>
      <c r="G92" s="9"/>
      <c r="H92" s="9"/>
    </row>
    <row r="93" spans="3:8" outlineLevel="1" x14ac:dyDescent="0.2">
      <c r="C93" s="8"/>
      <c r="D93" s="8"/>
      <c r="E93" s="9"/>
      <c r="F93" s="9"/>
      <c r="G93" s="9"/>
      <c r="H93" s="9"/>
    </row>
    <row r="94" spans="3:8" outlineLevel="1" x14ac:dyDescent="0.2">
      <c r="C94" s="8"/>
      <c r="D94" s="8"/>
      <c r="E94" s="9"/>
      <c r="F94" s="9"/>
      <c r="G94" s="9"/>
      <c r="H94" s="9"/>
    </row>
    <row r="95" spans="3:8" outlineLevel="1" x14ac:dyDescent="0.2">
      <c r="C95" s="8"/>
      <c r="D95" s="8"/>
      <c r="E95" s="9"/>
      <c r="F95" s="9"/>
      <c r="G95" s="9"/>
      <c r="H95" s="9"/>
    </row>
    <row r="96" spans="3:8" outlineLevel="1" x14ac:dyDescent="0.2">
      <c r="C96" s="8"/>
      <c r="D96" s="8"/>
      <c r="E96" s="9"/>
      <c r="F96" s="9"/>
      <c r="G96" s="9"/>
      <c r="H96" s="9"/>
    </row>
    <row r="97" outlineLevel="1" x14ac:dyDescent="0.2"/>
    <row r="98" outlineLevel="1" x14ac:dyDescent="0.2"/>
    <row r="99" outlineLevel="1" x14ac:dyDescent="0.2"/>
    <row r="154" spans="11:11" x14ac:dyDescent="0.2">
      <c r="K154" t="s">
        <v>6</v>
      </c>
    </row>
    <row r="165" spans="11:11" x14ac:dyDescent="0.2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27</vt:i4>
      </vt:variant>
    </vt:vector>
  </HeadingPairs>
  <TitlesOfParts>
    <vt:vector size="28" baseType="lpstr">
      <vt:lpstr>Separation</vt:lpstr>
      <vt:lpstr>Separation!Bob_</vt:lpstr>
      <vt:lpstr>cf_dcas_</vt:lpstr>
      <vt:lpstr>course</vt:lpstr>
      <vt:lpstr>Separation!Dcas_</vt:lpstr>
      <vt:lpstr>Separation!Dintake_</vt:lpstr>
      <vt:lpstr>feed</vt:lpstr>
      <vt:lpstr>Separation!gamma_gas_</vt:lpstr>
      <vt:lpstr>Separation!gamma_oil_</vt:lpstr>
      <vt:lpstr>Separation!gamma_wat_</vt:lpstr>
      <vt:lpstr>gassep_type</vt:lpstr>
      <vt:lpstr>Group</vt:lpstr>
      <vt:lpstr>input_Course</vt:lpstr>
      <vt:lpstr>input_Date</vt:lpstr>
      <vt:lpstr>input_Group</vt:lpstr>
      <vt:lpstr>input_Notes</vt:lpstr>
      <vt:lpstr>input_Student_Name</vt:lpstr>
      <vt:lpstr>input_Version</vt:lpstr>
      <vt:lpstr>Separation!muob_</vt:lpstr>
      <vt:lpstr>Separation!Pb_</vt:lpstr>
      <vt:lpstr>Separation!Pintake_</vt:lpstr>
      <vt:lpstr>PVT_str_</vt:lpstr>
      <vt:lpstr>Separation!Rp_</vt:lpstr>
      <vt:lpstr>Separation!Rsb_</vt:lpstr>
      <vt:lpstr>Separation!Tintake_</vt:lpstr>
      <vt:lpstr>Separation!Tres_</vt:lpstr>
      <vt:lpstr>ver_</vt:lpstr>
      <vt:lpstr>Separation!wc_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2023-04-18T19:47:49Z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