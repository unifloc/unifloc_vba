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12B8925D-0762-4647-9C0E-E4546C961D9A}" xr6:coauthVersionLast="47" xr6:coauthVersionMax="47" xr10:uidLastSave="{00000000-0000-0000-0000-000000000000}"/>
  <bookViews>
    <workbookView xWindow="-108" yWindow="-108" windowWidth="23256" windowHeight="1401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H50" i="3"/>
  <c r="E16" i="3"/>
  <c r="E15" i="3"/>
  <c r="E22" i="3"/>
  <c r="E14" i="3"/>
  <c r="E13" i="3"/>
  <c r="E12" i="3"/>
  <c r="E11" i="3"/>
  <c r="K74" i="3" a="1"/>
  <c r="K76" i="3" a="1"/>
  <c r="G1" i="3"/>
  <c r="C38" i="3" a="1"/>
  <c r="K44" i="3" a="1"/>
  <c r="C37" i="3" a="1"/>
  <c r="C34" i="3"/>
  <c r="K74" i="3" l="1"/>
  <c r="K76" i="3"/>
  <c r="C37" i="3"/>
  <c r="K44" i="3"/>
  <c r="C38" i="3"/>
  <c r="J82" i="3" a="1"/>
  <c r="K77" i="3" a="1"/>
  <c r="K82" i="3" a="1"/>
  <c r="C35" i="3" a="1"/>
  <c r="J82" i="3" l="1"/>
  <c r="K77" i="3"/>
  <c r="K82" i="3"/>
  <c r="C35" i="3"/>
  <c r="K80" i="3" a="1"/>
  <c r="O82" i="3" s="1" a="1"/>
  <c r="K46" i="3" a="1"/>
  <c r="W41" i="3" a="1"/>
  <c r="K70" i="3" a="1"/>
  <c r="O82" i="3" l="1"/>
  <c r="K80" i="3"/>
  <c r="K46" i="3"/>
  <c r="W41" i="3"/>
  <c r="K70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L82" i="3" a="1"/>
  <c r="L8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<sst xmlns="http://schemas.openxmlformats.org/spreadsheetml/2006/main" count="118" uniqueCount="94">
  <si>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</si>
  <si>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</si>
  <si>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</si>
  <si>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</si>
  <si>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</si>
  <si>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</si>
  <si>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</si>
  <si>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</si>
  <si>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</si>
  <si>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</si>
  <si>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</si>
  <si>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</si>
  <si>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</si>
  <si>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</si>
  <si>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</si>
  <si>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</si>
  <si>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</si>
  <si>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</si>
  <si>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</si>
  <si>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</si>
  <si>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</si>
  <si>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</si>
  <si>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</si>
  <si>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</si>
  <si>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</si>
  <si>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</si>
  <si>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</si>
  <si>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</si>
  <si>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</si>
  <si>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</si>
  <si>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</si>
  <si>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</si>
  <si>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</si>
  <si>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</si>
  <si>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</si>
  <si>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</si>
  <si>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</si>
  <si>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</si>
  <si>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</si>
  <si>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</si>
  <si>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</si>
  <si>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</si>
  <si>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</si>
  <si>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</si>
  <si>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</si>
  <si>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</si>
  <si>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</si>
  <si>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</si>
  <si>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</si>
  <si>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</si>
  <si>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</si>
  <si>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</si>
  <si>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</si>
  <si>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</si>
  <si>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</si>
  <si>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</si>
  <si>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</si>
  <si>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</si>
  <si>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</si>
  <si>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</si>
  <si>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</si>
  <si>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</si>
  <si>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</si>
  <si>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</si>
  <si>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</si>
  <si>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</si>
  <si>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</si>
  <si>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</si>
  <si>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</si>
  <si>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</si>
  <si>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</si>
  <si>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</si>
  <si>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</si>
  <si>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</si>
  <si>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</si>
  <si>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</si>
  <si>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</si>
  <si>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</si>
  <si>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</si>
  <si>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</si>
  <si>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</si>
  <si>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</si>
  <si>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</si>
  <si>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</si>
  <si>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</si>
  <si>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</si>
  <si>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</si>
  <si>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</si>
  <si>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</si>
  <si>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</si>
  <si>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</si>
  <si>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calibr_grav</t>
  </si>
  <si>
    <t>calibr_fric</t>
  </si>
  <si>
    <t>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</si>
</sst>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20</c:v>
                </c:pt>
                <c:pt idx="1">
                  <c:v>22.565834187111825</c:v>
                </c:pt>
                <c:pt idx="2">
                  <c:v>25.388266292975626</c:v>
                </c:pt>
                <c:pt idx="3">
                  <c:v>28.486783993518962</c:v>
                </c:pt>
                <c:pt idx="4">
                  <c:v>32.123994206298761</c:v>
                </c:pt>
                <c:pt idx="5">
                  <c:v>36.556604433819672</c:v>
                </c:pt>
                <c:pt idx="6">
                  <c:v>41.386762136098703</c:v>
                </c:pt>
                <c:pt idx="7">
                  <c:v>46.602505142318357</c:v>
                </c:pt>
                <c:pt idx="8">
                  <c:v>52.201679918305537</c:v>
                </c:pt>
                <c:pt idx="9">
                  <c:v>58.107839896554225</c:v>
                </c:pt>
                <c:pt idx="10">
                  <c:v>64.114153096717999</c:v>
                </c:pt>
                <c:pt idx="11">
                  <c:v>70.222662653272295</c:v>
                </c:pt>
                <c:pt idx="12">
                  <c:v>76.363333777556321</c:v>
                </c:pt>
                <c:pt idx="13">
                  <c:v>82.503558136710581</c:v>
                </c:pt>
                <c:pt idx="14">
                  <c:v>88.615164292861365</c:v>
                </c:pt>
                <c:pt idx="15">
                  <c:v>94.671787448046942</c:v>
                </c:pt>
                <c:pt idx="16">
                  <c:v>100.65373078208161</c:v>
                </c:pt>
                <c:pt idx="17">
                  <c:v>106.53703153305338</c:v>
                </c:pt>
                <c:pt idx="18">
                  <c:v>112.29352773779381</c:v>
                </c:pt>
                <c:pt idx="19">
                  <c:v>117.95912939722145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20.55263157894737</c:v>
                </c:pt>
                <c:pt idx="2">
                  <c:v>21.105263157894736</c:v>
                </c:pt>
                <c:pt idx="3">
                  <c:v>21.657894736842106</c:v>
                </c:pt>
                <c:pt idx="4">
                  <c:v>22.210526315789473</c:v>
                </c:pt>
                <c:pt idx="5">
                  <c:v>22.763157894736842</c:v>
                </c:pt>
                <c:pt idx="6">
                  <c:v>23.315789473684209</c:v>
                </c:pt>
                <c:pt idx="7">
                  <c:v>23.868421052631579</c:v>
                </c:pt>
                <c:pt idx="8">
                  <c:v>24.421052631578949</c:v>
                </c:pt>
                <c:pt idx="9">
                  <c:v>24.973684210526315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exercise_pipeline!$K$82:$K$101</c:f>
              <c:numCache>
                <c:formatCode>General</c:formatCode>
                <c:ptCount val="20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exercise_pipeline!$L$82:$L$101</c:f>
              <c:numCache>
                <c:formatCode>General</c:formatCode>
                <c:ptCount val="20"/>
                <c:pt idx="0">
                  <c:v>139.44660046982099</c:v>
                </c:pt>
                <c:pt idx="1">
                  <c:v>101.28628978389</c:v>
                </c:pt>
                <c:pt idx="2">
                  <c:v>97.193816788148098</c:v>
                </c:pt>
                <c:pt idx="3">
                  <c:v>101.625255838531</c:v>
                </c:pt>
                <c:pt idx="4">
                  <c:v>108.947717565589</c:v>
                </c:pt>
                <c:pt idx="5">
                  <c:v>117.110876717564</c:v>
                </c:pt>
                <c:pt idx="6">
                  <c:v>125.546603416907</c:v>
                </c:pt>
                <c:pt idx="7">
                  <c:v>133.882498019857</c:v>
                </c:pt>
                <c:pt idx="8">
                  <c:v>142.09623590708699</c:v>
                </c:pt>
                <c:pt idx="9">
                  <c:v>150.01058910846899</c:v>
                </c:pt>
                <c:pt idx="10">
                  <c:v>158.03871375914201</c:v>
                </c:pt>
                <c:pt idx="11">
                  <c:v>165.49831927901701</c:v>
                </c:pt>
                <c:pt idx="12">
                  <c:v>172.82748994887501</c:v>
                </c:pt>
                <c:pt idx="13">
                  <c:v>179.75260712653699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60-4724-9384-4CB61AF13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421759"/>
        <c:axId val="768424671"/>
      </c:scatterChart>
      <c:valAx>
        <c:axId val="768421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4671"/>
        <c:crosses val="autoZero"/>
        <c:crossBetween val="midCat"/>
      </c:valAx>
      <c:valAx>
        <c:axId val="7684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421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95039</xdr:rowOff>
    </xdr:from>
    <xdr:to>
      <xdr:col>31</xdr:col>
      <xdr:colOff>155896</xdr:colOff>
      <xdr:row>70</xdr:row>
      <xdr:rowOff>42652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71549" y="597103"/>
          <a:ext cx="4231132" cy="4679170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25</xdr:col>
      <xdr:colOff>327660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398549</xdr:colOff>
      <xdr:row>82</xdr:row>
      <xdr:rowOff>2310</xdr:rowOff>
    </xdr:from>
    <xdr:to>
      <xdr:col>31</xdr:col>
      <xdr:colOff>54495</xdr:colOff>
      <xdr:row>102</xdr:row>
      <xdr:rowOff>34637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E8751B4-85DD-4397-BAF5-1FD6288A73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feed_list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E123"/>
  <sheetViews>
    <sheetView tabSelected="1" topLeftCell="A38" zoomScale="66" zoomScaleNormal="100" workbookViewId="0">
      <selection activeCell="R41" sqref="R41"/>
    </sheetView>
  </sheetViews>
  <sheetFormatPr defaultRowHeight="14.4" x14ac:dyDescent="0.3"/>
  <cols>
    <col min="2" max="2" width="14.88671875" customWidth="1"/>
    <col min="3" max="3" width="10.88671875" customWidth="1"/>
    <col min="7" max="7" width="11" customWidth="1"/>
    <col min="9" max="9" width="10.44140625" customWidth="1"/>
    <col min="11" max="11" width="12" customWidth="1"/>
    <col min="14" max="14" width="11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7.31</v>
      </c>
      <c r="H1" t="s">
        <v>54</v>
      </c>
      <c r="I1" s="22">
        <v>44408</v>
      </c>
      <c r="J1" s="23"/>
      <c r="K1" s="23"/>
      <c r="L1" s="23"/>
    </row>
    <row r="2" spans="1:12" x14ac:dyDescent="0.3">
      <c r="A2" t="s">
        <v>68</v>
      </c>
      <c r="H2" t="s">
        <v>55</v>
      </c>
      <c r="I2" s="24">
        <v>7.31</v>
      </c>
      <c r="J2" s="23"/>
      <c r="K2" s="23"/>
      <c r="L2" s="23"/>
    </row>
    <row r="3" spans="1:12" x14ac:dyDescent="0.3">
      <c r="A3" s="25" t="s">
        <v>56</v>
      </c>
      <c r="B3" s="50" t="s">
        <v>57</v>
      </c>
      <c r="C3" s="51"/>
      <c r="D3" s="51"/>
      <c r="E3" s="52"/>
      <c r="H3" t="s">
        <v>58</v>
      </c>
      <c r="I3" s="23" t="s">
        <v>57</v>
      </c>
      <c r="J3" s="23"/>
      <c r="K3" s="23"/>
      <c r="L3" s="23"/>
    </row>
    <row r="4" spans="1:12" x14ac:dyDescent="0.3">
      <c r="A4" s="25" t="s">
        <v>59</v>
      </c>
      <c r="B4" s="50" t="s">
        <v>60</v>
      </c>
      <c r="C4" s="51"/>
      <c r="D4" s="51"/>
      <c r="E4" s="52"/>
      <c r="H4" t="s">
        <v>61</v>
      </c>
      <c r="I4" s="23" t="s">
        <v>60</v>
      </c>
      <c r="J4" s="23"/>
      <c r="K4" s="23"/>
      <c r="L4" s="23"/>
    </row>
    <row r="5" spans="1:12" x14ac:dyDescent="0.3">
      <c r="A5" s="25" t="s">
        <v>62</v>
      </c>
      <c r="B5" s="50" t="s">
        <v>63</v>
      </c>
      <c r="C5" s="51"/>
      <c r="D5" s="51"/>
      <c r="E5" s="52"/>
      <c r="H5" t="s">
        <v>64</v>
      </c>
      <c r="I5" s="23" t="s">
        <v>63</v>
      </c>
      <c r="J5" s="23"/>
      <c r="K5" s="23"/>
      <c r="L5" s="23"/>
    </row>
    <row r="6" spans="1:12" x14ac:dyDescent="0.3">
      <c r="A6" s="26" t="s">
        <v>65</v>
      </c>
      <c r="B6" s="53" t="s">
        <v>66</v>
      </c>
      <c r="C6" s="54"/>
      <c r="D6" s="54"/>
      <c r="E6" s="55"/>
      <c r="H6" s="27" t="s">
        <v>67</v>
      </c>
      <c r="I6" s="28" t="s">
        <v>66</v>
      </c>
      <c r="J6" s="28"/>
      <c r="K6" s="28"/>
      <c r="L6" s="28"/>
    </row>
    <row r="7" spans="1:12" x14ac:dyDescent="0.3">
      <c r="A7" s="29"/>
      <c r="B7" s="56"/>
      <c r="C7" s="57"/>
      <c r="D7" s="57"/>
      <c r="E7" s="58"/>
      <c r="H7" s="27"/>
      <c r="I7" s="28"/>
      <c r="J7" s="28"/>
      <c r="K7" s="28"/>
      <c r="L7" s="28"/>
    </row>
    <row r="8" spans="1:12" x14ac:dyDescent="0.3">
      <c r="A8" s="30"/>
      <c r="B8" s="59"/>
      <c r="C8" s="60"/>
      <c r="D8" s="60"/>
      <c r="E8" s="61"/>
      <c r="H8" s="27"/>
      <c r="I8" s="28"/>
      <c r="J8" s="28"/>
      <c r="K8" s="28"/>
      <c r="L8" s="28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48" t="s">
        <v>73</v>
      </c>
      <c r="G25" s="49"/>
      <c r="H25" s="3">
        <v>0</v>
      </c>
    </row>
    <row r="26" spans="1:17" ht="18" customHeight="1" x14ac:dyDescent="0.3">
      <c r="F26" s="48" t="s">
        <v>74</v>
      </c>
      <c r="G26" s="49"/>
      <c r="H26" s="3">
        <v>0</v>
      </c>
    </row>
    <row r="27" spans="1:17" ht="15.75" customHeight="1" x14ac:dyDescent="0.3">
      <c r="F27" s="48" t="s">
        <v>75</v>
      </c>
      <c r="G27" s="49"/>
      <c r="H27" s="3">
        <v>0</v>
      </c>
    </row>
    <row r="28" spans="1:17" ht="15" customHeight="1" x14ac:dyDescent="0.3">
      <c r="A28" s="35" t="s">
        <v>25</v>
      </c>
      <c r="B28" s="10"/>
      <c r="F28" s="48" t="s">
        <v>76</v>
      </c>
      <c r="G28" s="49"/>
      <c r="H28" s="3">
        <v>0</v>
      </c>
    </row>
    <row r="29" spans="1:17" ht="15" customHeight="1" x14ac:dyDescent="0.3">
      <c r="B29" s="9" t="s">
        <v>28</v>
      </c>
      <c r="C29" s="31">
        <v>20</v>
      </c>
      <c r="D29" s="6" t="s">
        <v>12</v>
      </c>
      <c r="F29" s="48" t="s">
        <v>81</v>
      </c>
      <c r="G29" s="49"/>
      <c r="H29" s="3">
        <v>0</v>
      </c>
    </row>
    <row r="30" spans="1:17" x14ac:dyDescent="0.3">
      <c r="B30" s="9" t="s">
        <v>29</v>
      </c>
      <c r="C30" s="31">
        <v>180</v>
      </c>
      <c r="D30" s="6" t="s">
        <v>12</v>
      </c>
      <c r="F30" s="62" t="s">
        <v>77</v>
      </c>
      <c r="G30" s="62"/>
    </row>
    <row r="31" spans="1:17" ht="15" customHeight="1" x14ac:dyDescent="0.3">
      <c r="B31" s="9" t="s">
        <v>30</v>
      </c>
      <c r="C31" s="3">
        <v>100</v>
      </c>
      <c r="D31" s="6" t="s">
        <v>31</v>
      </c>
      <c r="F31" s="48" t="s">
        <v>78</v>
      </c>
      <c r="G31" s="49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48" t="s">
        <v>79</v>
      </c>
      <c r="G32" s="49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</row>
    <row r="37" spans="1:25" ht="28.8" x14ac:dyDescent="0.3">
      <c r="B37" s="11" t="s">
        <v>83</v>
      </c>
      <c r="C37" s="12" t="str" cm="1">
        <f t="array" ref="C37">[1]!encode_t_model(temp_model,E56:F58,T0,T1_)</f>
        <v>{"t_model":1,"t_list_C":{"curve_x":"hvert_m","curve_y":"t_C","hvert_m":[0,1000,2500],"t_C":[20,25,90]}}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</row>
    <row r="40" spans="1:25" ht="14.4" customHeight="1" x14ac:dyDescent="0.3">
      <c r="I40" s="40"/>
      <c r="K40" s="36" t="s">
        <v>89</v>
      </c>
    </row>
    <row r="41" spans="1:25" ht="14.4" customHeight="1" x14ac:dyDescent="0.3">
      <c r="I41" s="40"/>
      <c r="K41" s="6" t="s">
        <v>86</v>
      </c>
      <c r="L41" s="38">
        <v>1</v>
      </c>
      <c r="W41" t="str" cm="1">
        <f t="array" ref="W41:W43">[1]!decode_json(R46)</f>
        <v>calc_dPipe_1d start with pressure tolerance = 0,001 atm</v>
      </c>
    </row>
    <row r="42" spans="1:25" x14ac:dyDescent="0.3">
      <c r="K42" s="6" t="s">
        <v>87</v>
      </c>
      <c r="L42" s="38">
        <v>0</v>
      </c>
      <c r="W42" t="str">
        <v>{"multiphase_correlation" :1, "t_model" : 1, "PVT_correlation": 0, "calc_along_coord": 1, "flow_along_coord": 0}</v>
      </c>
    </row>
    <row r="43" spans="1:25" x14ac:dyDescent="0.3">
      <c r="K43" s="6" t="s">
        <v>88</v>
      </c>
      <c r="L43" s="38">
        <v>1</v>
      </c>
      <c r="W43" t="str">
        <v>calc_dPipe_1d calc done with 1015 iterations in 242,1875 ms</v>
      </c>
    </row>
    <row r="44" spans="1:25" x14ac:dyDescent="0.3">
      <c r="K44" s="23" t="str" cm="1">
        <f t="array" ref="K44">[1]!encode_json(K41:L43)</f>
        <v>{"show_log":1,"num_value":0,"show_array":1}</v>
      </c>
      <c r="L44" s="23"/>
      <c r="M44" s="23"/>
      <c r="N44" s="23"/>
      <c r="O44" s="23"/>
      <c r="P44" s="23"/>
      <c r="Q44" s="23"/>
      <c r="R44" s="23"/>
    </row>
    <row r="45" spans="1:25" x14ac:dyDescent="0.3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246</v>
      </c>
    </row>
    <row r="46" spans="1:25" ht="15.6" x14ac:dyDescent="0.35">
      <c r="B46" s="6" t="s">
        <v>35</v>
      </c>
      <c r="C46" s="38">
        <v>3500</v>
      </c>
      <c r="D46" s="39" t="s">
        <v>26</v>
      </c>
      <c r="F46" s="32"/>
      <c r="G46" s="33" t="s">
        <v>85</v>
      </c>
      <c r="H46" s="3">
        <v>1</v>
      </c>
      <c r="K46" s="44" cm="1">
        <f t="array" ref="K46:R68">[1]!MF_pipe_p_atma(P0,T0,construction,feed,t_model,calc_along_coord,flow_along_coord,hcor,,,K44,G41,G42)</f>
        <v>117.95912939722145</v>
      </c>
      <c r="L46" s="20">
        <v>20</v>
      </c>
      <c r="M46" s="20">
        <v>20</v>
      </c>
      <c r="N46" s="44">
        <v>117.95912939722145</v>
      </c>
      <c r="O46" s="20">
        <v>66.426666666666677</v>
      </c>
      <c r="P46" s="20">
        <v>1</v>
      </c>
      <c r="Q46" s="20">
        <v>1</v>
      </c>
      <c r="R46" s="20" t="str">
        <v>["calc_dPipe_1d start with pressure tolerance = 0,001 atm","{\"multiphase_correlation\" :1, \"t_model\" : 1, \"PVT_correlation\": 0, \"calc_along_coord\": 1, \"flow_along_coord\": 0}","calc_dPipe_1d calc done with 1015 iterations in 242,1875 ms"]</v>
      </c>
    </row>
    <row r="47" spans="1:2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</row>
    <row r="48" spans="1:2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1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90</v>
      </c>
    </row>
    <row r="49" spans="2:28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20</v>
      </c>
      <c r="N49" s="21">
        <v>20</v>
      </c>
      <c r="O49" s="21">
        <v>20</v>
      </c>
      <c r="P49" s="21">
        <v>30.143973575687088</v>
      </c>
      <c r="Q49" s="21">
        <v>103</v>
      </c>
      <c r="R49" s="21">
        <v>62</v>
      </c>
      <c r="S49" s="45">
        <f>K49-L49</f>
        <v>0</v>
      </c>
    </row>
    <row r="50" spans="2:28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80</v>
      </c>
      <c r="H50" s="5">
        <f>calc_along_coord*10+flow_along_coord</f>
        <v>10</v>
      </c>
      <c r="I50" s="5">
        <f>calc_along_coord1*10+flow_along_coord1</f>
        <v>0</v>
      </c>
      <c r="K50" s="43">
        <v>110.52631578947368</v>
      </c>
      <c r="L50" s="43">
        <v>110.52631578947368</v>
      </c>
      <c r="M50" s="43">
        <v>22.565834187111825</v>
      </c>
      <c r="N50" s="43">
        <v>20.55263157894737</v>
      </c>
      <c r="O50" s="43">
        <v>20.55263157894737</v>
      </c>
      <c r="P50" s="43">
        <v>32.442843049994366</v>
      </c>
      <c r="Q50" s="43">
        <v>103</v>
      </c>
      <c r="R50" s="43">
        <v>62</v>
      </c>
      <c r="S50" s="45">
        <f t="shared" ref="S50:S68" si="0">K50-L50</f>
        <v>0</v>
      </c>
    </row>
    <row r="51" spans="2:28" x14ac:dyDescent="0.3">
      <c r="G51" s="10"/>
      <c r="K51" s="43">
        <v>221.05263157894737</v>
      </c>
      <c r="L51" s="43">
        <v>221.05263157894737</v>
      </c>
      <c r="M51" s="43">
        <v>25.388266292975626</v>
      </c>
      <c r="N51" s="43">
        <v>21.105263157894736</v>
      </c>
      <c r="O51" s="43">
        <v>21.105263157894736</v>
      </c>
      <c r="P51" s="43">
        <v>34.930059922894792</v>
      </c>
      <c r="Q51" s="43">
        <v>103</v>
      </c>
      <c r="R51" s="43">
        <v>62</v>
      </c>
      <c r="S51" s="45">
        <f t="shared" si="0"/>
        <v>0</v>
      </c>
    </row>
    <row r="52" spans="2:28" x14ac:dyDescent="0.3">
      <c r="G52" s="10"/>
      <c r="K52" s="43">
        <v>331.57894736842104</v>
      </c>
      <c r="L52" s="43">
        <v>331.57894736842104</v>
      </c>
      <c r="M52" s="43">
        <v>28.486783993518962</v>
      </c>
      <c r="N52" s="43">
        <v>21.657894736842106</v>
      </c>
      <c r="O52" s="43">
        <v>21.657894736842106</v>
      </c>
      <c r="P52" s="43">
        <v>37.607996394740525</v>
      </c>
      <c r="Q52" s="43">
        <v>103</v>
      </c>
      <c r="R52" s="43">
        <v>62</v>
      </c>
      <c r="S52" s="45">
        <f t="shared" si="0"/>
        <v>0</v>
      </c>
      <c r="Z52" t="s">
        <v>91</v>
      </c>
      <c r="AA52" t="s">
        <v>92</v>
      </c>
      <c r="AB52" t="s">
        <v>93</v>
      </c>
    </row>
    <row r="53" spans="2:28" x14ac:dyDescent="0.3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442.10526315789474</v>
      </c>
      <c r="M53" s="43">
        <v>32.123994206298761</v>
      </c>
      <c r="N53" s="43">
        <v>22.210526315789473</v>
      </c>
      <c r="O53" s="43">
        <v>22.210526315789473</v>
      </c>
      <c r="P53" s="43">
        <v>48.04474937692386</v>
      </c>
      <c r="Q53" s="43">
        <v>103</v>
      </c>
      <c r="R53" s="43">
        <v>62</v>
      </c>
      <c r="S53" s="45">
        <f t="shared" si="0"/>
        <v>0</v>
      </c>
    </row>
    <row r="54" spans="2:28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552.63157894736844</v>
      </c>
      <c r="M54" s="43">
        <v>36.556604433819672</v>
      </c>
      <c r="N54" s="43">
        <v>22.763157894736842</v>
      </c>
      <c r="O54" s="43">
        <v>22.763157894736842</v>
      </c>
      <c r="P54" s="43">
        <v>51.495350032975182</v>
      </c>
      <c r="Q54" s="43">
        <v>103</v>
      </c>
      <c r="R54" s="43">
        <v>62</v>
      </c>
      <c r="S54" s="45">
        <f t="shared" si="0"/>
        <v>0</v>
      </c>
    </row>
    <row r="55" spans="2:28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663.15789473684208</v>
      </c>
      <c r="M55" s="43">
        <v>41.386762136098703</v>
      </c>
      <c r="N55" s="43">
        <v>23.315789473684209</v>
      </c>
      <c r="O55" s="43">
        <v>23.315789473684209</v>
      </c>
      <c r="P55" s="43">
        <v>55.125109840372502</v>
      </c>
      <c r="Q55" s="43">
        <v>103</v>
      </c>
      <c r="R55" s="43">
        <v>62</v>
      </c>
      <c r="S55" s="45">
        <f t="shared" si="0"/>
        <v>0</v>
      </c>
    </row>
    <row r="56" spans="2:28" x14ac:dyDescent="0.3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773.68421052631584</v>
      </c>
      <c r="M56" s="43">
        <v>46.602505142318357</v>
      </c>
      <c r="N56" s="43">
        <v>23.868421052631579</v>
      </c>
      <c r="O56" s="43">
        <v>23.868421052631579</v>
      </c>
      <c r="P56" s="43">
        <v>58.835149943293409</v>
      </c>
      <c r="Q56" s="43">
        <v>103</v>
      </c>
      <c r="R56" s="43">
        <v>62</v>
      </c>
      <c r="S56" s="45">
        <f t="shared" si="0"/>
        <v>0</v>
      </c>
    </row>
    <row r="57" spans="2:28" x14ac:dyDescent="0.3">
      <c r="B57" s="16">
        <v>1000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884.21052631578948</v>
      </c>
      <c r="M57" s="43">
        <v>52.201679918305537</v>
      </c>
      <c r="N57" s="43">
        <v>24.421052631578949</v>
      </c>
      <c r="O57" s="43">
        <v>24.421052631578949</v>
      </c>
      <c r="P57" s="43">
        <v>62.5699418859895</v>
      </c>
      <c r="Q57" s="43">
        <v>103</v>
      </c>
      <c r="R57" s="43">
        <v>62</v>
      </c>
      <c r="S57" s="45">
        <f t="shared" si="0"/>
        <v>0</v>
      </c>
    </row>
    <row r="58" spans="2:28" x14ac:dyDescent="0.3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994.73684210526312</v>
      </c>
      <c r="M58" s="43">
        <v>58.107839896554225</v>
      </c>
      <c r="N58" s="43">
        <v>24.973684210526315</v>
      </c>
      <c r="O58" s="43">
        <v>24.973684210526315</v>
      </c>
      <c r="P58" s="43">
        <v>66.22801733311961</v>
      </c>
      <c r="Q58" s="43">
        <v>103</v>
      </c>
      <c r="R58" s="43">
        <v>62</v>
      </c>
      <c r="S58" s="45">
        <f t="shared" si="0"/>
        <v>0</v>
      </c>
    </row>
    <row r="59" spans="2:28" x14ac:dyDescent="0.3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64.114153096717999</v>
      </c>
      <c r="N59" s="43">
        <v>29.376666666666669</v>
      </c>
      <c r="O59" s="43">
        <v>29.376666666666669</v>
      </c>
      <c r="P59" s="43">
        <v>68.909189936142951</v>
      </c>
      <c r="Q59" s="43">
        <v>103</v>
      </c>
      <c r="R59" s="43">
        <v>62</v>
      </c>
      <c r="S59" s="45">
        <f t="shared" si="0"/>
        <v>4.263157894736878</v>
      </c>
    </row>
    <row r="60" spans="2:28" x14ac:dyDescent="0.3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70.222662653272295</v>
      </c>
      <c r="N60" s="43">
        <v>33.912982456140362</v>
      </c>
      <c r="O60" s="43">
        <v>33.912982456140362</v>
      </c>
      <c r="P60" s="43">
        <v>71.30264183305087</v>
      </c>
      <c r="Q60" s="43">
        <v>103</v>
      </c>
      <c r="R60" s="43">
        <v>62</v>
      </c>
      <c r="S60" s="45">
        <f t="shared" si="0"/>
        <v>10.105263157894797</v>
      </c>
    </row>
    <row r="61" spans="2:28" x14ac:dyDescent="0.3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76.363333777556321</v>
      </c>
      <c r="N61" s="43">
        <v>38.344385964912277</v>
      </c>
      <c r="O61" s="43">
        <v>38.344385964912277</v>
      </c>
      <c r="P61" s="43">
        <v>73.446331779863797</v>
      </c>
      <c r="Q61" s="43">
        <v>103</v>
      </c>
      <c r="R61" s="43">
        <v>62</v>
      </c>
      <c r="S61" s="45">
        <f t="shared" si="0"/>
        <v>18.368421052631675</v>
      </c>
    </row>
    <row r="62" spans="2:28" x14ac:dyDescent="0.3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82.503558136710581</v>
      </c>
      <c r="N62" s="43">
        <v>42.670877192982459</v>
      </c>
      <c r="O62" s="43">
        <v>42.670877192982459</v>
      </c>
      <c r="P62" s="43">
        <v>75.364707924152867</v>
      </c>
      <c r="Q62" s="43">
        <v>103</v>
      </c>
      <c r="R62" s="43">
        <v>62</v>
      </c>
      <c r="S62" s="45">
        <f t="shared" si="0"/>
        <v>29.052631578947285</v>
      </c>
    </row>
    <row r="63" spans="2:28" x14ac:dyDescent="0.3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88.615164292861365</v>
      </c>
      <c r="N63" s="43">
        <v>46.89245614035088</v>
      </c>
      <c r="O63" s="43">
        <v>46.89245614035088</v>
      </c>
      <c r="P63" s="43">
        <v>77.077981651752253</v>
      </c>
      <c r="Q63" s="43">
        <v>103</v>
      </c>
      <c r="R63" s="43">
        <v>62</v>
      </c>
      <c r="S63" s="45">
        <f t="shared" si="0"/>
        <v>42.157894736842081</v>
      </c>
    </row>
    <row r="64" spans="2:28" x14ac:dyDescent="0.3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94.671787448046942</v>
      </c>
      <c r="N64" s="43">
        <v>51.00912280701754</v>
      </c>
      <c r="O64" s="43">
        <v>51.00912280701754</v>
      </c>
      <c r="P64" s="43">
        <v>78.609664652249535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3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100.65373078208161</v>
      </c>
      <c r="N65" s="43">
        <v>55.020877192982454</v>
      </c>
      <c r="O65" s="43">
        <v>55.020877192982454</v>
      </c>
      <c r="P65" s="43">
        <v>79.982671094328083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3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106.53703153305338</v>
      </c>
      <c r="N66" s="43">
        <v>58.92771929824562</v>
      </c>
      <c r="O66" s="43">
        <v>58.92771929824562</v>
      </c>
      <c r="P66" s="43">
        <v>80.691610711283445</v>
      </c>
      <c r="Q66" s="43">
        <v>103</v>
      </c>
      <c r="R66" s="43">
        <v>62</v>
      </c>
      <c r="S66" s="45">
        <f t="shared" si="0"/>
        <v>96</v>
      </c>
    </row>
    <row r="67" spans="2:31" x14ac:dyDescent="0.3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112.29352773779381</v>
      </c>
      <c r="N67" s="43">
        <v>62.729649122807018</v>
      </c>
      <c r="O67" s="43">
        <v>62.729649122807018</v>
      </c>
      <c r="P67" s="43">
        <v>81.162003185422776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3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117.95912939722145</v>
      </c>
      <c r="N68" s="43">
        <v>66.426666666666677</v>
      </c>
      <c r="O68" s="43">
        <v>66.426666666666677</v>
      </c>
      <c r="P68" s="43">
        <v>90.193226291803001</v>
      </c>
      <c r="Q68" s="43">
        <v>102</v>
      </c>
      <c r="R68" s="43">
        <v>125</v>
      </c>
      <c r="S68" s="45">
        <f t="shared" si="0"/>
        <v>144</v>
      </c>
    </row>
    <row r="69" spans="2:31" x14ac:dyDescent="0.3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3">
      <c r="B70" s="16">
        <v>2300</v>
      </c>
      <c r="C70" s="16">
        <v>2104</v>
      </c>
      <c r="E70" s="46"/>
      <c r="F70" s="46"/>
      <c r="G70" s="10"/>
      <c r="H70" s="46"/>
      <c r="I70" s="46"/>
      <c r="K70" t="e" cm="1">
        <f t="array" aca="1" ref="K70" ca="1">[1]!MF_pipe_calc(P0,T0,construction,feed,t_model,calc_along_coord,flow_along_coord,hcor,,,K44)</f>
        <v>#NAME?</v>
      </c>
    </row>
    <row r="71" spans="2:31" x14ac:dyDescent="0.3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3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3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3">
      <c r="B74" s="16">
        <v>2700</v>
      </c>
      <c r="C74" s="16">
        <v>2376</v>
      </c>
      <c r="E74" s="46"/>
      <c r="F74" s="46"/>
      <c r="G74" s="10"/>
      <c r="H74" s="46"/>
      <c r="I74" s="46"/>
      <c r="K74" t="str" cm="1">
        <f t="array" ref="K74">[1]!encode_arange(10,42,2.4)</f>
        <v>[10,12.4,14.8,17.2,19.6,22,24.4,26.8,29.2,31.6,34,36.4,38.8,41.2]</v>
      </c>
      <c r="AA74" s="41"/>
      <c r="AB74" s="41"/>
      <c r="AC74" s="42"/>
      <c r="AD74" s="42"/>
      <c r="AE74" s="41"/>
    </row>
    <row r="75" spans="2:31" x14ac:dyDescent="0.3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3">
      <c r="B76" s="16">
        <v>3500</v>
      </c>
      <c r="C76" s="16">
        <v>2500</v>
      </c>
      <c r="G76" s="10"/>
      <c r="K76" t="str" cm="1">
        <f t="array" ref="K76">[1]!encode_arange(10,400,30)</f>
        <v>[10,40,70,100,130,160,190,220,250,280,310,340,370,400]</v>
      </c>
      <c r="AA76" s="41"/>
      <c r="AB76" s="41"/>
      <c r="AC76" s="42"/>
      <c r="AD76" s="42"/>
      <c r="AE76" s="41"/>
    </row>
    <row r="77" spans="2:31" x14ac:dyDescent="0.3">
      <c r="B77" s="16"/>
      <c r="C77" s="16"/>
      <c r="G77" s="10"/>
      <c r="K77" t="str" cm="1">
        <f t="array" ref="K77">[1]!encode_feed_list(K76,fw_,Rp_,,PVTstr_)</f>
        <v>[{"gamma_gas":0.8,"gamma_oil":0.87,"gamma_wat":1,"rsb_m3m3":80,"pb_atma":120,"t_res_C":100,"bob_m3m3":1.2,"muob_cP":1,"PVT_corr_set":0,"q_liq_sm3day":10,"fw_perc":10,"rp_m3m3":150},{"gamma_gas":0.8,"gamma_oil":0.87,"gamma_wat":1,"rsb_m3m3":80,"pb_atma":120,"t_res_C":100,"bob_m3m3":1.2,"muob_cP":1,"PVT_corr_set":0,"q_liq_sm3day":40,"fw_perc":10,"rp_m3m3":150},{"gamma_gas":0.8,"gamma_oil":0.87,"gamma_wat":1,"rsb_m3m3":80,"pb_atma":120,"t_res_C":100,"bob_m3m3":1.2,"muob_cP":1,"PVT_corr_set":0,"q_liq_sm3day":70,"fw_perc":10,"rp_m3m3":150},{"gamma_gas":0.8,"gamma_oil":0.87,"gamma_wat":1,"rsb_m3m3":80,"pb_atma":120,"t_res_C":100,"bob_m3m3":1.2,"muob_cP":1,"PVT_corr_set":0,"q_liq_sm3day":100,"fw_perc":10,"rp_m3m3":150},{"gamma_gas":0.8,"gamma_oil":0.87,"gamma_wat":1,"rsb_m3m3":80,"pb_atma":120,"t_res_C":100,"bob_m3m3":1.2,"muob_cP":1,"PVT_corr_set":0,"q_liq_sm3day":130,"fw_perc":10,"rp_m3m3":150},{"gamma_gas":0.8,"gamma_oil":0.87,"gamma_wat":1,"rsb_m3m3":80,"pb_atma":120,"t_res_C":100,"bob_m3m3":1.2,"muob_cP":1,"PVT_corr_set":0,"q_liq_sm3day":160,"fw_perc":10,"rp_m3m3":150},{"gamma_gas":0.8,"gamma_oil":0.87,"gamma_wat":1,"rsb_m3m3":80,"pb_atma":120,"t_res_C":100,"bob_m3m3":1.2,"muob_cP":1,"PVT_corr_set":0,"q_liq_sm3day":190,"fw_perc":10,"rp_m3m3":150},{"gamma_gas":0.8,"gamma_oil":0.87,"gamma_wat":1,"rsb_m3m3":80,"pb_atma":120,"t_res_C":100,"bob_m3m3":1.2,"muob_cP":1,"PVT_corr_set":0,"q_liq_sm3day":220,"fw_perc":10,"rp_m3m3":150},{"gamma_gas":0.8,"gamma_oil":0.87,"gamma_wat":1,"rsb_m3m3":80,"pb_atma":120,"t_res_C":100,"bob_m3m3":1.2,"muob_cP":1,"PVT_corr_set":0,"q_liq_sm3day":250,"fw_perc":10,"rp_m3m3":150},{"gamma_gas":0.8,"gamma_oil":0.87,"gamma_wat":1,"rsb_m3m3":80,"pb_atma":120,"t_res_C":100,"bob_m3m3":1.2,"muob_cP":1,"PVT_corr_set":0,"q_liq_sm3day":280,"fw_perc":10,"rp_m3m3":150},{"gamma_gas":0.8,"gamma_oil":0.87,"gamma_wat":1,"rsb_m3m3":80,"pb_atma":120,"t_res_C":100,"bob_m3m3":1.2,"muob_cP":1,"PVT_corr_set":0,"q_liq_sm3day":310,"fw_perc":10,"rp_m3m3":150},{"gamma_gas":0.8,"gamma_oil":0.87,"gamma_wat":1,"rsb_m3m3":80,"pb_atma":120,"t_res_C":100,"bob_m3m3":1.2,"muob_cP":1,"PVT_corr_set":0,"q_liq_sm3day":340,"fw_perc":10,"rp_m3m3":150},{"gamma_gas":0.8,"gamma_oil":0.87,"gamma_wat":1,"rsb_m3m3":80,"pb_atma":120,"t_res_C":100,"bob_m3m3":1.2,"muob_cP":1,"PVT_corr_set":0,"q_liq_sm3day":370,"fw_perc":10,"rp_m3m3":150},{"gamma_gas":0.8,"gamma_oil":0.87,"gamma_wat":1,"rsb_m3m3":80,"pb_atma":120,"t_res_C":100,"bob_m3m3":1.2,"muob_cP":1,"PVT_corr_set":0,"q_liq_sm3day":400,"fw_perc":10,"rp_m3m3":150}]</v>
      </c>
      <c r="AA77" s="41"/>
      <c r="AB77" s="41"/>
      <c r="AC77" s="42"/>
      <c r="AD77" s="42"/>
      <c r="AE77" s="41"/>
    </row>
    <row r="78" spans="2:31" x14ac:dyDescent="0.3">
      <c r="B78" s="16"/>
      <c r="C78" s="16"/>
      <c r="G78" s="10"/>
      <c r="AA78" s="41"/>
      <c r="AB78" s="41"/>
      <c r="AC78" s="42"/>
      <c r="AD78" s="42"/>
      <c r="AE78" s="41"/>
    </row>
    <row r="79" spans="2:31" x14ac:dyDescent="0.3">
      <c r="AA79" s="41"/>
      <c r="AB79" s="41"/>
      <c r="AC79" s="42"/>
      <c r="AD79" s="42"/>
      <c r="AE79" s="41"/>
    </row>
    <row r="80" spans="2:31" x14ac:dyDescent="0.3">
      <c r="K80" t="str" cm="1">
        <f t="array" ref="K80:L80">[1]!MF_pipe_p_atma(K74,T0,construction,K77,t_model,calc_along_coord,flow_along_coord,hcor,,,K44,G41,G42)</f>
        <v>[139.446600469821,101.28628978389,97.1938167881481,101.625255838531,108.947717565589,117.110876717564,125.546603416907,133.882498019857,142.096235907087,150.010589108469,158.038713759142,165.498319279017,172.827489948875,179.752607126537]</v>
      </c>
      <c r="L80" t="str">
        <v>["calc_dPipe_1d start with pressure tolerance = 0,001 atm","{\"multiphase_correlation\" :1, \"t_model\" : 1, \"PVT_correlation\": 0, \"calc_along_coord\": 1, \"flow_along_coord\": 0}","calc_dPipe_1d calc done with 937 iterations in 257,8125 ms","calc_dPipe_1d start with pressure tolerance = 0,001 atm","{\"multiphase_correlation\" :1, \"t_model\" : 1, \"PVT_correlation\": 0, \"calc_along_coord\": 1, \"flow_along_coord\": 0}","calc_dPipe_1d calc done with 979 iterations in 175,7813 ms","calc_dPipe_1d start with pressure tolerance = 0,001 atm","{\"multiphase_correlation\" :1, \"t_model\" : 1, \"PVT_correlation\": 0, \"calc_along_coord\": 1, \"flow_along_coord\": 0}","calc_dPipe_1d calc done with 955 iterations in 226,5625 ms","calc_dPipe_1d start with pressure tolerance = 0,001 atm","{\"multiphase_correlation\" :1, \"t_model\" : 1, \"PVT_correlation\": 0, \"calc_along_coord\": 1, \"flow_along_coord\": 0}","calc_dPipe_1d calc done with 319 iterations in 50,78125 ms","calc_dPipe_1d start with pressure tolerance = 0,001 atm","{\"multiphase_correlation\" :1, \"t_model\" : 1, \"PVT_correlation\": 0, \"calc_along_coord\": 1, \"flow_along_coord\": 0}","calc_dPipe_1d calc done with 283 iterations in 62,5 ms","calc_dPipe_1d start with pressure tolerance = 0,001 atm","{\"multiphase_correlation\" :1, \"t_model\" : 1, \"PVT_correlation\": 0, \"calc_along_coord\": 1, \"flow_along_coord\": 0}","calc_dPipe_1d calc done with 349 iterations in 82,03125 ms","calc_dPipe_1d start with pressure tolerance = 0,001 atm","{\"multiphase_correlation\" :1, \"t_model\" : 1, \"PVT_correlation\": 0, \"calc_along_coord\": 1, \"flow_along_coord\": 0}","calc_dPipe_1d calc done with 295 iterations in 62,5 ms","calc_dPipe_1d start with pressure tolerance = 0,001 atm","{\"multiphase_correlation\" :1, \"t_model\" : 1, \"PVT_correlation\": 0, \"calc_along_coord\": 1, \"flow_along_coord\": 0}","calc_dPipe_1d calc done with 271 iterations in 70,3125 ms","calc_dPipe_1d start with pressure tolerance = 0,001 atm","{\"multiphase_correlation\" :1, \"t_model\" : 1, \"PVT_correlation\": 0, \"calc_along_coord\": 1, \"flow_along_coord\": 0}","calc_dPipe_1d calc done with 343 iterations in 109,375 ms","calc_dPipe_1d start with pressure tolerance = 0,001 atm","{\"multiphase_correlation\" :1, \"t_model\" : 1, \"PVT_correlation\": 0, \"calc_along_coord\": 1, \"flow_along_coord\": 0}","calc_dPipe_1d calc done with 283 iterations in 93,75 ms","calc_dPipe_1d start with pressure tolerance = 0,001 atm","{\"multiphase_correlation\" :1, \"t_model\" : 1, \"PVT_correlation\": 0, \"calc_along_coord\": 1, \"flow_along_coord\": 0}","calc_dPipe_1d calc done with 307 iterations in 78,125 ms","calc_dPipe_1d start with pressure tolerance = 0,001 atm","{\"multiphase_correlation\" :1, \"t_model\" : 1, \"PVT_correlation\": 0, \"calc_along_coord\": 1, \"flow_along_coord\": 0}","calc_dPipe_1d calc done with 295 iterations in 78,125 ms","calc_dPipe_1d start with pressure tolerance = 0,001 atm","{\"multiphase_correlation\" :1, \"t_model\" : 1, \"PVT_correlation\": 0, \"calc_along_coord\": 1, \"flow_along_coord\": 0}","calc_dPipe_1d calc done with 1075 iterations in 296,875 ms","calc_dPipe_1d start with pressure tolerance = 0,001 atm","{\"multiphase_correlation\" :1, \"t_model\" : 1, \"PVT_correlation\": 0, \"calc_along_coord\": 1, \"flow_along_coord\": 0}","calc_dPipe_1d calc done with 1045 iterations in 164,0625 ms"]</v>
      </c>
      <c r="AA80" s="41"/>
      <c r="AB80" s="41"/>
      <c r="AC80" s="42"/>
      <c r="AD80" s="42"/>
      <c r="AE80" s="41"/>
    </row>
    <row r="81" spans="10:31" x14ac:dyDescent="0.3">
      <c r="AA81" s="41"/>
      <c r="AB81" s="41"/>
      <c r="AC81" s="42"/>
      <c r="AD81" s="42"/>
      <c r="AE81" s="41"/>
    </row>
    <row r="82" spans="10:31" x14ac:dyDescent="0.3">
      <c r="J82" cm="1">
        <f t="array" ref="J82:J95">[1]!decode_json(K74)</f>
        <v>10</v>
      </c>
      <c r="K82" cm="1">
        <f t="array" ref="K82:K95">[1]!decode_json(K76)</f>
        <v>10</v>
      </c>
      <c r="L82" cm="1">
        <f t="array" ref="L82:L95">[1]!decode_json(K80)</f>
        <v>139.44660046982099</v>
      </c>
      <c r="O82" s="63" t="str" cm="1">
        <f t="array" ref="O82:O123">[1]!decode_json(L80)</f>
        <v>calc_dPipe_1d start with pressure tolerance = 0,001 atm</v>
      </c>
      <c r="AA82" s="41"/>
      <c r="AB82" s="41"/>
    </row>
    <row r="83" spans="10:31" x14ac:dyDescent="0.3">
      <c r="J83">
        <v>12.4</v>
      </c>
      <c r="K83">
        <v>40</v>
      </c>
      <c r="L83">
        <v>101.28628978389</v>
      </c>
      <c r="O83" s="63" t="str">
        <v>{"multiphase_correlation" :1, "t_model" : 1, "PVT_correlation": 0, "calc_along_coord": 1, "flow_along_coord": 0}</v>
      </c>
      <c r="AA83" s="41"/>
      <c r="AB83" s="41"/>
    </row>
    <row r="84" spans="10:31" x14ac:dyDescent="0.3">
      <c r="J84">
        <v>14.8</v>
      </c>
      <c r="K84">
        <v>70</v>
      </c>
      <c r="L84">
        <v>97.193816788148098</v>
      </c>
      <c r="N84" s="41"/>
      <c r="O84" s="64" t="str">
        <v>calc_dPipe_1d calc done with 937 iterations in 257,8125 ms</v>
      </c>
    </row>
    <row r="85" spans="10:31" x14ac:dyDescent="0.3">
      <c r="J85">
        <v>17.2</v>
      </c>
      <c r="K85">
        <v>100</v>
      </c>
      <c r="L85">
        <v>101.625255838531</v>
      </c>
      <c r="N85" s="41"/>
      <c r="O85" s="64" t="str">
        <v>calc_dPipe_1d start with pressure tolerance = 0,001 atm</v>
      </c>
    </row>
    <row r="86" spans="10:31" x14ac:dyDescent="0.3">
      <c r="J86">
        <v>19.600000000000001</v>
      </c>
      <c r="K86">
        <v>130</v>
      </c>
      <c r="L86">
        <v>108.947717565589</v>
      </c>
      <c r="N86" s="41"/>
      <c r="O86" s="64" t="str">
        <v>{"multiphase_correlation" :1, "t_model" : 1, "PVT_correlation": 0, "calc_along_coord": 1, "flow_along_coord": 0}</v>
      </c>
    </row>
    <row r="87" spans="10:31" x14ac:dyDescent="0.3">
      <c r="J87">
        <v>22</v>
      </c>
      <c r="K87">
        <v>160</v>
      </c>
      <c r="L87">
        <v>117.110876717564</v>
      </c>
      <c r="N87" s="41"/>
      <c r="O87" s="64" t="str">
        <v>calc_dPipe_1d calc done with 979 iterations in 175,7813 ms</v>
      </c>
    </row>
    <row r="88" spans="10:31" x14ac:dyDescent="0.3">
      <c r="J88">
        <v>24.4</v>
      </c>
      <c r="K88">
        <v>190</v>
      </c>
      <c r="L88">
        <v>125.546603416907</v>
      </c>
      <c r="N88" s="41"/>
      <c r="O88" s="64" t="str">
        <v>calc_dPipe_1d start with pressure tolerance = 0,001 atm</v>
      </c>
    </row>
    <row r="89" spans="10:31" x14ac:dyDescent="0.3">
      <c r="J89">
        <v>26.8</v>
      </c>
      <c r="K89">
        <v>220</v>
      </c>
      <c r="L89">
        <v>133.882498019857</v>
      </c>
      <c r="N89" s="41"/>
      <c r="O89" s="64" t="str">
        <v>{"multiphase_correlation" :1, "t_model" : 1, "PVT_correlation": 0, "calc_along_coord": 1, "flow_along_coord": 0}</v>
      </c>
    </row>
    <row r="90" spans="10:31" x14ac:dyDescent="0.3">
      <c r="J90">
        <v>29.2</v>
      </c>
      <c r="K90">
        <v>250</v>
      </c>
      <c r="L90">
        <v>142.09623590708699</v>
      </c>
      <c r="N90" s="41"/>
      <c r="O90" s="64" t="str">
        <v>calc_dPipe_1d calc done with 955 iterations in 226,5625 ms</v>
      </c>
    </row>
    <row r="91" spans="10:31" x14ac:dyDescent="0.3">
      <c r="J91">
        <v>31.6</v>
      </c>
      <c r="K91">
        <v>280</v>
      </c>
      <c r="L91">
        <v>150.01058910846899</v>
      </c>
      <c r="N91" s="41"/>
      <c r="O91" s="64" t="str">
        <v>calc_dPipe_1d start with pressure tolerance = 0,001 atm</v>
      </c>
    </row>
    <row r="92" spans="10:31" x14ac:dyDescent="0.3">
      <c r="J92">
        <v>34</v>
      </c>
      <c r="K92">
        <v>310</v>
      </c>
      <c r="L92">
        <v>158.03871375914201</v>
      </c>
      <c r="N92" s="41"/>
      <c r="O92" s="64" t="str">
        <v>{"multiphase_correlation" :1, "t_model" : 1, "PVT_correlation": 0, "calc_along_coord": 1, "flow_along_coord": 0}</v>
      </c>
    </row>
    <row r="93" spans="10:31" x14ac:dyDescent="0.3">
      <c r="J93">
        <v>36.4</v>
      </c>
      <c r="K93">
        <v>340</v>
      </c>
      <c r="L93">
        <v>165.49831927901701</v>
      </c>
      <c r="N93" s="41"/>
      <c r="O93" s="64" t="str">
        <v>calc_dPipe_1d calc done with 319 iterations in 50,78125 ms</v>
      </c>
    </row>
    <row r="94" spans="10:31" x14ac:dyDescent="0.3">
      <c r="J94">
        <v>38.799999999999997</v>
      </c>
      <c r="K94">
        <v>370</v>
      </c>
      <c r="L94">
        <v>172.82748994887501</v>
      </c>
      <c r="N94" s="41"/>
      <c r="O94" s="64" t="str">
        <v>calc_dPipe_1d start with pressure tolerance = 0,001 atm</v>
      </c>
    </row>
    <row r="95" spans="10:31" x14ac:dyDescent="0.3">
      <c r="J95">
        <v>41.2</v>
      </c>
      <c r="K95">
        <v>400</v>
      </c>
      <c r="L95">
        <v>179.75260712653699</v>
      </c>
      <c r="N95" s="41"/>
      <c r="O95" s="64" t="str">
        <v>{"multiphase_correlation" :1, "t_model" : 1, "PVT_correlation": 0, "calc_along_coord": 1, "flow_along_coord": 0}</v>
      </c>
    </row>
    <row r="96" spans="10:31" x14ac:dyDescent="0.3">
      <c r="N96" s="41"/>
      <c r="O96" s="64" t="str">
        <v>calc_dPipe_1d calc done with 283 iterations in 62,5 ms</v>
      </c>
    </row>
    <row r="97" spans="14:15" x14ac:dyDescent="0.3">
      <c r="N97" s="41"/>
      <c r="O97" s="64" t="str">
        <v>calc_dPipe_1d start with pressure tolerance = 0,001 atm</v>
      </c>
    </row>
    <row r="98" spans="14:15" x14ac:dyDescent="0.3">
      <c r="N98" s="41"/>
      <c r="O98" s="64" t="str">
        <v>{"multiphase_correlation" :1, "t_model" : 1, "PVT_correlation": 0, "calc_along_coord": 1, "flow_along_coord": 0}</v>
      </c>
    </row>
    <row r="99" spans="14:15" x14ac:dyDescent="0.3">
      <c r="N99" s="41"/>
      <c r="O99" s="64" t="str">
        <v>calc_dPipe_1d calc done with 349 iterations in 82,03125 ms</v>
      </c>
    </row>
    <row r="100" spans="14:15" x14ac:dyDescent="0.3">
      <c r="N100" s="41"/>
      <c r="O100" s="64" t="str">
        <v>calc_dPipe_1d start with pressure tolerance = 0,001 atm</v>
      </c>
    </row>
    <row r="101" spans="14:15" x14ac:dyDescent="0.3">
      <c r="N101" s="41"/>
      <c r="O101" s="64" t="str">
        <v>{"multiphase_correlation" :1, "t_model" : 1, "PVT_correlation": 0, "calc_along_coord": 1, "flow_along_coord": 0}</v>
      </c>
    </row>
    <row r="102" spans="14:15" x14ac:dyDescent="0.3">
      <c r="N102" s="41"/>
      <c r="O102" s="64" t="str">
        <v>calc_dPipe_1d calc done with 295 iterations in 62,5 ms</v>
      </c>
    </row>
    <row r="103" spans="14:15" x14ac:dyDescent="0.3">
      <c r="N103" s="41"/>
      <c r="O103" s="64" t="str">
        <v>calc_dPipe_1d start with pressure tolerance = 0,001 atm</v>
      </c>
    </row>
    <row r="104" spans="14:15" x14ac:dyDescent="0.3">
      <c r="N104" s="41"/>
      <c r="O104" s="64" t="str">
        <v>{"multiphase_correlation" :1, "t_model" : 1, "PVT_correlation": 0, "calc_along_coord": 1, "flow_along_coord": 0}</v>
      </c>
    </row>
    <row r="105" spans="14:15" x14ac:dyDescent="0.3">
      <c r="O105" s="63" t="str">
        <v>calc_dPipe_1d calc done with 271 iterations in 70,3125 ms</v>
      </c>
    </row>
    <row r="106" spans="14:15" x14ac:dyDescent="0.3">
      <c r="O106" s="63" t="str">
        <v>calc_dPipe_1d start with pressure tolerance = 0,001 atm</v>
      </c>
    </row>
    <row r="107" spans="14:15" x14ac:dyDescent="0.3">
      <c r="O107" s="63" t="str">
        <v>{"multiphase_correlation" :1, "t_model" : 1, "PVT_correlation": 0, "calc_along_coord": 1, "flow_along_coord": 0}</v>
      </c>
    </row>
    <row r="108" spans="14:15" x14ac:dyDescent="0.3">
      <c r="O108" s="63" t="str">
        <v>calc_dPipe_1d calc done with 343 iterations in 109,375 ms</v>
      </c>
    </row>
    <row r="109" spans="14:15" x14ac:dyDescent="0.3">
      <c r="O109" s="63" t="str">
        <v>calc_dPipe_1d start with pressure tolerance = 0,001 atm</v>
      </c>
    </row>
    <row r="110" spans="14:15" x14ac:dyDescent="0.3">
      <c r="O110" s="63" t="str">
        <v>{"multiphase_correlation" :1, "t_model" : 1, "PVT_correlation": 0, "calc_along_coord": 1, "flow_along_coord": 0}</v>
      </c>
    </row>
    <row r="111" spans="14:15" x14ac:dyDescent="0.3">
      <c r="O111" s="63" t="str">
        <v>calc_dPipe_1d calc done with 283 iterations in 93,75 ms</v>
      </c>
    </row>
    <row r="112" spans="14:15" x14ac:dyDescent="0.3">
      <c r="O112" s="63" t="str">
        <v>calc_dPipe_1d start with pressure tolerance = 0,001 atm</v>
      </c>
    </row>
    <row r="113" spans="15:15" x14ac:dyDescent="0.3">
      <c r="O113" s="63" t="str">
        <v>{"multiphase_correlation" :1, "t_model" : 1, "PVT_correlation": 0, "calc_along_coord": 1, "flow_along_coord": 0}</v>
      </c>
    </row>
    <row r="114" spans="15:15" x14ac:dyDescent="0.3">
      <c r="O114" s="63" t="str">
        <v>calc_dPipe_1d calc done with 307 iterations in 78,125 ms</v>
      </c>
    </row>
    <row r="115" spans="15:15" x14ac:dyDescent="0.3">
      <c r="O115" s="63" t="str">
        <v>calc_dPipe_1d start with pressure tolerance = 0,001 atm</v>
      </c>
    </row>
    <row r="116" spans="15:15" x14ac:dyDescent="0.3">
      <c r="O116" s="63" t="str">
        <v>{"multiphase_correlation" :1, "t_model" : 1, "PVT_correlation": 0, "calc_along_coord": 1, "flow_along_coord": 0}</v>
      </c>
    </row>
    <row r="117" spans="15:15" x14ac:dyDescent="0.3">
      <c r="O117" s="63" t="str">
        <v>calc_dPipe_1d calc done with 295 iterations in 78,125 ms</v>
      </c>
    </row>
    <row r="118" spans="15:15" x14ac:dyDescent="0.3">
      <c r="O118" s="63" t="str">
        <v>calc_dPipe_1d start with pressure tolerance = 0,001 atm</v>
      </c>
    </row>
    <row r="119" spans="15:15" x14ac:dyDescent="0.3">
      <c r="O119" s="63" t="str">
        <v>{"multiphase_correlation" :1, "t_model" : 1, "PVT_correlation": 0, "calc_along_coord": 1, "flow_along_coord": 0}</v>
      </c>
    </row>
    <row r="120" spans="15:15" x14ac:dyDescent="0.3">
      <c r="O120" s="63" t="str">
        <v>calc_dPipe_1d calc done with 1075 iterations in 296,875 ms</v>
      </c>
    </row>
    <row r="121" spans="15:15" x14ac:dyDescent="0.3">
      <c r="O121" s="63" t="str">
        <v>calc_dPipe_1d start with pressure tolerance = 0,001 atm</v>
      </c>
    </row>
    <row r="122" spans="15:15" x14ac:dyDescent="0.3">
      <c r="O122" s="63" t="str">
        <v>{"multiphase_correlation" :1, "t_model" : 1, "PVT_correlation": 0, "calc_along_coord": 1, "flow_along_coord": 0}</v>
      </c>
    </row>
    <row r="123" spans="15:15" x14ac:dyDescent="0.3">
      <c r="O123" s="63" t="str">
        <v>calc_dPipe_1d calc done with 1045 iterations in 164,0625 ms</v>
      </c>
    </row>
  </sheetData>
  <mergeCells count="12">
    <mergeCell ref="F27:G27"/>
    <mergeCell ref="F28:G28"/>
    <mergeCell ref="F30:G30"/>
    <mergeCell ref="F31:G31"/>
    <mergeCell ref="F32:G32"/>
    <mergeCell ref="F29:G29"/>
    <mergeCell ref="F26:G26"/>
    <mergeCell ref="B3:E3"/>
    <mergeCell ref="B4:E4"/>
    <mergeCell ref="B5:E5"/>
    <mergeCell ref="B6:E8"/>
    <mergeCell ref="F25:G25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53</vt:i4>
      </vt:variant>
    </vt:vector>
  </HeadingPairs>
  <TitlesOfParts>
    <vt:vector size="54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2021-07-31T06:15:02Z</dcterms:modified>
</cp:coreProperties>
</file>