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F145E55-B6B6-44B2-A9C7-8051EB18D292}" xr6:coauthVersionLast="46" xr6:coauthVersionMax="46" xr10:uidLastSave="{00000000-0000-0000-0000-000000000000}"/>
  <bookViews>
    <workbookView xWindow="-120" yWindow="-120" windowWidth="38640" windowHeight="21240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C37" i="3" a="1"/>
  <c r="G1" i="3"/>
  <c r="C38" i="3" a="1"/>
  <c r="C34" i="3"/>
  <c r="K44" i="3" a="1"/>
  <c r="C37" i="3" l="1"/>
  <c r="K44" i="3"/>
  <c r="C38" i="3"/>
  <c r="C35" i="3" a="1"/>
  <c r="C35" i="3" l="1"/>
  <c r="K70" i="3" a="1"/>
  <c r="K46" i="3" a="1"/>
  <c r="K73" i="3" a="1"/>
  <c r="K77" i="3" a="1"/>
  <c r="K77" i="3" l="1"/>
  <c r="K70" i="3"/>
  <c r="K46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K7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<sst xmlns="http://schemas.openxmlformats.org/spreadsheetml/2006/main" count="115" uniqueCount="91">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</sst>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120</c:v>
                </c:pt>
                <c:pt idx="1">
                  <c:v>126.01631518011331</c:v>
                </c:pt>
                <c:pt idx="2">
                  <c:v>132.75382507565919</c:v>
                </c:pt>
                <c:pt idx="3">
                  <c:v>140.64314566895845</c:v>
                </c:pt>
                <c:pt idx="4">
                  <c:v>148.74786938882627</c:v>
                </c:pt>
                <c:pt idx="5">
                  <c:v>156.97983534019698</c:v>
                </c:pt>
                <c:pt idx="6">
                  <c:v>165.29424730572029</c:v>
                </c:pt>
                <c:pt idx="7">
                  <c:v>173.66216697876257</c:v>
                </c:pt>
                <c:pt idx="8">
                  <c:v>182.06861663967393</c:v>
                </c:pt>
                <c:pt idx="9">
                  <c:v>190.4114987293452</c:v>
                </c:pt>
                <c:pt idx="10">
                  <c:v>198.49168173472736</c:v>
                </c:pt>
                <c:pt idx="11">
                  <c:v>206.4229516061593</c:v>
                </c:pt>
                <c:pt idx="12">
                  <c:v>214.15855204349322</c:v>
                </c:pt>
                <c:pt idx="13">
                  <c:v>221.69410061012303</c:v>
                </c:pt>
                <c:pt idx="14">
                  <c:v>229.02820164237016</c:v>
                </c:pt>
                <c:pt idx="15">
                  <c:v>236.15442114339797</c:v>
                </c:pt>
                <c:pt idx="16">
                  <c:v>243.07801974949734</c:v>
                </c:pt>
                <c:pt idx="17">
                  <c:v>249.80235008866083</c:v>
                </c:pt>
                <c:pt idx="18">
                  <c:v>256.32868551435814</c:v>
                </c:pt>
                <c:pt idx="19">
                  <c:v>262.73317465983206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100</c:v>
                </c:pt>
                <c:pt idx="1">
                  <c:v>67.886913835161309</c:v>
                </c:pt>
                <c:pt idx="2">
                  <c:v>48.456588905459768</c:v>
                </c:pt>
                <c:pt idx="3">
                  <c:v>37.219757464032909</c:v>
                </c:pt>
                <c:pt idx="4">
                  <c:v>30.988145087454658</c:v>
                </c:pt>
                <c:pt idx="5">
                  <c:v>27.725268756226473</c:v>
                </c:pt>
                <c:pt idx="6">
                  <c:v>26.177234060984144</c:v>
                </c:pt>
                <c:pt idx="7">
                  <c:v>25.557892008898754</c:v>
                </c:pt>
                <c:pt idx="8">
                  <c:v>25.464138653016384</c:v>
                </c:pt>
                <c:pt idx="9">
                  <c:v>25.658878067081467</c:v>
                </c:pt>
                <c:pt idx="10">
                  <c:v>26.906662757978257</c:v>
                </c:pt>
                <c:pt idx="11">
                  <c:v>29.596411674290184</c:v>
                </c:pt>
                <c:pt idx="12">
                  <c:v>33.040296216801138</c:v>
                </c:pt>
                <c:pt idx="13">
                  <c:v>36.86062626968301</c:v>
                </c:pt>
                <c:pt idx="14">
                  <c:v>40.846326527805473</c:v>
                </c:pt>
                <c:pt idx="15">
                  <c:v>44.879045226956599</c:v>
                </c:pt>
                <c:pt idx="16">
                  <c:v>48.890883813555455</c:v>
                </c:pt>
                <c:pt idx="17">
                  <c:v>52.846609329773024</c:v>
                </c:pt>
                <c:pt idx="18">
                  <c:v>56.726532195150952</c:v>
                </c:pt>
                <c:pt idx="19">
                  <c:v>60.524995827581371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95039</xdr:rowOff>
    </xdr:from>
    <xdr:to>
      <xdr:col>31</xdr:col>
      <xdr:colOff>155896</xdr:colOff>
      <xdr:row>70</xdr:row>
      <xdr:rowOff>42652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811776" y="614421"/>
          <a:ext cx="4214969" cy="5091054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20</xdr:col>
      <xdr:colOff>142391</xdr:colOff>
      <xdr:row>47</xdr:row>
      <xdr:rowOff>123614</xdr:rowOff>
    </xdr:from>
    <xdr:to>
      <xdr:col>25</xdr:col>
      <xdr:colOff>374971</xdr:colOff>
      <xdr:row>70</xdr:row>
      <xdr:rowOff>80752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ipe"/>
      <definedName name="encode_PVT"/>
      <definedName name="encode_t_model"/>
      <definedName name="MF_pipe_calc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04"/>
  <sheetViews>
    <sheetView tabSelected="1" topLeftCell="A22" zoomScaleNormal="100" workbookViewId="0">
      <selection activeCell="O41" sqref="O41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7.27</v>
      </c>
      <c r="H1" t="s">
        <v>54</v>
      </c>
      <c r="I1" s="22">
        <v>44308</v>
      </c>
      <c r="J1" s="23"/>
      <c r="K1" s="23"/>
      <c r="L1" s="23"/>
    </row>
    <row r="2" spans="1:12" x14ac:dyDescent="0.25">
      <c r="A2" t="s">
        <v>68</v>
      </c>
      <c r="H2" t="s">
        <v>55</v>
      </c>
      <c r="I2" s="24">
        <v>7.27</v>
      </c>
      <c r="J2" s="23"/>
      <c r="K2" s="23"/>
      <c r="L2" s="23"/>
    </row>
    <row r="3" spans="1:12" x14ac:dyDescent="0.25">
      <c r="A3" s="25" t="s">
        <v>56</v>
      </c>
      <c r="B3" s="47" t="s">
        <v>57</v>
      </c>
      <c r="C3" s="48"/>
      <c r="D3" s="48"/>
      <c r="E3" s="49"/>
      <c r="H3" t="s">
        <v>58</v>
      </c>
      <c r="I3" s="23" t="s">
        <v>57</v>
      </c>
      <c r="J3" s="23"/>
      <c r="K3" s="23"/>
      <c r="L3" s="23"/>
    </row>
    <row r="4" spans="1:12" x14ac:dyDescent="0.25">
      <c r="A4" s="25" t="s">
        <v>59</v>
      </c>
      <c r="B4" s="47" t="s">
        <v>60</v>
      </c>
      <c r="C4" s="48"/>
      <c r="D4" s="48"/>
      <c r="E4" s="49"/>
      <c r="H4" t="s">
        <v>61</v>
      </c>
      <c r="I4" s="23" t="s">
        <v>60</v>
      </c>
      <c r="J4" s="23"/>
      <c r="K4" s="23"/>
      <c r="L4" s="23"/>
    </row>
    <row r="5" spans="1:12" x14ac:dyDescent="0.25">
      <c r="A5" s="25" t="s">
        <v>62</v>
      </c>
      <c r="B5" s="47" t="s">
        <v>63</v>
      </c>
      <c r="C5" s="48"/>
      <c r="D5" s="48"/>
      <c r="E5" s="49"/>
      <c r="H5" t="s">
        <v>64</v>
      </c>
      <c r="I5" s="23" t="s">
        <v>63</v>
      </c>
      <c r="J5" s="23"/>
      <c r="K5" s="23"/>
      <c r="L5" s="23"/>
    </row>
    <row r="6" spans="1:12" x14ac:dyDescent="0.25">
      <c r="A6" s="26" t="s">
        <v>65</v>
      </c>
      <c r="B6" s="50" t="s">
        <v>66</v>
      </c>
      <c r="C6" s="51"/>
      <c r="D6" s="51"/>
      <c r="E6" s="52"/>
      <c r="H6" s="27" t="s">
        <v>67</v>
      </c>
      <c r="I6" s="28" t="s">
        <v>66</v>
      </c>
      <c r="J6" s="28"/>
      <c r="K6" s="28"/>
      <c r="L6" s="28"/>
    </row>
    <row r="7" spans="1:12" x14ac:dyDescent="0.25">
      <c r="A7" s="29"/>
      <c r="B7" s="53"/>
      <c r="C7" s="54"/>
      <c r="D7" s="54"/>
      <c r="E7" s="55"/>
      <c r="H7" s="27"/>
      <c r="I7" s="28"/>
      <c r="J7" s="28"/>
      <c r="K7" s="28"/>
      <c r="L7" s="28"/>
    </row>
    <row r="8" spans="1:12" x14ac:dyDescent="0.25">
      <c r="A8" s="30"/>
      <c r="B8" s="56"/>
      <c r="C8" s="57"/>
      <c r="D8" s="57"/>
      <c r="E8" s="58"/>
      <c r="H8" s="27"/>
      <c r="I8" s="28"/>
      <c r="J8" s="28"/>
      <c r="K8" s="28"/>
      <c r="L8" s="28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N20" s="1" t="s">
        <v>69</v>
      </c>
    </row>
    <row r="21" spans="1:17" ht="1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8.75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8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8" x14ac:dyDescent="0.35">
      <c r="B24" s="9" t="s">
        <v>49</v>
      </c>
      <c r="C24" s="3">
        <v>1000</v>
      </c>
      <c r="D24" s="6" t="s">
        <v>50</v>
      </c>
    </row>
    <row r="25" spans="1:17" x14ac:dyDescent="0.25">
      <c r="F25" s="44" t="s">
        <v>73</v>
      </c>
      <c r="G25" s="45"/>
      <c r="H25" s="3">
        <v>0</v>
      </c>
    </row>
    <row r="26" spans="1:17" ht="18" customHeight="1" x14ac:dyDescent="0.25">
      <c r="F26" s="44" t="s">
        <v>74</v>
      </c>
      <c r="G26" s="45"/>
      <c r="H26" s="3">
        <v>0</v>
      </c>
    </row>
    <row r="27" spans="1:17" ht="15.75" customHeight="1" x14ac:dyDescent="0.25">
      <c r="F27" s="44" t="s">
        <v>75</v>
      </c>
      <c r="G27" s="45"/>
      <c r="H27" s="3">
        <v>0</v>
      </c>
    </row>
    <row r="28" spans="1:17" ht="15" customHeight="1" x14ac:dyDescent="0.25">
      <c r="A28" s="35" t="s">
        <v>25</v>
      </c>
      <c r="B28" s="10"/>
      <c r="F28" s="44" t="s">
        <v>76</v>
      </c>
      <c r="G28" s="45"/>
      <c r="H28" s="3">
        <v>0</v>
      </c>
    </row>
    <row r="29" spans="1:17" ht="15" customHeight="1" x14ac:dyDescent="0.25">
      <c r="B29" s="9" t="s">
        <v>28</v>
      </c>
      <c r="C29" s="31">
        <v>120</v>
      </c>
      <c r="D29" s="6" t="s">
        <v>12</v>
      </c>
      <c r="F29" s="44" t="s">
        <v>81</v>
      </c>
      <c r="G29" s="45"/>
      <c r="H29" s="3">
        <v>0</v>
      </c>
    </row>
    <row r="30" spans="1:17" x14ac:dyDescent="0.25">
      <c r="B30" s="9" t="s">
        <v>29</v>
      </c>
      <c r="C30" s="31">
        <v>180</v>
      </c>
      <c r="D30" s="6" t="s">
        <v>12</v>
      </c>
      <c r="F30" s="46" t="s">
        <v>77</v>
      </c>
      <c r="G30" s="46"/>
    </row>
    <row r="31" spans="1:17" ht="15" customHeight="1" x14ac:dyDescent="0.25">
      <c r="B31" s="9" t="s">
        <v>30</v>
      </c>
      <c r="C31" s="3">
        <v>100</v>
      </c>
      <c r="D31" s="6" t="s">
        <v>31</v>
      </c>
      <c r="F31" s="44" t="s">
        <v>78</v>
      </c>
      <c r="G31" s="45"/>
      <c r="H31" s="3">
        <v>1</v>
      </c>
    </row>
    <row r="32" spans="1:17" ht="15" customHeight="1" x14ac:dyDescent="0.25">
      <c r="B32" s="9" t="s">
        <v>32</v>
      </c>
      <c r="C32" s="3">
        <v>50</v>
      </c>
      <c r="D32" s="6" t="s">
        <v>31</v>
      </c>
      <c r="F32" s="44" t="s">
        <v>79</v>
      </c>
      <c r="G32" s="45"/>
      <c r="H32" s="3">
        <v>1</v>
      </c>
    </row>
    <row r="34" spans="1:25" x14ac:dyDescent="0.2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25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30" x14ac:dyDescent="0.25">
      <c r="B37" s="11" t="s">
        <v>83</v>
      </c>
      <c r="C37" s="12" t="str" cm="1">
        <f t="array" ref="C37">[1]!encode_t_model(temp_model,E56:F58,T0,T1_)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25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5" customHeight="1" x14ac:dyDescent="0.25">
      <c r="I40" s="40"/>
      <c r="K40" s="36" t="s">
        <v>89</v>
      </c>
    </row>
    <row r="41" spans="1:25" ht="14.45" customHeight="1" x14ac:dyDescent="0.25">
      <c r="I41" s="40"/>
      <c r="K41" s="6" t="s">
        <v>86</v>
      </c>
      <c r="L41" s="38">
        <v>1</v>
      </c>
    </row>
    <row r="42" spans="1:25" x14ac:dyDescent="0.25">
      <c r="K42" s="6" t="s">
        <v>87</v>
      </c>
      <c r="L42" s="38">
        <v>0</v>
      </c>
    </row>
    <row r="43" spans="1:25" x14ac:dyDescent="0.25">
      <c r="K43" s="6" t="s">
        <v>88</v>
      </c>
      <c r="L43" s="38">
        <v>1</v>
      </c>
    </row>
    <row r="44" spans="1:25" x14ac:dyDescent="0.25">
      <c r="K44" s="23" t="str" cm="1">
        <f t="array" ref="K44">[1]!encode_json(K41:L43)</f>
        <v>{"show_log":1,"num_value":0,"show_array":1}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25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244</v>
      </c>
    </row>
    <row r="46" spans="1:25" ht="18" x14ac:dyDescent="0.35">
      <c r="B46" s="6" t="s">
        <v>35</v>
      </c>
      <c r="C46" s="38">
        <v>3500</v>
      </c>
      <c r="D46" s="39" t="s">
        <v>26</v>
      </c>
      <c r="F46" s="32"/>
      <c r="G46" s="33" t="s">
        <v>85</v>
      </c>
      <c r="H46" s="3">
        <v>4</v>
      </c>
      <c r="K46" s="59" cm="1">
        <f t="array" ref="K46:R68">[1]!MF_pipe_p_atma(P0,T0,construction,feed,t_model,calc_along_coord,flow_along_coord,hcor,,,K44)</f>
        <v>262.73317465983206</v>
      </c>
      <c r="L46" s="20">
        <v>120</v>
      </c>
      <c r="M46" s="20">
        <v>100</v>
      </c>
      <c r="N46" s="59">
        <v>262.73317465983206</v>
      </c>
      <c r="O46" s="20">
        <v>60.524995827581371</v>
      </c>
      <c r="P46" s="20">
        <v>1</v>
      </c>
      <c r="Q46" s="20">
        <v>1</v>
      </c>
      <c r="R46" s="20" t="str">
        <v>["calc_dPipe_2d start with pressure tolerance = 0,001 atm","{\"multiphase_correlation\" :4, \"t_model\" : 2, \"PVT_correlation\": 0, \"calc_along_coord\": 1, \"flow_along_coord\": 1}","calc_dPipe_2d calc done with 991 iterations in 171,875 ms"]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2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c_calibr_grav</v>
      </c>
      <c r="Q47" s="20" t="str">
        <v>c_calibr_fric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1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90</v>
      </c>
    </row>
    <row r="49" spans="2:19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1</v>
      </c>
      <c r="I49" s="3">
        <v>0</v>
      </c>
      <c r="K49" s="21">
        <v>0</v>
      </c>
      <c r="L49" s="21">
        <v>0</v>
      </c>
      <c r="M49" s="21">
        <v>120</v>
      </c>
      <c r="N49" s="21">
        <v>100</v>
      </c>
      <c r="O49" s="21">
        <v>20</v>
      </c>
      <c r="P49" s="21">
        <v>60.335317271865541</v>
      </c>
      <c r="Q49" s="21">
        <v>0</v>
      </c>
      <c r="R49" s="21">
        <v>62</v>
      </c>
      <c r="S49" s="60">
        <f>K49-L49</f>
        <v>0</v>
      </c>
    </row>
    <row r="50" spans="2:19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80</v>
      </c>
      <c r="H50" s="5">
        <f>calc_along_coord*10+flow_along_coord</f>
        <v>11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126.01631518011331</v>
      </c>
      <c r="N50" s="43">
        <v>67.886913835161309</v>
      </c>
      <c r="O50" s="43">
        <v>20.55263157894737</v>
      </c>
      <c r="P50" s="43">
        <v>65.384723330632454</v>
      </c>
      <c r="Q50" s="43">
        <v>0</v>
      </c>
      <c r="R50" s="43">
        <v>62</v>
      </c>
      <c r="S50" s="60">
        <f t="shared" ref="S50:S68" si="0">K50-L50</f>
        <v>0</v>
      </c>
    </row>
    <row r="51" spans="2:19" x14ac:dyDescent="0.25">
      <c r="G51" s="10"/>
      <c r="K51" s="43">
        <v>221.05263157894737</v>
      </c>
      <c r="L51" s="43">
        <v>221.05263157894737</v>
      </c>
      <c r="M51" s="43">
        <v>132.75382507565919</v>
      </c>
      <c r="N51" s="43">
        <v>48.456588905459768</v>
      </c>
      <c r="O51" s="43">
        <v>21.105263157894736</v>
      </c>
      <c r="P51" s="43">
        <v>82.988704008086074</v>
      </c>
      <c r="Q51" s="43">
        <v>0</v>
      </c>
      <c r="R51" s="43">
        <v>62</v>
      </c>
      <c r="S51" s="60">
        <f t="shared" si="0"/>
        <v>0</v>
      </c>
    </row>
    <row r="52" spans="2:19" x14ac:dyDescent="0.25">
      <c r="G52" s="10"/>
      <c r="K52" s="43">
        <v>331.57894736842104</v>
      </c>
      <c r="L52" s="43">
        <v>331.57894736842104</v>
      </c>
      <c r="M52" s="43">
        <v>140.64314566895845</v>
      </c>
      <c r="N52" s="43">
        <v>37.219757464032909</v>
      </c>
      <c r="O52" s="43">
        <v>21.657894736842106</v>
      </c>
      <c r="P52" s="43">
        <v>85.100847743236599</v>
      </c>
      <c r="Q52" s="43">
        <v>0</v>
      </c>
      <c r="R52" s="43">
        <v>62</v>
      </c>
      <c r="S52" s="60">
        <f t="shared" si="0"/>
        <v>0</v>
      </c>
    </row>
    <row r="53" spans="2:19" x14ac:dyDescent="0.25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148.74786938882627</v>
      </c>
      <c r="N53" s="43">
        <v>30.988145087454658</v>
      </c>
      <c r="O53" s="43">
        <v>22.210526315789473</v>
      </c>
      <c r="P53" s="43">
        <v>86.427410280905988</v>
      </c>
      <c r="Q53" s="43">
        <v>0</v>
      </c>
      <c r="R53" s="43">
        <v>62</v>
      </c>
      <c r="S53" s="60">
        <f t="shared" si="0"/>
        <v>0</v>
      </c>
    </row>
    <row r="54" spans="2:19" ht="18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156.97983534019698</v>
      </c>
      <c r="N54" s="43">
        <v>27.725268756226473</v>
      </c>
      <c r="O54" s="43">
        <v>22.763157894736842</v>
      </c>
      <c r="P54" s="43">
        <v>87.284529809089861</v>
      </c>
      <c r="Q54" s="43">
        <v>0</v>
      </c>
      <c r="R54" s="43">
        <v>62</v>
      </c>
      <c r="S54" s="60">
        <f t="shared" si="0"/>
        <v>0</v>
      </c>
    </row>
    <row r="55" spans="2:19" x14ac:dyDescent="0.25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165.29424730572029</v>
      </c>
      <c r="N55" s="43">
        <v>26.177234060984144</v>
      </c>
      <c r="O55" s="43">
        <v>23.315789473684209</v>
      </c>
      <c r="P55" s="43">
        <v>87.866706089693125</v>
      </c>
      <c r="Q55" s="43">
        <v>0</v>
      </c>
      <c r="R55" s="43">
        <v>62</v>
      </c>
      <c r="S55" s="60">
        <f t="shared" si="0"/>
        <v>0</v>
      </c>
    </row>
    <row r="56" spans="2:19" x14ac:dyDescent="0.25">
      <c r="B56" s="16">
        <v>0</v>
      </c>
      <c r="C56" s="16">
        <v>0</v>
      </c>
      <c r="E56" s="61">
        <v>0</v>
      </c>
      <c r="F56" s="61">
        <v>20</v>
      </c>
      <c r="G56" s="10"/>
      <c r="H56" s="61">
        <v>0</v>
      </c>
      <c r="I56" s="62">
        <v>62</v>
      </c>
      <c r="K56" s="43">
        <v>773.68421052631584</v>
      </c>
      <c r="L56" s="43">
        <v>773.68421052631584</v>
      </c>
      <c r="M56" s="43">
        <v>173.66216697876257</v>
      </c>
      <c r="N56" s="43">
        <v>25.557892008898754</v>
      </c>
      <c r="O56" s="43">
        <v>23.868421052631579</v>
      </c>
      <c r="P56" s="43">
        <v>88.287006654894441</v>
      </c>
      <c r="Q56" s="43">
        <v>0</v>
      </c>
      <c r="R56" s="43">
        <v>62</v>
      </c>
      <c r="S56" s="60">
        <f t="shared" si="0"/>
        <v>0</v>
      </c>
    </row>
    <row r="57" spans="2:19" x14ac:dyDescent="0.25">
      <c r="B57" s="16">
        <v>1000</v>
      </c>
      <c r="C57" s="16">
        <v>1000</v>
      </c>
      <c r="E57" s="61">
        <v>1000</v>
      </c>
      <c r="F57" s="61">
        <v>25</v>
      </c>
      <c r="G57" s="10"/>
      <c r="H57" s="61">
        <v>2500</v>
      </c>
      <c r="I57" s="62">
        <v>125</v>
      </c>
      <c r="K57" s="43">
        <v>884.21052631578948</v>
      </c>
      <c r="L57" s="43">
        <v>884.21052631578948</v>
      </c>
      <c r="M57" s="43">
        <v>182.06861663967393</v>
      </c>
      <c r="N57" s="43">
        <v>25.464138653016384</v>
      </c>
      <c r="O57" s="43">
        <v>24.421052631578949</v>
      </c>
      <c r="P57" s="43">
        <v>88.609640488824198</v>
      </c>
      <c r="Q57" s="43">
        <v>0</v>
      </c>
      <c r="R57" s="43">
        <v>62</v>
      </c>
      <c r="S57" s="60">
        <f t="shared" si="0"/>
        <v>0</v>
      </c>
    </row>
    <row r="58" spans="2:19" x14ac:dyDescent="0.25">
      <c r="B58" s="16">
        <v>1100</v>
      </c>
      <c r="C58" s="16">
        <v>1096</v>
      </c>
      <c r="E58" s="61">
        <v>2500</v>
      </c>
      <c r="F58" s="61">
        <v>90</v>
      </c>
      <c r="G58" s="10"/>
      <c r="H58" s="61">
        <v>4000</v>
      </c>
      <c r="I58" s="62">
        <v>125</v>
      </c>
      <c r="K58" s="43">
        <v>994.73684210526312</v>
      </c>
      <c r="L58" s="43">
        <v>994.73684210526312</v>
      </c>
      <c r="M58" s="43">
        <v>190.4114987293452</v>
      </c>
      <c r="N58" s="43">
        <v>25.658878067081467</v>
      </c>
      <c r="O58" s="43">
        <v>24.973684210526315</v>
      </c>
      <c r="P58" s="43">
        <v>88.867644638176657</v>
      </c>
      <c r="Q58" s="43">
        <v>0</v>
      </c>
      <c r="R58" s="43">
        <v>62</v>
      </c>
      <c r="S58" s="60">
        <f t="shared" si="0"/>
        <v>0</v>
      </c>
    </row>
    <row r="59" spans="2:19" x14ac:dyDescent="0.25">
      <c r="B59" s="16">
        <v>1200</v>
      </c>
      <c r="C59" s="16">
        <v>1191</v>
      </c>
      <c r="E59" s="61"/>
      <c r="F59" s="61"/>
      <c r="G59" s="10"/>
      <c r="H59" s="61"/>
      <c r="I59" s="61"/>
      <c r="K59" s="43">
        <v>1105.2631578947369</v>
      </c>
      <c r="L59" s="43">
        <v>1101</v>
      </c>
      <c r="M59" s="43">
        <v>198.49168173472736</v>
      </c>
      <c r="N59" s="43">
        <v>26.906662757978257</v>
      </c>
      <c r="O59" s="43">
        <v>29.376666666666669</v>
      </c>
      <c r="P59" s="43">
        <v>89.017964858393839</v>
      </c>
      <c r="Q59" s="43">
        <v>0</v>
      </c>
      <c r="R59" s="43">
        <v>62</v>
      </c>
      <c r="S59" s="60">
        <f t="shared" si="0"/>
        <v>4.263157894736878</v>
      </c>
    </row>
    <row r="60" spans="2:19" x14ac:dyDescent="0.25">
      <c r="B60" s="16">
        <v>1300</v>
      </c>
      <c r="C60" s="16">
        <v>1284</v>
      </c>
      <c r="E60" s="61"/>
      <c r="F60" s="61"/>
      <c r="G60" s="10"/>
      <c r="H60" s="61"/>
      <c r="I60" s="61"/>
      <c r="K60" s="43">
        <v>1215.7894736842106</v>
      </c>
      <c r="L60" s="43">
        <v>1205.6842105263158</v>
      </c>
      <c r="M60" s="43">
        <v>206.4229516061593</v>
      </c>
      <c r="N60" s="43">
        <v>29.596411674290184</v>
      </c>
      <c r="O60" s="43">
        <v>33.912982456140362</v>
      </c>
      <c r="P60" s="43">
        <v>89.057732561373314</v>
      </c>
      <c r="Q60" s="43">
        <v>0</v>
      </c>
      <c r="R60" s="43">
        <v>62</v>
      </c>
      <c r="S60" s="60">
        <f t="shared" si="0"/>
        <v>10.105263157894797</v>
      </c>
    </row>
    <row r="61" spans="2:19" x14ac:dyDescent="0.25">
      <c r="B61" s="16">
        <v>1400</v>
      </c>
      <c r="C61" s="16">
        <v>1375</v>
      </c>
      <c r="E61" s="61"/>
      <c r="F61" s="61"/>
      <c r="G61" s="10"/>
      <c r="H61" s="61"/>
      <c r="I61" s="61"/>
      <c r="K61" s="43">
        <v>1326.3157894736842</v>
      </c>
      <c r="L61" s="43">
        <v>1307.9473684210525</v>
      </c>
      <c r="M61" s="43">
        <v>214.15855204349322</v>
      </c>
      <c r="N61" s="43">
        <v>33.040296216801138</v>
      </c>
      <c r="O61" s="43">
        <v>38.344385964912277</v>
      </c>
      <c r="P61" s="43">
        <v>89.045019461137258</v>
      </c>
      <c r="Q61" s="43">
        <v>0</v>
      </c>
      <c r="R61" s="43">
        <v>62</v>
      </c>
      <c r="S61" s="60">
        <f t="shared" si="0"/>
        <v>18.368421052631675</v>
      </c>
    </row>
    <row r="62" spans="2:19" x14ac:dyDescent="0.25">
      <c r="B62" s="16">
        <v>1500</v>
      </c>
      <c r="C62" s="16">
        <v>1464</v>
      </c>
      <c r="E62" s="61"/>
      <c r="F62" s="61"/>
      <c r="G62" s="10"/>
      <c r="H62" s="61"/>
      <c r="I62" s="61"/>
      <c r="K62" s="43">
        <v>1436.8421052631579</v>
      </c>
      <c r="L62" s="43">
        <v>1407.7894736842106</v>
      </c>
      <c r="M62" s="43">
        <v>221.69410061012303</v>
      </c>
      <c r="N62" s="43">
        <v>36.86062626968301</v>
      </c>
      <c r="O62" s="43">
        <v>42.670877192982459</v>
      </c>
      <c r="P62" s="43">
        <v>89.00924233734186</v>
      </c>
      <c r="Q62" s="43">
        <v>0</v>
      </c>
      <c r="R62" s="43">
        <v>62</v>
      </c>
      <c r="S62" s="60">
        <f t="shared" si="0"/>
        <v>29.052631578947285</v>
      </c>
    </row>
    <row r="63" spans="2:19" x14ac:dyDescent="0.25">
      <c r="B63" s="16">
        <v>1600</v>
      </c>
      <c r="C63" s="16">
        <v>1551</v>
      </c>
      <c r="E63" s="61"/>
      <c r="F63" s="61"/>
      <c r="G63" s="10"/>
      <c r="H63" s="61"/>
      <c r="I63" s="61"/>
      <c r="K63" s="43">
        <v>1547.3684210526317</v>
      </c>
      <c r="L63" s="43">
        <v>1505.2105263157896</v>
      </c>
      <c r="M63" s="43">
        <v>229.02820164237016</v>
      </c>
      <c r="N63" s="43">
        <v>40.846326527805473</v>
      </c>
      <c r="O63" s="43">
        <v>46.89245614035088</v>
      </c>
      <c r="P63" s="43">
        <v>88.964849323124113</v>
      </c>
      <c r="Q63" s="43">
        <v>0</v>
      </c>
      <c r="R63" s="43">
        <v>62</v>
      </c>
      <c r="S63" s="60">
        <f t="shared" si="0"/>
        <v>42.157894736842081</v>
      </c>
    </row>
    <row r="64" spans="2:19" x14ac:dyDescent="0.25">
      <c r="B64" s="16">
        <v>1700</v>
      </c>
      <c r="C64" s="16">
        <v>1636</v>
      </c>
      <c r="E64" s="61"/>
      <c r="F64" s="61"/>
      <c r="G64" s="10"/>
      <c r="H64" s="61"/>
      <c r="I64" s="61"/>
      <c r="K64" s="43">
        <v>1657.8947368421052</v>
      </c>
      <c r="L64" s="43">
        <v>1600.2105263157894</v>
      </c>
      <c r="M64" s="43">
        <v>236.15442114339797</v>
      </c>
      <c r="N64" s="43">
        <v>44.879045226956599</v>
      </c>
      <c r="O64" s="43">
        <v>51.00912280701754</v>
      </c>
      <c r="P64" s="43">
        <v>88.918750708834253</v>
      </c>
      <c r="Q64" s="43">
        <v>0</v>
      </c>
      <c r="R64" s="43">
        <v>62</v>
      </c>
      <c r="S64" s="60">
        <f t="shared" si="0"/>
        <v>57.684210526315837</v>
      </c>
    </row>
    <row r="65" spans="2:31" x14ac:dyDescent="0.25">
      <c r="B65" s="16">
        <v>1800</v>
      </c>
      <c r="C65" s="16">
        <v>1719</v>
      </c>
      <c r="E65" s="61"/>
      <c r="F65" s="61"/>
      <c r="G65" s="10"/>
      <c r="H65" s="61"/>
      <c r="I65" s="61"/>
      <c r="K65" s="43">
        <v>1768.421052631579</v>
      </c>
      <c r="L65" s="43">
        <v>1692.7894736842106</v>
      </c>
      <c r="M65" s="43">
        <v>243.07801974949734</v>
      </c>
      <c r="N65" s="43">
        <v>48.890883813555455</v>
      </c>
      <c r="O65" s="43">
        <v>55.020877192982454</v>
      </c>
      <c r="P65" s="43">
        <v>88.874076945535847</v>
      </c>
      <c r="Q65" s="43">
        <v>0</v>
      </c>
      <c r="R65" s="43">
        <v>62</v>
      </c>
      <c r="S65" s="60">
        <f t="shared" si="0"/>
        <v>75.631578947368325</v>
      </c>
    </row>
    <row r="66" spans="2:31" x14ac:dyDescent="0.25">
      <c r="B66" s="16">
        <v>1900</v>
      </c>
      <c r="C66" s="16">
        <v>1800</v>
      </c>
      <c r="E66" s="61"/>
      <c r="F66" s="61"/>
      <c r="G66" s="10"/>
      <c r="H66" s="61"/>
      <c r="I66" s="61"/>
      <c r="K66" s="43">
        <v>1878.9473684210527</v>
      </c>
      <c r="L66" s="43">
        <v>1782.9473684210527</v>
      </c>
      <c r="M66" s="43">
        <v>249.80235008866083</v>
      </c>
      <c r="N66" s="43">
        <v>52.846609329773024</v>
      </c>
      <c r="O66" s="43">
        <v>58.92771929824562</v>
      </c>
      <c r="P66" s="43">
        <v>88.832158460033796</v>
      </c>
      <c r="Q66" s="43">
        <v>0</v>
      </c>
      <c r="R66" s="43">
        <v>62</v>
      </c>
      <c r="S66" s="60">
        <f t="shared" si="0"/>
        <v>96</v>
      </c>
    </row>
    <row r="67" spans="2:31" x14ac:dyDescent="0.25">
      <c r="B67" s="16">
        <v>2000</v>
      </c>
      <c r="C67" s="16">
        <v>1879</v>
      </c>
      <c r="E67" s="61"/>
      <c r="F67" s="61"/>
      <c r="G67" s="10"/>
      <c r="H67" s="61"/>
      <c r="I67" s="61"/>
      <c r="K67" s="43">
        <v>1989.4736842105262</v>
      </c>
      <c r="L67" s="43">
        <v>1870.6842105263158</v>
      </c>
      <c r="M67" s="43">
        <v>256.32868551435814</v>
      </c>
      <c r="N67" s="43">
        <v>56.726532195150952</v>
      </c>
      <c r="O67" s="43">
        <v>62.729649122807018</v>
      </c>
      <c r="P67" s="43">
        <v>88.793398823895174</v>
      </c>
      <c r="Q67" s="43">
        <v>0</v>
      </c>
      <c r="R67" s="43">
        <v>62</v>
      </c>
      <c r="S67" s="60">
        <f t="shared" si="0"/>
        <v>118.78947368421041</v>
      </c>
    </row>
    <row r="68" spans="2:31" x14ac:dyDescent="0.25">
      <c r="B68" s="16">
        <v>2100</v>
      </c>
      <c r="C68" s="16">
        <v>1956</v>
      </c>
      <c r="E68" s="61"/>
      <c r="F68" s="61"/>
      <c r="G68" s="10"/>
      <c r="H68" s="61"/>
      <c r="I68" s="61"/>
      <c r="K68" s="43">
        <v>2100</v>
      </c>
      <c r="L68" s="43">
        <v>1956</v>
      </c>
      <c r="M68" s="43">
        <v>262.73317465983206</v>
      </c>
      <c r="N68" s="43">
        <v>60.524995827581371</v>
      </c>
      <c r="O68" s="43">
        <v>66.426666666666677</v>
      </c>
      <c r="P68" s="43">
        <v>95.783347002698562</v>
      </c>
      <c r="Q68" s="43">
        <v>0</v>
      </c>
      <c r="R68" s="43">
        <v>125</v>
      </c>
      <c r="S68" s="60">
        <f t="shared" si="0"/>
        <v>144</v>
      </c>
    </row>
    <row r="69" spans="2:31" x14ac:dyDescent="0.25">
      <c r="B69" s="16">
        <v>2200</v>
      </c>
      <c r="C69" s="16">
        <v>2031</v>
      </c>
      <c r="E69" s="61"/>
      <c r="F69" s="61"/>
      <c r="G69" s="10"/>
      <c r="H69" s="61"/>
      <c r="I69" s="61"/>
    </row>
    <row r="70" spans="2:31" x14ac:dyDescent="0.25">
      <c r="B70" s="16">
        <v>2300</v>
      </c>
      <c r="C70" s="16">
        <v>2104</v>
      </c>
      <c r="E70" s="61"/>
      <c r="F70" s="61"/>
      <c r="G70" s="10"/>
      <c r="H70" s="61"/>
      <c r="I70" s="61"/>
      <c r="K70" t="str" cm="1">
        <f t="array" ref="K70:O71">[1]!MF_pipe_calc(P0,T0,construction,feed,t_model,calc_along_coord,flow_along_coord,hcor,,,K44)</f>
        <v>{"p_result_atma":262.733174659832,"t_result_C":60.5249958275814,"p_1, atma":120,"t_1, C":100,"p_2, atma":262.733174659832,"t_2, C":60.5249958275814,"c_calibr_grav":1,"c_calibr_fric":1,"q_gas_sm3day":6400}</v>
      </c>
      <c r="L70" t="str">
        <v>{"crv_P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120,126.016315180113,132.753825075659,140.643145668958,148.747869388826,156.979835340197,165.29424730572,173.662166978763,182.068616639674,190.411498729345,198.491681734727,206.422951606159,214.158552043493,221.694100610123,229.02820164237,236.154421143398,243.078019749497,249.802350088661,256.328685514358,262.733174659832]},"crv_Н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0,110.526315789474,221.052631578947,331.578947368421,442.105263157895,552.631578947368,663.157894736842,773.684210526316,884.210526315789,994.736842105263,1101,1205.68421052632,1307.94736842105,1407.78947368421,1505.21052631579,1600.21052631579,1692.78947368421,1782.94736842105,1870.68421052632,1956]},"c_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100,67.8869138351613,48.4565889054598,37.2197574640329,30.9881450874547,27.7252687562265,26.1772340609841,25.5578920088988,25.4641386530164,25.6588780670815,26.9066627579783,29.5964116742902,33.0402962168011,36.860626269683,40.8463265278055,44.8790452269566,48.8908838135555,52.846609329773,56.726532195151,60.5249958275814]},"c_Hl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0.603353172718655,0.653847233306325,0.829887040080861,0.851008477432366,0.86427410280906,0.872845298090899,0.878667060896931,0.882870066548944,0.886096404888242,0.888676446381767,0.890179648583938,0.890577325613733,0.890450194611373,0.890092423373419,0.889648493231241,0.889187507088342,0.888740769455358,0.888321584600338,0.887933988238952,0.957833470026986]},"c_fpa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[0,0,0,0,0,0,0,0,0,0,0,0,0,0,0,0,0,0,0,0]},"c_Tamb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20.5526315789474,21.1052631578947,21.6578947368421,22.2105263157895,22.7631578947368,23.3157894736842,23.8684210526316,24.4210526315789,24.9736842105263,29.3766666666667,33.9129824561404,38.3443859649123,42.6708771929825,46.8924561403509,51.0091228070175,55.0208771929825,58.9277192982456,62.729649122807,66.4266666666667]},"c_Diam":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[0.062,0.062,0.062,0.062,0.062,0.062,0.062,0.062,0.062,0.062,0.062,0.062,0.062,0.062,0.062,0.062,0.062,0.062,0.062,0.125]}}</v>
      </c>
      <c r="M70" t="str">
        <v>{"c_Roughness":{"curve_x":"x","curve_y":"y","x":[0,100,200,300,400,500,600,700,800,900,1000,1100,1200,1300,1400,1500,1600,1700,1800,1900,2000,2100],"y":[0.0001,0.0001,0.0001,0.0001,0.0001,0.0001,0.0001,0.0001,0.0001,0.0001,0.0001,0.0001,0.0001,0.0001,0.0001,0.0001,0.0001,0.0001,0.0001,0.0001,0.0001,0.0001]}}</v>
      </c>
      <c r="N70" t="str">
        <v>["calc_dPipe_2d start with pressure tolerance = 0,001 atm","{\"multiphase_correlation\" :4, \"t_model\" : 2, \"PVT_correlation\": 0, \"calc_along_coord\": 1, \"flow_along_coord\": 1}","calc_dPipe_2d calc done with 991 iterations in 171,875 ms"]</v>
      </c>
      <c r="O70" t="str">
        <v/>
      </c>
    </row>
    <row r="71" spans="2:31" x14ac:dyDescent="0.25">
      <c r="B71" s="16">
        <v>2400</v>
      </c>
      <c r="C71" s="16">
        <v>2175</v>
      </c>
      <c r="E71" s="61"/>
      <c r="F71" s="61"/>
      <c r="G71" s="10"/>
      <c r="H71" s="61"/>
      <c r="I71" s="61"/>
      <c r="K71" t="str">
        <v>results</v>
      </c>
      <c r="L71" t="str">
        <v>curves</v>
      </c>
      <c r="M71" t="str">
        <v>curves add</v>
      </c>
      <c r="N71" t="str">
        <v>log</v>
      </c>
      <c r="O71" t="str">
        <v/>
      </c>
      <c r="AA71" s="41"/>
      <c r="AB71" s="41"/>
      <c r="AC71" s="42"/>
      <c r="AD71" s="42"/>
      <c r="AE71" s="41"/>
    </row>
    <row r="72" spans="2:31" x14ac:dyDescent="0.25">
      <c r="B72" s="16">
        <v>2500</v>
      </c>
      <c r="C72" s="16">
        <v>2244</v>
      </c>
      <c r="E72" s="61"/>
      <c r="F72" s="61"/>
      <c r="G72" s="10"/>
      <c r="H72" s="61"/>
      <c r="I72" s="61"/>
      <c r="AA72" s="41"/>
      <c r="AB72" s="41"/>
      <c r="AC72" s="42"/>
      <c r="AD72" s="42"/>
      <c r="AE72" s="41"/>
    </row>
    <row r="73" spans="2:31" x14ac:dyDescent="0.25">
      <c r="B73" s="16">
        <v>2600</v>
      </c>
      <c r="C73" s="16">
        <v>2311</v>
      </c>
      <c r="E73" s="61"/>
      <c r="F73" s="61"/>
      <c r="G73" s="10"/>
      <c r="H73" s="61"/>
      <c r="I73" s="61"/>
      <c r="K73" t="str" cm="1">
        <f t="array" ref="K73:K75">[1]!decode_json(R46)</f>
        <v>calc_dPipe_2d start with pressure tolerance = 0,001 atm</v>
      </c>
      <c r="AA73" s="41"/>
      <c r="AB73" s="41"/>
      <c r="AC73" s="42"/>
      <c r="AD73" s="42"/>
      <c r="AE73" s="41"/>
    </row>
    <row r="74" spans="2:31" x14ac:dyDescent="0.25">
      <c r="B74" s="16">
        <v>2700</v>
      </c>
      <c r="C74" s="16">
        <v>2376</v>
      </c>
      <c r="E74" s="61"/>
      <c r="F74" s="61"/>
      <c r="G74" s="10"/>
      <c r="H74" s="61"/>
      <c r="I74" s="61"/>
      <c r="K74" t="str">
        <v>{"multiphase_correlation" :4, "t_model" : 2, "PVT_correlation": 0, "calc_along_coord": 1, "flow_along_coord": 1}</v>
      </c>
      <c r="AA74" s="41"/>
      <c r="AB74" s="41"/>
      <c r="AC74" s="42"/>
      <c r="AD74" s="42"/>
      <c r="AE74" s="41"/>
    </row>
    <row r="75" spans="2:31" x14ac:dyDescent="0.25">
      <c r="B75" s="16">
        <v>2800</v>
      </c>
      <c r="C75" s="16">
        <v>2439</v>
      </c>
      <c r="E75" s="61"/>
      <c r="F75" s="61"/>
      <c r="G75" s="10"/>
      <c r="H75" s="61"/>
      <c r="I75" s="61"/>
      <c r="K75" t="str">
        <v>calc_dPipe_2d calc done with 991 iterations in 171,875 ms</v>
      </c>
      <c r="AA75" s="41"/>
      <c r="AB75" s="41"/>
      <c r="AC75" s="42"/>
      <c r="AD75" s="42"/>
      <c r="AE75" s="41"/>
    </row>
    <row r="76" spans="2:31" x14ac:dyDescent="0.25">
      <c r="B76" s="16">
        <v>3500</v>
      </c>
      <c r="C76" s="16">
        <v>2500</v>
      </c>
      <c r="G76" s="10"/>
      <c r="AA76" s="41"/>
      <c r="AB76" s="41"/>
      <c r="AC76" s="42"/>
      <c r="AD76" s="42"/>
      <c r="AE76" s="41"/>
    </row>
    <row r="77" spans="2:31" x14ac:dyDescent="0.25">
      <c r="B77" s="16"/>
      <c r="C77" s="16"/>
      <c r="G77" s="10"/>
      <c r="K77" t="str" cm="1">
        <f t="array" ref="K77:K79">[1]!decode_json(N70)</f>
        <v>calc_dPipe_2d start with pressure tolerance = 0,001 atm</v>
      </c>
      <c r="AA77" s="41"/>
      <c r="AB77" s="41"/>
      <c r="AC77" s="42"/>
      <c r="AD77" s="42"/>
      <c r="AE77" s="41"/>
    </row>
    <row r="78" spans="2:31" x14ac:dyDescent="0.25">
      <c r="B78" s="16"/>
      <c r="C78" s="16"/>
      <c r="G78" s="10"/>
      <c r="K78" t="str">
        <v>{"multiphase_correlation" :4, "t_model" : 2, "PVT_correlation": 0, "calc_along_coord": 1, "flow_along_coord": 1}</v>
      </c>
      <c r="AA78" s="41"/>
      <c r="AB78" s="41"/>
      <c r="AC78" s="42"/>
      <c r="AD78" s="42"/>
      <c r="AE78" s="41"/>
    </row>
    <row r="79" spans="2:31" x14ac:dyDescent="0.25">
      <c r="K79" t="str">
        <v>calc_dPipe_2d calc done with 991 iterations in 171,875 ms</v>
      </c>
      <c r="AA79" s="41"/>
      <c r="AB79" s="41"/>
      <c r="AC79" s="42"/>
      <c r="AD79" s="42"/>
      <c r="AE79" s="41"/>
    </row>
    <row r="80" spans="2:31" x14ac:dyDescent="0.25">
      <c r="AA80" s="41"/>
      <c r="AB80" s="41"/>
      <c r="AC80" s="42"/>
      <c r="AD80" s="42"/>
      <c r="AE80" s="41"/>
    </row>
    <row r="81" spans="14:31" x14ac:dyDescent="0.25">
      <c r="AA81" s="41"/>
      <c r="AB81" s="41"/>
      <c r="AC81" s="42"/>
      <c r="AD81" s="42"/>
      <c r="AE81" s="41"/>
    </row>
    <row r="82" spans="14:31" x14ac:dyDescent="0.25">
      <c r="AA82" s="41"/>
      <c r="AB82" s="41"/>
    </row>
    <row r="83" spans="14:31" x14ac:dyDescent="0.25">
      <c r="AA83" s="41"/>
      <c r="AB83" s="41"/>
    </row>
    <row r="84" spans="14:31" x14ac:dyDescent="0.25">
      <c r="N84" s="41"/>
      <c r="O84" s="41"/>
    </row>
    <row r="85" spans="14:31" x14ac:dyDescent="0.25">
      <c r="N85" s="41"/>
      <c r="O85" s="41"/>
    </row>
    <row r="86" spans="14:31" x14ac:dyDescent="0.25">
      <c r="N86" s="41"/>
      <c r="O86" s="41"/>
    </row>
    <row r="87" spans="14:31" x14ac:dyDescent="0.25">
      <c r="N87" s="41"/>
      <c r="O87" s="41"/>
    </row>
    <row r="88" spans="14:31" x14ac:dyDescent="0.25">
      <c r="N88" s="41"/>
      <c r="O88" s="41"/>
    </row>
    <row r="89" spans="14:31" x14ac:dyDescent="0.25">
      <c r="N89" s="41"/>
      <c r="O89" s="41"/>
    </row>
    <row r="90" spans="14:31" x14ac:dyDescent="0.25">
      <c r="N90" s="41"/>
      <c r="O90" s="41"/>
    </row>
    <row r="91" spans="14:31" x14ac:dyDescent="0.25">
      <c r="N91" s="41"/>
      <c r="O91" s="41"/>
    </row>
    <row r="92" spans="14:31" x14ac:dyDescent="0.25">
      <c r="N92" s="41"/>
      <c r="O92" s="41"/>
    </row>
    <row r="93" spans="14:31" x14ac:dyDescent="0.25">
      <c r="N93" s="41"/>
      <c r="O93" s="41"/>
    </row>
    <row r="94" spans="14:31" x14ac:dyDescent="0.25">
      <c r="N94" s="41"/>
      <c r="O94" s="41"/>
    </row>
    <row r="95" spans="14:31" x14ac:dyDescent="0.25">
      <c r="N95" s="41"/>
      <c r="O95" s="41"/>
    </row>
    <row r="96" spans="14:31" x14ac:dyDescent="0.25">
      <c r="N96" s="41"/>
      <c r="O96" s="41"/>
    </row>
    <row r="97" spans="14:15" x14ac:dyDescent="0.25">
      <c r="N97" s="41"/>
      <c r="O97" s="41"/>
    </row>
    <row r="98" spans="14:15" x14ac:dyDescent="0.25">
      <c r="N98" s="41"/>
      <c r="O98" s="41"/>
    </row>
    <row r="99" spans="14:15" x14ac:dyDescent="0.25">
      <c r="N99" s="41"/>
      <c r="O99" s="41"/>
    </row>
    <row r="100" spans="14:15" x14ac:dyDescent="0.25">
      <c r="N100" s="41"/>
      <c r="O100" s="41"/>
    </row>
    <row r="101" spans="14:15" x14ac:dyDescent="0.25">
      <c r="N101" s="41"/>
      <c r="O101" s="41"/>
    </row>
    <row r="102" spans="14:15" x14ac:dyDescent="0.25">
      <c r="N102" s="41"/>
      <c r="O102" s="41"/>
    </row>
    <row r="103" spans="14:15" x14ac:dyDescent="0.25">
      <c r="N103" s="41"/>
      <c r="O103" s="41"/>
    </row>
    <row r="104" spans="14:15" x14ac:dyDescent="0.25">
      <c r="N104" s="41"/>
      <c r="O104" s="41"/>
    </row>
  </sheetData>
  <mergeCells count="12">
    <mergeCell ref="F26:G26"/>
    <mergeCell ref="B3:E3"/>
    <mergeCell ref="B4:E4"/>
    <mergeCell ref="B5:E5"/>
    <mergeCell ref="B6:E8"/>
    <mergeCell ref="F25:G25"/>
    <mergeCell ref="F27:G27"/>
    <mergeCell ref="F28:G28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2021-04-22T13:41:43Z</dcterms:modified>
</cp:coreProperties>
</file>