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5453DB7-C48A-47BB-B5BF-EF3EEAE53E42}" xr6:coauthVersionLast="45" xr6:coauthVersionMax="45" xr10:uidLastSave="{00000000-0000-0000-0000-000000000000}"/>
  <bookViews>
    <workbookView xWindow="-38520" yWindow="-120" windowWidth="38640" windowHeight="21840" xr2:uid="{CBB18379-7E76-40C7-BC74-A5CF898F6A9B}"/>
  </bookViews>
  <sheets>
    <sheet name="exercise_pipeline" sheetId="2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ann" localSheetId="0">exercise_pipeline!#REF!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_gas" localSheetId="0">exercise_pipeline!#REF!</definedName>
    <definedName name="PVTstr_" localSheetId="0">exercise_pipeline!$C$34</definedName>
    <definedName name="Pwf" localSheetId="0">exercise_pipeline!#REF!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7" i="2" l="1" a="1"/>
  <c r="K37" i="2" l="1"/>
  <c r="H41" i="2"/>
  <c r="E17" i="2" l="1"/>
  <c r="E16" i="2"/>
  <c r="E15" i="2"/>
  <c r="E14" i="2"/>
  <c r="E13" i="2"/>
  <c r="E12" i="2"/>
  <c r="E11" i="2"/>
  <c r="C34" i="2"/>
  <c r="G1" i="2"/>
  <c r="W37" i="2" a="1"/>
  <c r="W37" i="2" l="1"/>
  <c r="O29" i="2" a="1"/>
  <c r="T45" i="2" l="1"/>
  <c r="T56" i="2"/>
  <c r="T42" i="2"/>
  <c r="U54" i="2"/>
  <c r="V54" i="2" s="1"/>
  <c r="U40" i="2"/>
  <c r="V40" i="2" s="1"/>
  <c r="U46" i="2"/>
  <c r="V46" i="2" s="1"/>
  <c r="U42" i="2"/>
  <c r="V42" i="2" s="1"/>
  <c r="U48" i="2"/>
  <c r="V48" i="2" s="1"/>
  <c r="T55" i="2"/>
  <c r="U59" i="2"/>
  <c r="V59" i="2" s="1"/>
  <c r="T43" i="2"/>
  <c r="T50" i="2"/>
  <c r="U51" i="2"/>
  <c r="V51" i="2" s="1"/>
  <c r="T49" i="2"/>
  <c r="U43" i="2"/>
  <c r="V43" i="2" s="1"/>
  <c r="T41" i="2"/>
  <c r="T44" i="2"/>
  <c r="U58" i="2"/>
  <c r="V58" i="2" s="1"/>
  <c r="T58" i="2"/>
  <c r="U52" i="2"/>
  <c r="V52" i="2" s="1"/>
  <c r="T54" i="2"/>
  <c r="T40" i="2"/>
  <c r="U50" i="2"/>
  <c r="V50" i="2" s="1"/>
  <c r="U57" i="2"/>
  <c r="V57" i="2" s="1"/>
  <c r="T52" i="2"/>
  <c r="T59" i="2"/>
  <c r="T48" i="2"/>
  <c r="U49" i="2"/>
  <c r="V49" i="2" s="1"/>
  <c r="U41" i="2"/>
  <c r="V41" i="2" s="1"/>
  <c r="T53" i="2"/>
  <c r="T51" i="2"/>
  <c r="T47" i="2"/>
  <c r="U45" i="2"/>
  <c r="V45" i="2" s="1"/>
  <c r="U53" i="2"/>
  <c r="V53" i="2" s="1"/>
  <c r="U56" i="2"/>
  <c r="V56" i="2" s="1"/>
  <c r="U55" i="2"/>
  <c r="V55" i="2" s="1"/>
  <c r="T46" i="2"/>
  <c r="T57" i="2"/>
  <c r="U47" i="2"/>
  <c r="V47" i="2" s="1"/>
  <c r="U44" i="2"/>
  <c r="V44" i="2" s="1"/>
  <c r="O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3E030CE6-1819-4433-ABC2-FBA9E7FCFE0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CC4C93AA-486C-4625-85CF-7E342A94273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<sst xmlns="http://schemas.openxmlformats.org/spreadsheetml/2006/main" count="109" uniqueCount="85">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</sst>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2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0" fillId="2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" fontId="0" fillId="2" borderId="0" xfId="0" applyNumberFormat="1" applyFill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2" fillId="2" borderId="0" xfId="0" applyFont="1" applyFill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4.486842105263122</c:v>
                </c:pt>
                <c:pt idx="7">
                  <c:v>15.657894736842081</c:v>
                </c:pt>
                <c:pt idx="8">
                  <c:v>33.342105263157919</c:v>
                </c:pt>
                <c:pt idx="9">
                  <c:v>57.763157894736878</c:v>
                </c:pt>
                <c:pt idx="10">
                  <c:v>89.078947368421041</c:v>
                </c:pt>
                <c:pt idx="11">
                  <c:v>127.28947368421041</c:v>
                </c:pt>
                <c:pt idx="12">
                  <c:v>172.23684210526312</c:v>
                </c:pt>
                <c:pt idx="13">
                  <c:v>223.92105263157919</c:v>
                </c:pt>
                <c:pt idx="14">
                  <c:v>282.34210526315792</c:v>
                </c:pt>
                <c:pt idx="15">
                  <c:v>360.33834586466173</c:v>
                </c:pt>
                <c:pt idx="16">
                  <c:v>706.05263157894751</c:v>
                </c:pt>
                <c:pt idx="17">
                  <c:v>1137.3684210526321</c:v>
                </c:pt>
                <c:pt idx="18">
                  <c:v>1568.6842105263165</c:v>
                </c:pt>
                <c:pt idx="19">
                  <c:v>2000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1100.7763157894738</c:v>
                </c:pt>
                <c:pt idx="7">
                  <c:v>1273.8157894736842</c:v>
                </c:pt>
                <c:pt idx="8">
                  <c:v>1440.3421052631579</c:v>
                </c:pt>
                <c:pt idx="9">
                  <c:v>1600.1315789473686</c:v>
                </c:pt>
                <c:pt idx="10">
                  <c:v>1753.0263157894738</c:v>
                </c:pt>
                <c:pt idx="11">
                  <c:v>1899.0263157894738</c:v>
                </c:pt>
                <c:pt idx="12">
                  <c:v>2038.2894736842106</c:v>
                </c:pt>
                <c:pt idx="13">
                  <c:v>2170.8157894736842</c:v>
                </c:pt>
                <c:pt idx="14">
                  <c:v>2296.6052631578946</c:v>
                </c:pt>
                <c:pt idx="15">
                  <c:v>2402.8195488721803</c:v>
                </c:pt>
                <c:pt idx="16">
                  <c:v>2241.3157894736842</c:v>
                </c:pt>
                <c:pt idx="17">
                  <c:v>1994.2105263157891</c:v>
                </c:pt>
                <c:pt idx="18">
                  <c:v>1747.1052631578943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6E-4426-9748-EA6E661D6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6.25E-2</c:v>
                </c:pt>
                <c:pt idx="4">
                  <c:v>6.25E-2</c:v>
                </c:pt>
                <c:pt idx="5">
                  <c:v>6.25E-2</c:v>
                </c:pt>
                <c:pt idx="6">
                  <c:v>6.25E-2</c:v>
                </c:pt>
                <c:pt idx="7">
                  <c:v>6.25E-2</c:v>
                </c:pt>
                <c:pt idx="8">
                  <c:v>6.25E-2</c:v>
                </c:pt>
                <c:pt idx="9">
                  <c:v>6.25E-2</c:v>
                </c:pt>
                <c:pt idx="10">
                  <c:v>6.25E-2</c:v>
                </c:pt>
                <c:pt idx="11">
                  <c:v>6.25E-2</c:v>
                </c:pt>
                <c:pt idx="12">
                  <c:v>6.25E-2</c:v>
                </c:pt>
                <c:pt idx="13">
                  <c:v>6.25E-2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9CD-9CF1-403A275C30B4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-7.4999999999999997E-2</c:v>
                </c:pt>
                <c:pt idx="1">
                  <c:v>-7.4999999999999997E-2</c:v>
                </c:pt>
                <c:pt idx="2">
                  <c:v>-7.4999999999999997E-2</c:v>
                </c:pt>
                <c:pt idx="3">
                  <c:v>-6.25E-2</c:v>
                </c:pt>
                <c:pt idx="4">
                  <c:v>-6.25E-2</c:v>
                </c:pt>
                <c:pt idx="5">
                  <c:v>-6.25E-2</c:v>
                </c:pt>
                <c:pt idx="6">
                  <c:v>-6.25E-2</c:v>
                </c:pt>
                <c:pt idx="7">
                  <c:v>-6.25E-2</c:v>
                </c:pt>
                <c:pt idx="8">
                  <c:v>-6.25E-2</c:v>
                </c:pt>
                <c:pt idx="9">
                  <c:v>-6.25E-2</c:v>
                </c:pt>
                <c:pt idx="10">
                  <c:v>-6.25E-2</c:v>
                </c:pt>
                <c:pt idx="11">
                  <c:v>-6.25E-2</c:v>
                </c:pt>
                <c:pt idx="12">
                  <c:v>-6.25E-2</c:v>
                </c:pt>
                <c:pt idx="13">
                  <c:v>-6.25E-2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D9-49CD-9CF1-403A275C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113.59830353180004</c:v>
                </c:pt>
                <c:pt idx="1">
                  <c:v>122.49996591417279</c:v>
                </c:pt>
                <c:pt idx="2">
                  <c:v>131.39632583303447</c:v>
                </c:pt>
                <c:pt idx="3">
                  <c:v>140.28696667543332</c:v>
                </c:pt>
                <c:pt idx="4">
                  <c:v>149.17110498925919</c:v>
                </c:pt>
                <c:pt idx="5">
                  <c:v>158.04637527678557</c:v>
                </c:pt>
                <c:pt idx="6">
                  <c:v>166.73844607952509</c:v>
                </c:pt>
                <c:pt idx="7">
                  <c:v>175.06210657243395</c:v>
                </c:pt>
                <c:pt idx="8">
                  <c:v>183.04735537194398</c:v>
                </c:pt>
                <c:pt idx="9">
                  <c:v>190.68849361358647</c:v>
                </c:pt>
                <c:pt idx="10">
                  <c:v>197.98526328702022</c:v>
                </c:pt>
                <c:pt idx="11">
                  <c:v>204.94179862617852</c:v>
                </c:pt>
                <c:pt idx="12">
                  <c:v>211.56361466812064</c:v>
                </c:pt>
                <c:pt idx="13">
                  <c:v>217.8527557682676</c:v>
                </c:pt>
                <c:pt idx="14">
                  <c:v>223.81408561542489</c:v>
                </c:pt>
                <c:pt idx="15">
                  <c:v>228.51283021882901</c:v>
                </c:pt>
                <c:pt idx="16">
                  <c:v>222.87766893107695</c:v>
                </c:pt>
                <c:pt idx="17">
                  <c:v>215.27657724364693</c:v>
                </c:pt>
                <c:pt idx="18">
                  <c:v>207.64742534636395</c:v>
                </c:pt>
                <c:pt idx="19">
                  <c:v>200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34-46BF-82DD-7AF936F9CB6C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34-46BF-82DD-7AF936F9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24.624339178584997</c:v>
                </c:pt>
                <c:pt idx="1">
                  <c:v>26.595459182447737</c:v>
                </c:pt>
                <c:pt idx="2">
                  <c:v>28.642989380855855</c:v>
                </c:pt>
                <c:pt idx="3">
                  <c:v>30.812307024091989</c:v>
                </c:pt>
                <c:pt idx="4">
                  <c:v>33.175286033788247</c:v>
                </c:pt>
                <c:pt idx="5">
                  <c:v>35.84563240168918</c:v>
                </c:pt>
                <c:pt idx="6">
                  <c:v>39.015194458017035</c:v>
                </c:pt>
                <c:pt idx="7">
                  <c:v>43.057622488066635</c:v>
                </c:pt>
                <c:pt idx="8">
                  <c:v>48.536931672022682</c:v>
                </c:pt>
                <c:pt idx="9">
                  <c:v>55.420598224848021</c:v>
                </c:pt>
                <c:pt idx="10">
                  <c:v>61.77392471991994</c:v>
                </c:pt>
                <c:pt idx="11">
                  <c:v>67.023736884348367</c:v>
                </c:pt>
                <c:pt idx="12">
                  <c:v>70.742873870644104</c:v>
                </c:pt>
                <c:pt idx="13">
                  <c:v>72.208045550105922</c:v>
                </c:pt>
                <c:pt idx="14">
                  <c:v>70.19283159179156</c:v>
                </c:pt>
                <c:pt idx="15">
                  <c:v>63.095555172842964</c:v>
                </c:pt>
                <c:pt idx="16">
                  <c:v>52.392924809597055</c:v>
                </c:pt>
                <c:pt idx="17">
                  <c:v>42.401997249833499</c:v>
                </c:pt>
                <c:pt idx="18">
                  <c:v>34.528715107250846</c:v>
                </c:pt>
                <c:pt idx="19">
                  <c:v>30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C-4FB7-A0A3-C85CB1AEDD7C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29.208421052631579</c:v>
                </c:pt>
                <c:pt idx="6">
                  <c:v>31.007368421052632</c:v>
                </c:pt>
                <c:pt idx="7">
                  <c:v>32.737105263157893</c:v>
                </c:pt>
                <c:pt idx="8">
                  <c:v>34.400789473684213</c:v>
                </c:pt>
                <c:pt idx="9">
                  <c:v>40.484078947368431</c:v>
                </c:pt>
                <c:pt idx="10">
                  <c:v>48.893289473684213</c:v>
                </c:pt>
                <c:pt idx="11">
                  <c:v>56.931973684210519</c:v>
                </c:pt>
                <c:pt idx="12">
                  <c:v>64.600131578947369</c:v>
                </c:pt>
                <c:pt idx="13">
                  <c:v>71.891973684210527</c:v>
                </c:pt>
                <c:pt idx="14">
                  <c:v>78.801710526315787</c:v>
                </c:pt>
                <c:pt idx="15">
                  <c:v>83.646259398496241</c:v>
                </c:pt>
                <c:pt idx="16">
                  <c:v>75.772368421052633</c:v>
                </c:pt>
                <c:pt idx="17">
                  <c:v>62.181578947368415</c:v>
                </c:pt>
                <c:pt idx="18">
                  <c:v>48.590789473684183</c:v>
                </c:pt>
                <c:pt idx="19">
                  <c:v>35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C-4FB7-A0A3-C85CB1AEDD7C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C-4FB7-A0A3-C85CB1AE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59</xdr:row>
      <xdr:rowOff>73678</xdr:rowOff>
    </xdr:from>
    <xdr:to>
      <xdr:col>15</xdr:col>
      <xdr:colOff>259416</xdr:colOff>
      <xdr:row>83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8FAE2D-1F67-45B8-A75B-2531D1E79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59</xdr:row>
      <xdr:rowOff>62471</xdr:rowOff>
    </xdr:from>
    <xdr:to>
      <xdr:col>19</xdr:col>
      <xdr:colOff>526676</xdr:colOff>
      <xdr:row>83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CCC66FF-8C6A-44B8-B972-3E81184E6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594242</xdr:colOff>
      <xdr:row>59</xdr:row>
      <xdr:rowOff>79001</xdr:rowOff>
    </xdr:from>
    <xdr:to>
      <xdr:col>25</xdr:col>
      <xdr:colOff>262776</xdr:colOff>
      <xdr:row>83</xdr:row>
      <xdr:rowOff>55189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8153BF3-7009-4BAC-A91C-A263C3CD7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348503</xdr:colOff>
      <xdr:row>59</xdr:row>
      <xdr:rowOff>69476</xdr:rowOff>
    </xdr:from>
    <xdr:to>
      <xdr:col>31</xdr:col>
      <xdr:colOff>25213</xdr:colOff>
      <xdr:row>83</xdr:row>
      <xdr:rowOff>45664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E5B3859-E1E7-437C-97BC-206C132AD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591133</xdr:colOff>
      <xdr:row>7</xdr:row>
      <xdr:rowOff>32734</xdr:rowOff>
    </xdr:from>
    <xdr:to>
      <xdr:col>30</xdr:col>
      <xdr:colOff>399644</xdr:colOff>
      <xdr:row>26</xdr:row>
      <xdr:rowOff>87708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592A81A6-5162-4D40-ABA0-1466F805C88F}"/>
            </a:ext>
          </a:extLst>
        </xdr:cNvPr>
        <xdr:cNvGrpSpPr/>
      </xdr:nvGrpSpPr>
      <xdr:grpSpPr>
        <a:xfrm>
          <a:off x="15539780" y="1366234"/>
          <a:ext cx="3439217" cy="418994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B91C093E-E671-4795-A4B1-6169FB5857AA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CA841AD6-69FD-41B9-B6F0-D482AE0A69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39C0205-E1A0-4C30-95B8-1E7FB469428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6CA60608-2017-4F47-BBBA-E7EB5A4FABF5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CE287573-869E-47F2-90B3-4A5776BCEB79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8A52159B-D453-40DA-B6BF-8D5FA8E76D14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DB226C21-0DA9-467F-8923-11F971341D2D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45E96452-E461-4EA1-A7AA-B8F959E4FA94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2D3F5BFE-B9E3-4B17-8C2D-88F554C822B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E77D4E5-2352-48FE-95C4-2CD4B31B89BF}"/>
            </a:ext>
          </a:extLst>
        </xdr:cNvPr>
        <xdr:cNvSpPr txBox="1"/>
      </xdr:nvSpPr>
      <xdr:spPr>
        <a:xfrm>
          <a:off x="4278406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219CC5C-B40F-4EF8-86EB-9C38CAC415A8}"/>
            </a:ext>
          </a:extLst>
        </xdr:cNvPr>
        <xdr:cNvSpPr txBox="1"/>
      </xdr:nvSpPr>
      <xdr:spPr>
        <a:xfrm>
          <a:off x="906601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9" name="Стрелка: влево 18">
          <a:extLst>
            <a:ext uri="{FF2B5EF4-FFF2-40B4-BE49-F238E27FC236}">
              <a16:creationId xmlns:a16="http://schemas.microsoft.com/office/drawing/2014/main" id="{4A22E0E7-5248-4C86-A620-91D26CAD4BE5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line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4C65-9A19-4509-9DD0-9ECB930EBDEF}">
  <sheetPr codeName="Worksheet____2"/>
  <dimension ref="A1:AE69"/>
  <sheetViews>
    <sheetView tabSelected="1" topLeftCell="A19" zoomScale="85" zoomScaleNormal="85" workbookViewId="0">
      <selection activeCell="J24" sqref="J24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7.21</v>
      </c>
      <c r="H1" t="s">
        <v>59</v>
      </c>
      <c r="I1" s="39">
        <v>43948</v>
      </c>
      <c r="J1" s="40"/>
      <c r="K1" s="40"/>
      <c r="L1" s="40"/>
    </row>
    <row r="2" spans="1:12" x14ac:dyDescent="0.25">
      <c r="A2" t="s">
        <v>73</v>
      </c>
      <c r="H2" t="s">
        <v>60</v>
      </c>
      <c r="I2" s="41">
        <v>7.21</v>
      </c>
      <c r="J2" s="40"/>
      <c r="K2" s="40"/>
      <c r="L2" s="40"/>
    </row>
    <row r="3" spans="1:12" x14ac:dyDescent="0.25">
      <c r="A3" s="42" t="s">
        <v>61</v>
      </c>
      <c r="B3" s="50" t="s">
        <v>62</v>
      </c>
      <c r="C3" s="51"/>
      <c r="D3" s="51"/>
      <c r="E3" s="52"/>
      <c r="H3" t="s">
        <v>63</v>
      </c>
      <c r="I3" s="40" t="s">
        <v>62</v>
      </c>
      <c r="J3" s="40"/>
      <c r="K3" s="40"/>
      <c r="L3" s="40"/>
    </row>
    <row r="4" spans="1:12" x14ac:dyDescent="0.25">
      <c r="A4" s="42" t="s">
        <v>64</v>
      </c>
      <c r="B4" s="50" t="s">
        <v>65</v>
      </c>
      <c r="C4" s="51"/>
      <c r="D4" s="51"/>
      <c r="E4" s="52"/>
      <c r="H4" t="s">
        <v>66</v>
      </c>
      <c r="I4" s="40" t="s">
        <v>65</v>
      </c>
      <c r="J4" s="40"/>
      <c r="K4" s="40"/>
      <c r="L4" s="40"/>
    </row>
    <row r="5" spans="1:12" x14ac:dyDescent="0.25">
      <c r="A5" s="42" t="s">
        <v>67</v>
      </c>
      <c r="B5" s="50" t="s">
        <v>68</v>
      </c>
      <c r="C5" s="51"/>
      <c r="D5" s="51"/>
      <c r="E5" s="52"/>
      <c r="H5" t="s">
        <v>69</v>
      </c>
      <c r="I5" s="40" t="s">
        <v>68</v>
      </c>
      <c r="J5" s="40"/>
      <c r="K5" s="40"/>
      <c r="L5" s="40"/>
    </row>
    <row r="6" spans="1:12" x14ac:dyDescent="0.25">
      <c r="A6" s="43" t="s">
        <v>70</v>
      </c>
      <c r="B6" s="53" t="s">
        <v>71</v>
      </c>
      <c r="C6" s="54"/>
      <c r="D6" s="54"/>
      <c r="E6" s="55"/>
      <c r="H6" s="44" t="s">
        <v>72</v>
      </c>
      <c r="I6" s="45" t="s">
        <v>71</v>
      </c>
      <c r="J6" s="45"/>
      <c r="K6" s="45"/>
      <c r="L6" s="45"/>
    </row>
    <row r="7" spans="1:12" x14ac:dyDescent="0.25">
      <c r="A7" s="46"/>
      <c r="B7" s="56"/>
      <c r="C7" s="57"/>
      <c r="D7" s="57"/>
      <c r="E7" s="58"/>
      <c r="H7" s="44"/>
      <c r="I7" s="45"/>
      <c r="J7" s="45"/>
      <c r="K7" s="45"/>
      <c r="L7" s="45"/>
    </row>
    <row r="8" spans="1:12" x14ac:dyDescent="0.25">
      <c r="A8" s="47"/>
      <c r="B8" s="59"/>
      <c r="C8" s="60"/>
      <c r="D8" s="60"/>
      <c r="E8" s="61"/>
      <c r="H8" s="44"/>
      <c r="I8" s="45"/>
      <c r="J8" s="45"/>
      <c r="K8" s="45"/>
      <c r="L8" s="45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300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>
        <v>125</v>
      </c>
      <c r="D26" s="6" t="s">
        <v>50</v>
      </c>
      <c r="F26" s="48" t="s">
        <v>78</v>
      </c>
      <c r="G26" s="49"/>
      <c r="H26" s="3">
        <v>0</v>
      </c>
    </row>
    <row r="27" spans="1:19" ht="15.75" x14ac:dyDescent="0.3">
      <c r="B27" s="9" t="s">
        <v>23</v>
      </c>
      <c r="C27" s="3">
        <v>100</v>
      </c>
      <c r="D27" s="4" t="s">
        <v>24</v>
      </c>
      <c r="F27" s="48" t="s">
        <v>79</v>
      </c>
      <c r="G27" s="49"/>
      <c r="H27" s="3">
        <v>0</v>
      </c>
    </row>
    <row r="28" spans="1:19" x14ac:dyDescent="0.25">
      <c r="A28" t="s">
        <v>25</v>
      </c>
      <c r="B28" s="10"/>
      <c r="F28" s="48" t="s">
        <v>80</v>
      </c>
      <c r="G28" s="49"/>
      <c r="H28" s="3">
        <v>0</v>
      </c>
    </row>
    <row r="29" spans="1:19" x14ac:dyDescent="0.25">
      <c r="B29" s="9" t="s">
        <v>28</v>
      </c>
      <c r="C29" s="3">
        <v>200</v>
      </c>
      <c r="D29" s="6" t="s">
        <v>12</v>
      </c>
      <c r="F29" s="48" t="s">
        <v>81</v>
      </c>
      <c r="G29" s="49"/>
      <c r="H29" s="3">
        <v>0</v>
      </c>
      <c r="O29" s="36" cm="1">
        <f t="array" ref="O29:P29">[1]!MF_calibr_pipeline(qliq_,fw_,inclinometry,P0,P1_,T0,1,0,+PVTstr_,H47:I50,Hydr_corr_,E47:F52,temp_model,,,,Qgas_free,,8)</f>
        <v>-1</v>
      </c>
      <c r="P29" s="27" t="str">
        <v>error</v>
      </c>
      <c r="Q29" s="27"/>
      <c r="R29" s="27"/>
      <c r="S29" s="28"/>
    </row>
    <row r="30" spans="1:19" x14ac:dyDescent="0.25">
      <c r="B30" s="9" t="s">
        <v>29</v>
      </c>
      <c r="C30" s="11">
        <v>203</v>
      </c>
      <c r="D30" s="6" t="s">
        <v>12</v>
      </c>
      <c r="F30" s="62" t="s">
        <v>82</v>
      </c>
      <c r="G30" s="62"/>
      <c r="O30" s="33"/>
      <c r="P30" s="38"/>
      <c r="Q30" s="38"/>
      <c r="R30" s="38"/>
      <c r="S30" s="35"/>
    </row>
    <row r="31" spans="1:19" x14ac:dyDescent="0.25">
      <c r="B31" s="9" t="s">
        <v>30</v>
      </c>
      <c r="C31" s="3">
        <v>30</v>
      </c>
      <c r="D31" s="6" t="s">
        <v>31</v>
      </c>
      <c r="F31" s="48" t="s">
        <v>83</v>
      </c>
      <c r="G31" s="49"/>
      <c r="H31" s="3"/>
    </row>
    <row r="32" spans="1:19" x14ac:dyDescent="0.25">
      <c r="B32" s="9" t="s">
        <v>32</v>
      </c>
      <c r="C32" s="3">
        <v>50</v>
      </c>
      <c r="D32" s="6" t="s">
        <v>31</v>
      </c>
      <c r="F32" s="48" t="s">
        <v>84</v>
      </c>
      <c r="G32" s="49"/>
      <c r="H32" s="3"/>
    </row>
    <row r="34" spans="2:31" ht="30" x14ac:dyDescent="0.25">
      <c r="B34" s="12" t="s">
        <v>33</v>
      </c>
      <c r="C34" s="13" t="str">
        <f>[1]!PVT_encode_string(gamma_gas_,gamma_oil_,gamma_wat_,Rsb_,Rp_,Pb_,Tres_,Bob_,muob_)</f>
        <v>gamma_gas:0.800;gamma_oil:0.870;gamma_wat:1.000;rsb_m3m3:80.000;rp_m3m3:300.000;pb_atma:120.000;tres_C:100.000;bob_m3m3:1.200;muob_cP:1.000;PVTcorr:0;ksep_fr:0.000;p_ksep_atma:-1.000;t_ksep_C:-1.000;gas_only:False;</v>
      </c>
      <c r="D34" s="13"/>
      <c r="E34" s="13"/>
      <c r="F34" s="13"/>
      <c r="G34" s="13"/>
      <c r="H34" s="13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6"/>
    </row>
    <row r="36" spans="2:31" x14ac:dyDescent="0.25">
      <c r="B36" s="14" t="s">
        <v>34</v>
      </c>
      <c r="C36" s="15"/>
      <c r="D36" s="15"/>
      <c r="F36" s="14" t="s">
        <v>53</v>
      </c>
      <c r="G36" s="15"/>
      <c r="H36" s="15"/>
      <c r="K36" t="s">
        <v>55</v>
      </c>
      <c r="W36" t="s">
        <v>56</v>
      </c>
    </row>
    <row r="37" spans="2:31" ht="18" x14ac:dyDescent="0.35">
      <c r="B37" s="16" t="s">
        <v>35</v>
      </c>
      <c r="C37" s="17">
        <v>3500</v>
      </c>
      <c r="D37" s="18" t="s">
        <v>26</v>
      </c>
      <c r="K37" s="36" cm="1">
        <f t="array" ref="K37:S59">[1]!MF_p_pipeline_atma(P0,T0,E47:F50,B47:C69,H47:I59,qliq_,fw_,Qgas_free,PVTstr_,H41,+Hydr_corr_,temp_model,0.5)</f>
        <v>113.59830353180004</v>
      </c>
      <c r="L37" s="27">
        <v>24.624339178584997</v>
      </c>
      <c r="M37" s="27">
        <v>113.59830353180004</v>
      </c>
      <c r="N37" s="27">
        <v>24.624339178584997</v>
      </c>
      <c r="O37" s="27">
        <v>200</v>
      </c>
      <c r="P37" s="27">
        <v>30</v>
      </c>
      <c r="Q37" s="27">
        <v>0.5</v>
      </c>
      <c r="R37" s="27">
        <v>1</v>
      </c>
      <c r="S37" s="28">
        <v>125</v>
      </c>
      <c r="T37" s="15"/>
      <c r="U37" s="15"/>
      <c r="V37" s="15"/>
      <c r="W37" s="36" t="e" cm="1">
        <f t="array" ref="W37">[1]!MF_p_pipeline_atma(qliq_,fw_,inclinometry,P1_,T1_,0,0,PVTstr_,H47:I66,Hydr_corr_,E47:F49,tempm,,,,Qgas_free)</f>
        <v>#VALUE!</v>
      </c>
      <c r="X37" s="27"/>
      <c r="Y37" s="27"/>
      <c r="Z37" s="27"/>
      <c r="AA37" s="27"/>
      <c r="AB37" s="27"/>
      <c r="AC37" s="27"/>
      <c r="AD37" s="27"/>
      <c r="AE37" s="28"/>
    </row>
    <row r="38" spans="2:31" ht="18" x14ac:dyDescent="0.35">
      <c r="B38" s="16" t="s">
        <v>36</v>
      </c>
      <c r="C38" s="17">
        <v>2500</v>
      </c>
      <c r="D38" s="18" t="s">
        <v>37</v>
      </c>
      <c r="F38" s="24"/>
      <c r="G38" s="23" t="s">
        <v>48</v>
      </c>
      <c r="H38" s="22">
        <v>2</v>
      </c>
      <c r="K38" s="29" t="str">
        <v>p_result_atma</v>
      </c>
      <c r="L38" s="30" t="str">
        <v>t_result_C</v>
      </c>
      <c r="M38" s="30" t="str">
        <v>p_1, atma</v>
      </c>
      <c r="N38" s="30" t="str">
        <v>t_1, C</v>
      </c>
      <c r="O38" s="30" t="str">
        <v>p_2, atma</v>
      </c>
      <c r="P38" s="30" t="str">
        <v>t_2, C</v>
      </c>
      <c r="Q38" s="30" t="str">
        <v>c_calibr_grav</v>
      </c>
      <c r="R38" s="30" t="str">
        <v>c_calibr_fric</v>
      </c>
      <c r="S38" s="31" t="str">
        <v>q_gas_sm3day</v>
      </c>
      <c r="T38" s="15"/>
      <c r="U38" s="15"/>
      <c r="V38" s="15"/>
      <c r="W38" s="29"/>
      <c r="X38" s="30"/>
      <c r="Y38" s="30"/>
      <c r="Z38" s="30"/>
      <c r="AA38" s="30"/>
      <c r="AB38" s="30"/>
      <c r="AC38" s="30"/>
      <c r="AD38" s="30"/>
      <c r="AE38" s="31"/>
    </row>
    <row r="39" spans="2:31" ht="18" x14ac:dyDescent="0.35">
      <c r="B39" s="16" t="s">
        <v>38</v>
      </c>
      <c r="C39" s="17">
        <v>140</v>
      </c>
      <c r="D39" s="18" t="s">
        <v>27</v>
      </c>
      <c r="F39" s="24"/>
      <c r="G39" s="23" t="s">
        <v>46</v>
      </c>
      <c r="H39" s="22">
        <v>0</v>
      </c>
      <c r="K39" s="29" t="str">
        <v>num</v>
      </c>
      <c r="L39" s="30" t="str">
        <v>h,m</v>
      </c>
      <c r="M39" s="30" t="str">
        <v>hvert,m</v>
      </c>
      <c r="N39" s="30" t="str">
        <v>p,atma</v>
      </c>
      <c r="O39" s="30" t="str">
        <v>t,C</v>
      </c>
      <c r="P39" s="30" t="str">
        <v>Hl</v>
      </c>
      <c r="Q39" s="30" t="str">
        <v>fpat</v>
      </c>
      <c r="R39" s="30" t="str">
        <v>t_amb, C</v>
      </c>
      <c r="S39" s="31" t="str">
        <v>diam, mm</v>
      </c>
      <c r="T39" s="15" t="s">
        <v>52</v>
      </c>
      <c r="U39" s="15" t="s">
        <v>57</v>
      </c>
      <c r="V39" s="15" t="s">
        <v>58</v>
      </c>
      <c r="W39" s="29"/>
      <c r="X39" s="30"/>
      <c r="Y39" s="30"/>
      <c r="Z39" s="30"/>
      <c r="AA39" s="30"/>
      <c r="AB39" s="30"/>
      <c r="AC39" s="30"/>
      <c r="AD39" s="30"/>
      <c r="AE39" s="31"/>
    </row>
    <row r="40" spans="2:31" ht="18" x14ac:dyDescent="0.35">
      <c r="B40" s="16" t="s">
        <v>39</v>
      </c>
      <c r="C40" s="17">
        <v>65</v>
      </c>
      <c r="D40" s="18" t="s">
        <v>27</v>
      </c>
      <c r="F40" s="24"/>
      <c r="G40" s="23" t="s">
        <v>47</v>
      </c>
      <c r="H40" s="22">
        <v>0</v>
      </c>
      <c r="K40" s="29">
        <v>1</v>
      </c>
      <c r="L40" s="32">
        <v>0</v>
      </c>
      <c r="M40" s="32">
        <v>0</v>
      </c>
      <c r="N40" s="32">
        <v>113.59830353180004</v>
      </c>
      <c r="O40" s="32">
        <v>24.624339178584997</v>
      </c>
      <c r="P40" s="32">
        <v>1</v>
      </c>
      <c r="Q40" s="32">
        <v>0</v>
      </c>
      <c r="R40" s="32">
        <v>20</v>
      </c>
      <c r="S40" s="31">
        <v>0.15</v>
      </c>
      <c r="T40" s="37">
        <f t="shared" ref="T40:T59" si="0">L40-M40</f>
        <v>0</v>
      </c>
      <c r="U40" s="15">
        <f t="shared" ref="U40:U59" si="1">-S40/2</f>
        <v>-7.4999999999999997E-2</v>
      </c>
      <c r="V40" s="15">
        <f>-U40</f>
        <v>7.4999999999999997E-2</v>
      </c>
      <c r="W40" s="29"/>
      <c r="X40" s="32"/>
      <c r="Y40" s="32"/>
      <c r="Z40" s="32"/>
      <c r="AA40" s="32"/>
      <c r="AB40" s="32"/>
      <c r="AC40" s="32"/>
      <c r="AD40" s="32"/>
      <c r="AE40" s="31"/>
    </row>
    <row r="41" spans="2:31" ht="18" x14ac:dyDescent="0.35">
      <c r="B41" s="16" t="s">
        <v>40</v>
      </c>
      <c r="C41" s="17">
        <v>12</v>
      </c>
      <c r="D41" s="18" t="s">
        <v>27</v>
      </c>
      <c r="G41" s="10"/>
      <c r="H41">
        <f>calc_along_coord*10+flow_along_coord</f>
        <v>0</v>
      </c>
      <c r="K41" s="29">
        <v>2</v>
      </c>
      <c r="L41" s="32">
        <v>184.21052631578948</v>
      </c>
      <c r="M41" s="32">
        <v>184.21052631578948</v>
      </c>
      <c r="N41" s="32">
        <v>122.49996591417279</v>
      </c>
      <c r="O41" s="32">
        <v>26.595459182447737</v>
      </c>
      <c r="P41" s="32">
        <v>1</v>
      </c>
      <c r="Q41" s="32">
        <v>0</v>
      </c>
      <c r="R41" s="32">
        <v>21.842105263157894</v>
      </c>
      <c r="S41" s="31">
        <v>0.15</v>
      </c>
      <c r="T41" s="37">
        <f t="shared" si="0"/>
        <v>0</v>
      </c>
      <c r="U41" s="15">
        <f t="shared" si="1"/>
        <v>-7.4999999999999997E-2</v>
      </c>
      <c r="V41" s="15">
        <f t="shared" ref="V41:V59" si="2">-U41</f>
        <v>7.4999999999999997E-2</v>
      </c>
      <c r="W41" s="29"/>
      <c r="X41" s="32"/>
      <c r="Y41" s="32"/>
      <c r="Z41" s="32"/>
      <c r="AA41" s="32"/>
      <c r="AB41" s="32"/>
      <c r="AC41" s="32"/>
      <c r="AD41" s="32"/>
      <c r="AE41" s="31"/>
    </row>
    <row r="42" spans="2:31" x14ac:dyDescent="0.25">
      <c r="G42" s="10"/>
      <c r="K42" s="29">
        <v>3</v>
      </c>
      <c r="L42" s="32">
        <v>368.42105263157896</v>
      </c>
      <c r="M42" s="32">
        <v>368.42105263157896</v>
      </c>
      <c r="N42" s="32">
        <v>131.39632583303447</v>
      </c>
      <c r="O42" s="32">
        <v>28.642989380855855</v>
      </c>
      <c r="P42" s="32">
        <v>1</v>
      </c>
      <c r="Q42" s="32">
        <v>0</v>
      </c>
      <c r="R42" s="32">
        <v>23.684210526315791</v>
      </c>
      <c r="S42" s="31">
        <v>0.15</v>
      </c>
      <c r="T42" s="37">
        <f t="shared" si="0"/>
        <v>0</v>
      </c>
      <c r="U42" s="15">
        <f t="shared" si="1"/>
        <v>-7.4999999999999997E-2</v>
      </c>
      <c r="V42" s="15">
        <f t="shared" si="2"/>
        <v>7.4999999999999997E-2</v>
      </c>
      <c r="W42" s="29"/>
      <c r="X42" s="32"/>
      <c r="Y42" s="32"/>
      <c r="Z42" s="32"/>
      <c r="AA42" s="32"/>
      <c r="AB42" s="32"/>
      <c r="AC42" s="32"/>
      <c r="AD42" s="32"/>
      <c r="AE42" s="31"/>
    </row>
    <row r="43" spans="2:31" x14ac:dyDescent="0.25">
      <c r="G43" s="10"/>
      <c r="K43" s="29">
        <v>4</v>
      </c>
      <c r="L43" s="32">
        <v>552.63157894736844</v>
      </c>
      <c r="M43" s="32">
        <v>552.63157894736844</v>
      </c>
      <c r="N43" s="32">
        <v>140.28696667543332</v>
      </c>
      <c r="O43" s="32">
        <v>30.812307024091989</v>
      </c>
      <c r="P43" s="32">
        <v>0.99994517695387908</v>
      </c>
      <c r="Q43" s="32">
        <v>0</v>
      </c>
      <c r="R43" s="32">
        <v>25.526315789473685</v>
      </c>
      <c r="S43" s="31">
        <v>0.125</v>
      </c>
      <c r="T43" s="37">
        <f t="shared" si="0"/>
        <v>0</v>
      </c>
      <c r="U43" s="15">
        <f t="shared" si="1"/>
        <v>-6.25E-2</v>
      </c>
      <c r="V43" s="15">
        <f t="shared" si="2"/>
        <v>6.25E-2</v>
      </c>
      <c r="W43" s="29"/>
      <c r="X43" s="32"/>
      <c r="Y43" s="32"/>
      <c r="Z43" s="32"/>
      <c r="AA43" s="32"/>
      <c r="AB43" s="32"/>
      <c r="AC43" s="32"/>
      <c r="AD43" s="32"/>
      <c r="AE43" s="31"/>
    </row>
    <row r="44" spans="2:31" x14ac:dyDescent="0.25">
      <c r="B44" s="15" t="s">
        <v>41</v>
      </c>
      <c r="C44" s="15"/>
      <c r="E44" t="s">
        <v>54</v>
      </c>
      <c r="G44" s="10"/>
      <c r="H44" t="s">
        <v>51</v>
      </c>
      <c r="I44" s="10"/>
      <c r="K44" s="29">
        <v>5</v>
      </c>
      <c r="L44" s="32">
        <v>736.84210526315792</v>
      </c>
      <c r="M44" s="32">
        <v>736.84210526315792</v>
      </c>
      <c r="N44" s="32">
        <v>149.17110498925919</v>
      </c>
      <c r="O44" s="32">
        <v>33.175286033788247</v>
      </c>
      <c r="P44" s="32">
        <v>0.99989811512074067</v>
      </c>
      <c r="Q44" s="32">
        <v>3</v>
      </c>
      <c r="R44" s="32">
        <v>27.368421052631579</v>
      </c>
      <c r="S44" s="31">
        <v>0.125</v>
      </c>
      <c r="T44" s="37">
        <f t="shared" si="0"/>
        <v>0</v>
      </c>
      <c r="U44" s="15">
        <f t="shared" si="1"/>
        <v>-6.25E-2</v>
      </c>
      <c r="V44" s="15">
        <f t="shared" si="2"/>
        <v>6.25E-2</v>
      </c>
      <c r="W44" s="29"/>
      <c r="X44" s="32"/>
      <c r="Y44" s="32"/>
      <c r="Z44" s="32"/>
      <c r="AA44" s="32"/>
      <c r="AB44" s="32"/>
      <c r="AC44" s="32"/>
      <c r="AD44" s="32"/>
      <c r="AE44" s="31"/>
    </row>
    <row r="45" spans="2:31" ht="18" x14ac:dyDescent="0.35">
      <c r="B45" s="18" t="s">
        <v>42</v>
      </c>
      <c r="C45" s="18" t="s">
        <v>43</v>
      </c>
      <c r="E45" s="18" t="s">
        <v>43</v>
      </c>
      <c r="F45" s="18" t="s">
        <v>44</v>
      </c>
      <c r="G45" s="10"/>
      <c r="H45" s="18" t="s">
        <v>42</v>
      </c>
      <c r="I45" s="16" t="s">
        <v>45</v>
      </c>
      <c r="K45" s="29">
        <v>6</v>
      </c>
      <c r="L45" s="32">
        <v>921.0526315789474</v>
      </c>
      <c r="M45" s="32">
        <v>921.0526315789474</v>
      </c>
      <c r="N45" s="32">
        <v>158.04637527678557</v>
      </c>
      <c r="O45" s="32">
        <v>35.84563240168918</v>
      </c>
      <c r="P45" s="32">
        <v>0.99990047159415862</v>
      </c>
      <c r="Q45" s="32">
        <v>3</v>
      </c>
      <c r="R45" s="32">
        <v>29.208421052631579</v>
      </c>
      <c r="S45" s="31">
        <v>0.125</v>
      </c>
      <c r="T45" s="37">
        <f t="shared" si="0"/>
        <v>0</v>
      </c>
      <c r="U45" s="15">
        <f t="shared" si="1"/>
        <v>-6.25E-2</v>
      </c>
      <c r="V45" s="15">
        <f t="shared" si="2"/>
        <v>6.25E-2</v>
      </c>
      <c r="W45" s="29"/>
      <c r="X45" s="32"/>
      <c r="Y45" s="32"/>
      <c r="Z45" s="32"/>
      <c r="AA45" s="32"/>
      <c r="AB45" s="32"/>
      <c r="AC45" s="32"/>
      <c r="AD45" s="32"/>
      <c r="AE45" s="31"/>
    </row>
    <row r="46" spans="2:31" x14ac:dyDescent="0.25">
      <c r="B46" s="18" t="s">
        <v>26</v>
      </c>
      <c r="C46" s="18" t="s">
        <v>26</v>
      </c>
      <c r="E46" s="18" t="s">
        <v>26</v>
      </c>
      <c r="F46" s="18" t="s">
        <v>37</v>
      </c>
      <c r="G46" s="10"/>
      <c r="H46" s="18" t="s">
        <v>26</v>
      </c>
      <c r="I46" s="18" t="s">
        <v>27</v>
      </c>
      <c r="K46" s="29">
        <v>7</v>
      </c>
      <c r="L46" s="32">
        <v>1105.2631578947369</v>
      </c>
      <c r="M46" s="32">
        <v>1100.7763157894738</v>
      </c>
      <c r="N46" s="32">
        <v>166.73844607952509</v>
      </c>
      <c r="O46" s="32">
        <v>39.015194458017035</v>
      </c>
      <c r="P46" s="32">
        <v>0.99990190099596465</v>
      </c>
      <c r="Q46" s="32">
        <v>3</v>
      </c>
      <c r="R46" s="32">
        <v>31.007368421052632</v>
      </c>
      <c r="S46" s="31">
        <v>0.125</v>
      </c>
      <c r="T46" s="37">
        <f t="shared" si="0"/>
        <v>4.486842105263122</v>
      </c>
      <c r="U46" s="15">
        <f t="shared" si="1"/>
        <v>-6.25E-2</v>
      </c>
      <c r="V46" s="15">
        <f t="shared" si="2"/>
        <v>6.25E-2</v>
      </c>
      <c r="W46" s="29"/>
      <c r="X46" s="32"/>
      <c r="Y46" s="32"/>
      <c r="Z46" s="32"/>
      <c r="AA46" s="32"/>
      <c r="AB46" s="32"/>
      <c r="AC46" s="32"/>
      <c r="AD46" s="32"/>
      <c r="AE46" s="31"/>
    </row>
    <row r="47" spans="2:31" x14ac:dyDescent="0.25">
      <c r="B47" s="17">
        <v>0</v>
      </c>
      <c r="C47" s="17">
        <v>0</v>
      </c>
      <c r="E47" s="19">
        <v>0</v>
      </c>
      <c r="F47" s="19">
        <v>20</v>
      </c>
      <c r="G47" s="10"/>
      <c r="H47" s="19">
        <v>0</v>
      </c>
      <c r="I47" s="20">
        <v>150</v>
      </c>
      <c r="K47" s="29">
        <v>8</v>
      </c>
      <c r="L47" s="32">
        <v>1289.4736842105262</v>
      </c>
      <c r="M47" s="32">
        <v>1273.8157894736842</v>
      </c>
      <c r="N47" s="32">
        <v>175.06210657243395</v>
      </c>
      <c r="O47" s="32">
        <v>43.057622488066635</v>
      </c>
      <c r="P47" s="32">
        <v>0.99990221337127183</v>
      </c>
      <c r="Q47" s="32">
        <v>3</v>
      </c>
      <c r="R47" s="32">
        <v>32.737105263157893</v>
      </c>
      <c r="S47" s="31">
        <v>0.125</v>
      </c>
      <c r="T47" s="37">
        <f t="shared" si="0"/>
        <v>15.657894736842081</v>
      </c>
      <c r="U47" s="15">
        <f t="shared" si="1"/>
        <v>-6.25E-2</v>
      </c>
      <c r="V47" s="15">
        <f t="shared" si="2"/>
        <v>6.25E-2</v>
      </c>
      <c r="W47" s="29"/>
      <c r="X47" s="32"/>
      <c r="Y47" s="32"/>
      <c r="Z47" s="32"/>
      <c r="AA47" s="32"/>
      <c r="AB47" s="32"/>
      <c r="AC47" s="32"/>
      <c r="AD47" s="32"/>
      <c r="AE47" s="31"/>
    </row>
    <row r="48" spans="2:31" x14ac:dyDescent="0.25">
      <c r="B48" s="17">
        <v>1000</v>
      </c>
      <c r="C48" s="17">
        <v>1000</v>
      </c>
      <c r="E48" s="19">
        <v>1500</v>
      </c>
      <c r="F48" s="19">
        <v>35</v>
      </c>
      <c r="G48" s="10"/>
      <c r="H48" s="19">
        <v>550</v>
      </c>
      <c r="I48" s="20">
        <v>125</v>
      </c>
      <c r="K48" s="29">
        <v>9</v>
      </c>
      <c r="L48" s="32">
        <v>1473.6842105263158</v>
      </c>
      <c r="M48" s="32">
        <v>1440.3421052631579</v>
      </c>
      <c r="N48" s="32">
        <v>183.04735537194398</v>
      </c>
      <c r="O48" s="32">
        <v>48.536931672022682</v>
      </c>
      <c r="P48" s="32">
        <v>0.99990118220704316</v>
      </c>
      <c r="Q48" s="32">
        <v>3</v>
      </c>
      <c r="R48" s="32">
        <v>34.400789473684213</v>
      </c>
      <c r="S48" s="31">
        <v>0.125</v>
      </c>
      <c r="T48" s="37">
        <f t="shared" si="0"/>
        <v>33.342105263157919</v>
      </c>
      <c r="U48" s="15">
        <f t="shared" si="1"/>
        <v>-6.25E-2</v>
      </c>
      <c r="V48" s="15">
        <f t="shared" si="2"/>
        <v>6.25E-2</v>
      </c>
      <c r="W48" s="29"/>
      <c r="X48" s="32"/>
      <c r="Y48" s="32"/>
      <c r="Z48" s="32"/>
      <c r="AA48" s="32"/>
      <c r="AB48" s="32"/>
      <c r="AC48" s="32"/>
      <c r="AD48" s="32"/>
      <c r="AE48" s="31"/>
    </row>
    <row r="49" spans="2:31" x14ac:dyDescent="0.25">
      <c r="B49" s="17">
        <v>1100</v>
      </c>
      <c r="C49" s="17">
        <v>1096</v>
      </c>
      <c r="E49" s="19">
        <v>2500</v>
      </c>
      <c r="F49" s="19">
        <v>90</v>
      </c>
      <c r="G49" s="10"/>
      <c r="H49" s="19">
        <v>4000</v>
      </c>
      <c r="I49" s="20">
        <v>125</v>
      </c>
      <c r="K49" s="29">
        <v>10</v>
      </c>
      <c r="L49" s="32">
        <v>1657.8947368421054</v>
      </c>
      <c r="M49" s="32">
        <v>1600.1315789473686</v>
      </c>
      <c r="N49" s="32">
        <v>190.68849361358647</v>
      </c>
      <c r="O49" s="32">
        <v>55.420598224848021</v>
      </c>
      <c r="P49" s="32">
        <v>0.99989897875335854</v>
      </c>
      <c r="Q49" s="32">
        <v>3</v>
      </c>
      <c r="R49" s="32">
        <v>40.484078947368431</v>
      </c>
      <c r="S49" s="31">
        <v>0.125</v>
      </c>
      <c r="T49" s="37">
        <f t="shared" si="0"/>
        <v>57.763157894736878</v>
      </c>
      <c r="U49" s="15">
        <f t="shared" si="1"/>
        <v>-6.25E-2</v>
      </c>
      <c r="V49" s="15">
        <f t="shared" si="2"/>
        <v>6.25E-2</v>
      </c>
      <c r="W49" s="29"/>
      <c r="X49" s="32"/>
      <c r="Y49" s="32"/>
      <c r="Z49" s="32"/>
      <c r="AA49" s="32"/>
      <c r="AB49" s="32"/>
      <c r="AC49" s="32"/>
      <c r="AD49" s="32"/>
      <c r="AE49" s="31"/>
    </row>
    <row r="50" spans="2:31" x14ac:dyDescent="0.25">
      <c r="B50" s="17">
        <v>1200</v>
      </c>
      <c r="C50" s="17">
        <v>1191</v>
      </c>
      <c r="E50" s="19"/>
      <c r="F50" s="19"/>
      <c r="G50" s="10"/>
      <c r="H50" s="19"/>
      <c r="I50" s="19"/>
      <c r="K50" s="29">
        <v>11</v>
      </c>
      <c r="L50" s="32">
        <v>1842.1052631578948</v>
      </c>
      <c r="M50" s="32">
        <v>1753.0263157894738</v>
      </c>
      <c r="N50" s="32">
        <v>197.98526328702022</v>
      </c>
      <c r="O50" s="32">
        <v>61.77392471991994</v>
      </c>
      <c r="P50" s="32">
        <v>0.99989710572830404</v>
      </c>
      <c r="Q50" s="32">
        <v>3</v>
      </c>
      <c r="R50" s="32">
        <v>48.893289473684213</v>
      </c>
      <c r="S50" s="31">
        <v>0.125</v>
      </c>
      <c r="T50" s="37">
        <f t="shared" si="0"/>
        <v>89.078947368421041</v>
      </c>
      <c r="U50" s="15">
        <f t="shared" si="1"/>
        <v>-6.25E-2</v>
      </c>
      <c r="V50" s="15">
        <f t="shared" si="2"/>
        <v>6.25E-2</v>
      </c>
      <c r="W50" s="29"/>
      <c r="X50" s="32"/>
      <c r="Y50" s="32"/>
      <c r="Z50" s="32"/>
      <c r="AA50" s="32"/>
      <c r="AB50" s="32"/>
      <c r="AC50" s="32"/>
      <c r="AD50" s="32"/>
      <c r="AE50" s="31"/>
    </row>
    <row r="51" spans="2:31" x14ac:dyDescent="0.25">
      <c r="B51" s="17">
        <v>1300</v>
      </c>
      <c r="C51" s="17">
        <v>1284</v>
      </c>
      <c r="E51" s="19"/>
      <c r="F51" s="19"/>
      <c r="G51" s="10"/>
      <c r="H51" s="19"/>
      <c r="I51" s="19"/>
      <c r="K51" s="29">
        <v>12</v>
      </c>
      <c r="L51" s="32">
        <v>2026.3157894736842</v>
      </c>
      <c r="M51" s="32">
        <v>1899.0263157894738</v>
      </c>
      <c r="N51" s="32">
        <v>204.94179862617852</v>
      </c>
      <c r="O51" s="32">
        <v>67.023736884348367</v>
      </c>
      <c r="P51" s="32">
        <v>0.99989594645840374</v>
      </c>
      <c r="Q51" s="32">
        <v>3</v>
      </c>
      <c r="R51" s="32">
        <v>56.931973684210519</v>
      </c>
      <c r="S51" s="31">
        <v>0.125</v>
      </c>
      <c r="T51" s="37">
        <f t="shared" si="0"/>
        <v>127.28947368421041</v>
      </c>
      <c r="U51" s="15">
        <f t="shared" si="1"/>
        <v>-6.25E-2</v>
      </c>
      <c r="V51" s="15">
        <f t="shared" si="2"/>
        <v>6.25E-2</v>
      </c>
      <c r="W51" s="29"/>
      <c r="X51" s="32"/>
      <c r="Y51" s="32"/>
      <c r="Z51" s="32"/>
      <c r="AA51" s="32"/>
      <c r="AB51" s="32"/>
      <c r="AC51" s="32"/>
      <c r="AD51" s="32"/>
      <c r="AE51" s="31"/>
    </row>
    <row r="52" spans="2:31" x14ac:dyDescent="0.25">
      <c r="B52" s="17">
        <v>1400</v>
      </c>
      <c r="C52" s="17">
        <v>1375</v>
      </c>
      <c r="E52" s="19"/>
      <c r="F52" s="19"/>
      <c r="G52" s="10"/>
      <c r="H52" s="19"/>
      <c r="I52" s="19"/>
      <c r="K52" s="29">
        <v>13</v>
      </c>
      <c r="L52" s="32">
        <v>2210.5263157894738</v>
      </c>
      <c r="M52" s="32">
        <v>2038.2894736842106</v>
      </c>
      <c r="N52" s="32">
        <v>211.56361466812064</v>
      </c>
      <c r="O52" s="32">
        <v>70.742873870644104</v>
      </c>
      <c r="P52" s="32">
        <v>0.99989575332160263</v>
      </c>
      <c r="Q52" s="32">
        <v>3</v>
      </c>
      <c r="R52" s="32">
        <v>64.600131578947369</v>
      </c>
      <c r="S52" s="31">
        <v>0.125</v>
      </c>
      <c r="T52" s="37">
        <f t="shared" si="0"/>
        <v>172.23684210526312</v>
      </c>
      <c r="U52" s="15">
        <f t="shared" si="1"/>
        <v>-6.25E-2</v>
      </c>
      <c r="V52" s="15">
        <f t="shared" si="2"/>
        <v>6.25E-2</v>
      </c>
      <c r="W52" s="29"/>
      <c r="X52" s="32"/>
      <c r="Y52" s="32"/>
      <c r="Z52" s="32"/>
      <c r="AA52" s="32"/>
      <c r="AB52" s="32"/>
      <c r="AC52" s="32"/>
      <c r="AD52" s="32"/>
      <c r="AE52" s="31"/>
    </row>
    <row r="53" spans="2:31" x14ac:dyDescent="0.25">
      <c r="B53" s="17">
        <v>1500</v>
      </c>
      <c r="C53" s="17">
        <v>1464</v>
      </c>
      <c r="E53" s="19"/>
      <c r="F53" s="19"/>
      <c r="G53" s="10"/>
      <c r="H53" s="19"/>
      <c r="I53" s="19"/>
      <c r="K53" s="29">
        <v>14</v>
      </c>
      <c r="L53" s="32">
        <v>2394.7368421052633</v>
      </c>
      <c r="M53" s="32">
        <v>2170.8157894736842</v>
      </c>
      <c r="N53" s="32">
        <v>217.8527557682676</v>
      </c>
      <c r="O53" s="32">
        <v>72.208045550105922</v>
      </c>
      <c r="P53" s="32">
        <v>0.99989695463485728</v>
      </c>
      <c r="Q53" s="32">
        <v>3</v>
      </c>
      <c r="R53" s="32">
        <v>71.891973684210527</v>
      </c>
      <c r="S53" s="31">
        <v>0.125</v>
      </c>
      <c r="T53" s="37">
        <f t="shared" si="0"/>
        <v>223.92105263157919</v>
      </c>
      <c r="U53" s="15">
        <f t="shared" si="1"/>
        <v>-6.25E-2</v>
      </c>
      <c r="V53" s="15">
        <f t="shared" si="2"/>
        <v>6.25E-2</v>
      </c>
      <c r="W53" s="29"/>
      <c r="X53" s="32"/>
      <c r="Y53" s="32"/>
      <c r="Z53" s="32"/>
      <c r="AA53" s="32"/>
      <c r="AB53" s="32"/>
      <c r="AC53" s="32"/>
      <c r="AD53" s="32"/>
      <c r="AE53" s="31"/>
    </row>
    <row r="54" spans="2:31" x14ac:dyDescent="0.25">
      <c r="B54" s="17">
        <v>1600</v>
      </c>
      <c r="C54" s="17">
        <v>1551</v>
      </c>
      <c r="E54" s="19"/>
      <c r="F54" s="19"/>
      <c r="G54" s="10"/>
      <c r="H54" s="19"/>
      <c r="I54" s="19"/>
      <c r="K54" s="29">
        <v>15</v>
      </c>
      <c r="L54" s="32">
        <v>2578.9473684210525</v>
      </c>
      <c r="M54" s="32">
        <v>2296.6052631578946</v>
      </c>
      <c r="N54" s="32">
        <v>223.81408561542489</v>
      </c>
      <c r="O54" s="32">
        <v>70.19283159179156</v>
      </c>
      <c r="P54" s="32">
        <v>0.9999002322174726</v>
      </c>
      <c r="Q54" s="32">
        <v>3</v>
      </c>
      <c r="R54" s="32">
        <v>78.801710526315787</v>
      </c>
      <c r="S54" s="31">
        <v>0.125</v>
      </c>
      <c r="T54" s="37">
        <f t="shared" si="0"/>
        <v>282.34210526315792</v>
      </c>
      <c r="U54" s="15">
        <f t="shared" si="1"/>
        <v>-6.25E-2</v>
      </c>
      <c r="V54" s="15">
        <f t="shared" si="2"/>
        <v>6.25E-2</v>
      </c>
      <c r="W54" s="29"/>
      <c r="X54" s="32"/>
      <c r="Y54" s="32"/>
      <c r="Z54" s="32"/>
      <c r="AA54" s="32"/>
      <c r="AB54" s="32"/>
      <c r="AC54" s="32"/>
      <c r="AD54" s="32"/>
      <c r="AE54" s="31"/>
    </row>
    <row r="55" spans="2:31" x14ac:dyDescent="0.25">
      <c r="B55" s="17">
        <v>1700</v>
      </c>
      <c r="C55" s="17">
        <v>1636</v>
      </c>
      <c r="E55" s="19"/>
      <c r="F55" s="19"/>
      <c r="G55" s="10"/>
      <c r="H55" s="19"/>
      <c r="I55" s="19"/>
      <c r="K55" s="29">
        <v>16</v>
      </c>
      <c r="L55" s="32">
        <v>2763.1578947368421</v>
      </c>
      <c r="M55" s="32">
        <v>2402.8195488721803</v>
      </c>
      <c r="N55" s="32">
        <v>228.51283021882901</v>
      </c>
      <c r="O55" s="32">
        <v>63.095555172842964</v>
      </c>
      <c r="P55" s="32">
        <v>0.99990607307741763</v>
      </c>
      <c r="Q55" s="32">
        <v>3</v>
      </c>
      <c r="R55" s="32">
        <v>83.646259398496241</v>
      </c>
      <c r="S55" s="31">
        <v>0.125</v>
      </c>
      <c r="T55" s="37">
        <f t="shared" si="0"/>
        <v>360.33834586466173</v>
      </c>
      <c r="U55" s="15">
        <f t="shared" si="1"/>
        <v>-6.25E-2</v>
      </c>
      <c r="V55" s="15">
        <f t="shared" si="2"/>
        <v>6.25E-2</v>
      </c>
      <c r="W55" s="29"/>
      <c r="X55" s="32"/>
      <c r="Y55" s="32"/>
      <c r="Z55" s="32"/>
      <c r="AA55" s="32"/>
      <c r="AB55" s="32"/>
      <c r="AC55" s="32"/>
      <c r="AD55" s="32"/>
      <c r="AE55" s="31"/>
    </row>
    <row r="56" spans="2:31" x14ac:dyDescent="0.25">
      <c r="B56" s="17">
        <v>1800</v>
      </c>
      <c r="C56" s="17">
        <v>1719</v>
      </c>
      <c r="E56" s="19"/>
      <c r="F56" s="19"/>
      <c r="G56" s="10"/>
      <c r="H56" s="19"/>
      <c r="I56" s="19"/>
      <c r="K56" s="29">
        <v>17</v>
      </c>
      <c r="L56" s="32">
        <v>2947.3684210526317</v>
      </c>
      <c r="M56" s="32">
        <v>2241.3157894736842</v>
      </c>
      <c r="N56" s="32">
        <v>222.87766893107695</v>
      </c>
      <c r="O56" s="32">
        <v>52.392924809597055</v>
      </c>
      <c r="P56" s="32">
        <v>0.99991112685580297</v>
      </c>
      <c r="Q56" s="32">
        <v>3</v>
      </c>
      <c r="R56" s="32">
        <v>75.772368421052633</v>
      </c>
      <c r="S56" s="31">
        <v>0.125</v>
      </c>
      <c r="T56" s="37">
        <f t="shared" si="0"/>
        <v>706.05263157894751</v>
      </c>
      <c r="U56" s="15">
        <f t="shared" si="1"/>
        <v>-6.25E-2</v>
      </c>
      <c r="V56" s="15">
        <f t="shared" si="2"/>
        <v>6.25E-2</v>
      </c>
      <c r="W56" s="29"/>
      <c r="X56" s="32"/>
      <c r="Y56" s="32"/>
      <c r="Z56" s="32"/>
      <c r="AA56" s="32"/>
      <c r="AB56" s="32"/>
      <c r="AC56" s="32"/>
      <c r="AD56" s="32"/>
      <c r="AE56" s="31"/>
    </row>
    <row r="57" spans="2:31" x14ac:dyDescent="0.25">
      <c r="B57" s="17">
        <v>1900</v>
      </c>
      <c r="C57" s="17">
        <v>1800</v>
      </c>
      <c r="E57" s="19"/>
      <c r="F57" s="19"/>
      <c r="G57" s="10"/>
      <c r="H57" s="19"/>
      <c r="I57" s="19"/>
      <c r="K57" s="29">
        <v>18</v>
      </c>
      <c r="L57" s="32">
        <v>3131.5789473684213</v>
      </c>
      <c r="M57" s="32">
        <v>1994.2105263157891</v>
      </c>
      <c r="N57" s="32">
        <v>215.27657724364693</v>
      </c>
      <c r="O57" s="32">
        <v>42.401997249833499</v>
      </c>
      <c r="P57" s="32">
        <v>0.99991528414534581</v>
      </c>
      <c r="Q57" s="32">
        <v>3</v>
      </c>
      <c r="R57" s="32">
        <v>62.181578947368415</v>
      </c>
      <c r="S57" s="31">
        <v>0.125</v>
      </c>
      <c r="T57" s="37">
        <f t="shared" si="0"/>
        <v>1137.3684210526321</v>
      </c>
      <c r="U57" s="15">
        <f t="shared" si="1"/>
        <v>-6.25E-2</v>
      </c>
      <c r="V57" s="15">
        <f t="shared" si="2"/>
        <v>6.25E-2</v>
      </c>
      <c r="W57" s="29"/>
      <c r="X57" s="32"/>
      <c r="Y57" s="32"/>
      <c r="Z57" s="32"/>
      <c r="AA57" s="32"/>
      <c r="AB57" s="32"/>
      <c r="AC57" s="32"/>
      <c r="AD57" s="32"/>
      <c r="AE57" s="31"/>
    </row>
    <row r="58" spans="2:31" x14ac:dyDescent="0.25">
      <c r="B58" s="17">
        <v>2000</v>
      </c>
      <c r="C58" s="17">
        <v>1879</v>
      </c>
      <c r="E58" s="19"/>
      <c r="F58" s="19"/>
      <c r="G58" s="10"/>
      <c r="H58" s="19"/>
      <c r="I58" s="19"/>
      <c r="K58" s="29">
        <v>19</v>
      </c>
      <c r="L58" s="32">
        <v>3315.7894736842109</v>
      </c>
      <c r="M58" s="32">
        <v>1747.1052631578943</v>
      </c>
      <c r="N58" s="32">
        <v>207.64742534636395</v>
      </c>
      <c r="O58" s="32">
        <v>34.528715107250846</v>
      </c>
      <c r="P58" s="32">
        <v>0.99991826495717151</v>
      </c>
      <c r="Q58" s="32">
        <v>3</v>
      </c>
      <c r="R58" s="32">
        <v>48.590789473684183</v>
      </c>
      <c r="S58" s="31">
        <v>0.125</v>
      </c>
      <c r="T58" s="37">
        <f t="shared" si="0"/>
        <v>1568.6842105263165</v>
      </c>
      <c r="U58" s="15">
        <f t="shared" si="1"/>
        <v>-6.25E-2</v>
      </c>
      <c r="V58" s="15">
        <f t="shared" si="2"/>
        <v>6.25E-2</v>
      </c>
      <c r="W58" s="29"/>
      <c r="X58" s="32"/>
      <c r="Y58" s="32"/>
      <c r="Z58" s="32"/>
      <c r="AA58" s="32"/>
      <c r="AB58" s="32"/>
      <c r="AC58" s="32"/>
      <c r="AD58" s="32"/>
      <c r="AE58" s="31"/>
    </row>
    <row r="59" spans="2:31" x14ac:dyDescent="0.25">
      <c r="B59" s="17">
        <v>2100</v>
      </c>
      <c r="C59" s="17">
        <v>1956</v>
      </c>
      <c r="E59" s="19"/>
      <c r="F59" s="19"/>
      <c r="G59" s="10"/>
      <c r="H59" s="19"/>
      <c r="I59" s="19"/>
      <c r="K59" s="33">
        <v>20</v>
      </c>
      <c r="L59" s="34">
        <v>3500</v>
      </c>
      <c r="M59" s="34">
        <v>1500</v>
      </c>
      <c r="N59" s="34">
        <v>200</v>
      </c>
      <c r="O59" s="34">
        <v>30</v>
      </c>
      <c r="P59" s="34">
        <v>0.99991930769855153</v>
      </c>
      <c r="Q59" s="34">
        <v>3</v>
      </c>
      <c r="R59" s="34">
        <v>35</v>
      </c>
      <c r="S59" s="35">
        <v>0.125</v>
      </c>
      <c r="T59" s="37">
        <f t="shared" si="0"/>
        <v>2000</v>
      </c>
      <c r="U59" s="15">
        <f t="shared" si="1"/>
        <v>-6.25E-2</v>
      </c>
      <c r="V59" s="15">
        <f t="shared" si="2"/>
        <v>6.25E-2</v>
      </c>
      <c r="W59" s="33"/>
      <c r="X59" s="34"/>
      <c r="Y59" s="34"/>
      <c r="Z59" s="34"/>
      <c r="AA59" s="34"/>
      <c r="AB59" s="34"/>
      <c r="AC59" s="34"/>
      <c r="AD59" s="34"/>
      <c r="AE59" s="35"/>
    </row>
    <row r="60" spans="2:31" x14ac:dyDescent="0.25">
      <c r="B60" s="17">
        <v>2200</v>
      </c>
      <c r="C60" s="17">
        <v>2031</v>
      </c>
      <c r="E60" s="19"/>
      <c r="F60" s="19"/>
      <c r="G60" s="10"/>
      <c r="H60" s="19"/>
      <c r="I60" s="19"/>
    </row>
    <row r="61" spans="2:31" x14ac:dyDescent="0.25">
      <c r="B61" s="17">
        <v>2300</v>
      </c>
      <c r="C61" s="17">
        <v>2104</v>
      </c>
      <c r="E61" s="19"/>
      <c r="F61" s="19"/>
      <c r="G61" s="10"/>
      <c r="H61" s="19"/>
      <c r="I61" s="19"/>
    </row>
    <row r="62" spans="2:31" x14ac:dyDescent="0.25">
      <c r="B62" s="17">
        <v>2400</v>
      </c>
      <c r="C62" s="17">
        <v>2175</v>
      </c>
      <c r="E62" s="19"/>
      <c r="F62" s="19"/>
      <c r="G62" s="10"/>
      <c r="H62" s="19"/>
      <c r="I62" s="19"/>
    </row>
    <row r="63" spans="2:31" x14ac:dyDescent="0.25">
      <c r="B63" s="17">
        <v>2500</v>
      </c>
      <c r="C63" s="17">
        <v>2244</v>
      </c>
      <c r="E63" s="19"/>
      <c r="F63" s="19"/>
      <c r="G63" s="10"/>
      <c r="H63" s="19"/>
      <c r="I63" s="19"/>
    </row>
    <row r="64" spans="2:31" x14ac:dyDescent="0.25">
      <c r="B64" s="17">
        <v>2600</v>
      </c>
      <c r="C64" s="17">
        <v>2311</v>
      </c>
      <c r="E64" s="19"/>
      <c r="F64" s="19"/>
      <c r="G64" s="10"/>
      <c r="H64" s="19"/>
      <c r="I64" s="19"/>
    </row>
    <row r="65" spans="2:16" x14ac:dyDescent="0.25">
      <c r="B65" s="17">
        <v>2700</v>
      </c>
      <c r="C65" s="17">
        <v>2376</v>
      </c>
      <c r="E65" s="19"/>
      <c r="F65" s="19"/>
      <c r="G65" s="10"/>
      <c r="H65" s="19"/>
      <c r="I65" s="19"/>
    </row>
    <row r="66" spans="2:16" x14ac:dyDescent="0.25">
      <c r="B66" s="17">
        <v>2800</v>
      </c>
      <c r="C66" s="17">
        <v>2439</v>
      </c>
      <c r="E66" s="19"/>
      <c r="F66" s="19"/>
      <c r="G66" s="10"/>
      <c r="H66" s="19"/>
      <c r="I66" s="19"/>
    </row>
    <row r="67" spans="2:16" x14ac:dyDescent="0.25">
      <c r="B67" s="17">
        <v>3500</v>
      </c>
      <c r="C67" s="17">
        <v>1500</v>
      </c>
      <c r="G67" s="10"/>
    </row>
    <row r="68" spans="2:16" x14ac:dyDescent="0.25">
      <c r="B68" s="17"/>
      <c r="C68" s="17"/>
      <c r="G68" s="10"/>
      <c r="P68" s="21"/>
    </row>
    <row r="69" spans="2:16" x14ac:dyDescent="0.25">
      <c r="B69" s="17"/>
      <c r="C69" s="17"/>
      <c r="G69" s="10"/>
    </row>
  </sheetData>
  <mergeCells count="11">
    <mergeCell ref="F28:G28"/>
    <mergeCell ref="F29:G29"/>
    <mergeCell ref="F30:G30"/>
    <mergeCell ref="F31:G31"/>
    <mergeCell ref="F32:G32"/>
    <mergeCell ref="F27:G27"/>
    <mergeCell ref="B3:E3"/>
    <mergeCell ref="B4:E4"/>
    <mergeCell ref="B5:E5"/>
    <mergeCell ref="B6:E8"/>
    <mergeCell ref="F26:G2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45</vt:i4>
      </vt:variant>
    </vt:vector>
  </HeadingPairs>
  <TitlesOfParts>
    <vt:vector size="46" baseType="lpstr">
      <vt:lpstr>exercise_pipeline</vt:lpstr>
      <vt:lpstr>exercise_pipeline!Bob_</vt:lpstr>
      <vt:lpstr>exercise_pipeline!calc_along_coord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2020-04-26T21:01:26Z</dcterms:modified>
</cp:coreProperties>
</file>