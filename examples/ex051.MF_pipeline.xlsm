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C246F1DF-FEFA-4898-93FA-DB042A9A9FDF}" xr6:coauthVersionLast="46" xr6:coauthVersionMax="46" xr10:uidLastSave="{00000000-0000-0000-0000-000000000000}"/>
  <bookViews>
    <workbookView xWindow="-108" yWindow="-108" windowWidth="30936" windowHeight="16896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83" i="3" l="1" a="1"/>
  <c r="E83" i="3" l="1"/>
  <c r="E86" i="3" a="1"/>
  <c r="E86" i="3" l="1"/>
  <c r="I50" i="3" l="1"/>
  <c r="H50" i="3"/>
  <c r="E16" i="3"/>
  <c r="E15" i="3"/>
  <c r="E22" i="3"/>
  <c r="E14" i="3"/>
  <c r="E13" i="3"/>
  <c r="E12" i="3"/>
  <c r="E11" i="3"/>
  <c r="P42" i="3" a="1"/>
  <c r="C38" i="3" a="1"/>
  <c r="G1" i="3"/>
  <c r="C37" i="3" a="1"/>
  <c r="C34" i="3"/>
  <c r="P42" i="3" l="1"/>
  <c r="C38" i="3"/>
  <c r="C37" i="3"/>
  <c r="C35" i="3" a="1"/>
  <c r="C35" i="3" l="1"/>
  <c r="K46" i="3" a="1"/>
  <c r="K86" i="3" a="1"/>
  <c r="X86" i="3" a="1"/>
  <c r="X83" i="3" a="1"/>
  <c r="X51" i="3" a="1"/>
  <c r="AA51" i="3" a="1"/>
  <c r="AD51" i="3" a="1"/>
  <c r="AF61" i="3" a="1"/>
  <c r="AC61" i="3" a="1"/>
  <c r="AA61" i="3" a="1"/>
  <c r="K46" i="3" l="1"/>
  <c r="AA61" i="3"/>
  <c r="AE75" i="3"/>
  <c r="AE70" i="3"/>
  <c r="AE80" i="3"/>
  <c r="AE64" i="3"/>
  <c r="AE79" i="3"/>
  <c r="AC61" i="3"/>
  <c r="AE73" i="3"/>
  <c r="AE76" i="3"/>
  <c r="AE74" i="3"/>
  <c r="AE65" i="3"/>
  <c r="AE67" i="3"/>
  <c r="AE77" i="3"/>
  <c r="AE68" i="3"/>
  <c r="AE66" i="3"/>
  <c r="AE81" i="3"/>
  <c r="AE78" i="3"/>
  <c r="AE62" i="3"/>
  <c r="AE71" i="3"/>
  <c r="AE69" i="3"/>
  <c r="AE72" i="3"/>
  <c r="AE63" i="3"/>
  <c r="AD51" i="3"/>
  <c r="AA51" i="3"/>
  <c r="X51" i="3"/>
  <c r="X83" i="3"/>
  <c r="X86" i="3"/>
  <c r="K86" i="3"/>
  <c r="AF6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<sst xmlns="http://schemas.openxmlformats.org/spreadsheetml/2006/main" count="135" uniqueCount="98">
  <si>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</si>
  <si>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</si>
  <si>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</si>
  <si>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</si>
  <si>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</si>
  <si>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</si>
  <si>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</si>
  <si>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</si>
  <si>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</si>
  <si>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</si>
  <si>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</si>
  <si>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</si>
  <si>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</si>
  <si>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</si>
  <si>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</si>
  <si>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</si>
  <si>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</si>
  <si>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</si>
  <si>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</si>
  <si>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</si>
  <si>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</si>
  <si>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</si>
  <si>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</si>
  <si>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</si>
  <si>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</si>
  <si>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</si>
  <si>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</si>
  <si>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</si>
  <si>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</si>
  <si>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</si>
  <si>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</si>
  <si>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</si>
  <si>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</si>
  <si>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</si>
  <si>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</si>
  <si>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</si>
  <si>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</si>
  <si>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</si>
  <si>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</si>
  <si>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</si>
  <si>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</si>
  <si>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</si>
  <si>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</si>
  <si>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</si>
  <si>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</si>
  <si>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</si>
  <si>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</si>
  <si>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</si>
  <si>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</si>
  <si>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</si>
  <si>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</si>
  <si>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</si>
  <si>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</si>
  <si>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</si>
  <si>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</si>
  <si>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</si>
  <si>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</si>
  <si>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</si>
  <si>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</si>
  <si>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</si>
  <si>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</si>
  <si>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</si>
  <si>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</si>
  <si>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</si>
  <si>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</si>
  <si>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</si>
  <si>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</si>
  <si>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</si>
  <si>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</si>
  <si>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</si>
  <si>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</si>
  <si>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</si>
  <si>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</si>
  <si>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</si>
  <si>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</si>
  <si>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</si>
  <si>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</si>
  <si>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</si>
  <si>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</si>
  <si>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</si>
  <si>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</si>
  <si>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</si>
  <si>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</si>
  <si>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</si>
  <si>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</si>
  <si>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расчет по коорд</t>
  </si>
  <si>
    <t>поток по коорд</t>
  </si>
  <si>
    <t>гидро модель</t>
  </si>
  <si>
    <t>Результаты расчета</t>
  </si>
  <si>
    <t>Набор кривых 1</t>
  </si>
  <si>
    <t>Набор кривых 2</t>
  </si>
  <si>
    <t xml:space="preserve"> </t>
  </si>
  <si>
    <t>Для графиков</t>
  </si>
  <si>
    <t>Давления</t>
  </si>
  <si>
    <t>Траектория</t>
  </si>
  <si>
    <t>Температура</t>
  </si>
  <si>
    <t>Сообщения из лога расчетов</t>
  </si>
  <si>
    <t>show_log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</si>
</sst>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7" borderId="0" xfId="0" applyNumberFormat="1" applyFill="1" applyBorder="1" applyAlignment="1">
      <alignment horizontal="left"/>
    </xf>
    <xf numFmtId="0" fontId="0" fillId="0" borderId="0" xfId="0" applyFill="1" applyBorder="1"/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7" borderId="21" xfId="0" applyFill="1" applyBorder="1"/>
    <xf numFmtId="0" fontId="0" fillId="7" borderId="22" xfId="0" applyFill="1" applyBorder="1"/>
    <xf numFmtId="0" fontId="0" fillId="7" borderId="23" xfId="0" applyFill="1" applyBorder="1"/>
    <xf numFmtId="1" fontId="0" fillId="0" borderId="0" xfId="0" applyNumberFormat="1" applyAlignment="1">
      <alignment horizontal="center"/>
    </xf>
    <xf numFmtId="1" fontId="0" fillId="7" borderId="0" xfId="0" applyNumberFormat="1" applyFill="1" applyBorder="1" applyAlignment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exercise_pipeline!$AA$60</c:f>
              <c:strCache>
                <c:ptCount val="1"/>
                <c:pt idx="0">
                  <c:v>Давления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exercise_pipeline!$AB$62:$AB$81</c:f>
              <c:numCache>
                <c:formatCode>0</c:formatCode>
                <c:ptCount val="20"/>
              </c:numCache>
            </c:numRef>
          </c:xVal>
          <c:yVal>
            <c:numRef>
              <c:f>exercise_pipeline!$AA$62:$AA$81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exercise_pipeline!$AF$60</c:f>
              <c:strCache>
                <c:ptCount val="1"/>
                <c:pt idx="0">
                  <c:v>Температура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exercise_pipeline!$AG$62:$AG$81</c:f>
              <c:numCache>
                <c:formatCode>General</c:formatCode>
                <c:ptCount val="20"/>
              </c:numCache>
            </c:numRef>
          </c:xVal>
          <c:yVal>
            <c:numRef>
              <c:f>exercise_pipeline!$AF$62:$AF$81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exercise_pipeline!$AC$60</c:f>
              <c:strCache>
                <c:ptCount val="1"/>
                <c:pt idx="0">
                  <c:v>Траектория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exercise_pipeline!$AE$62:$AE$81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exercise_pipeline!$AC$62:$AC$81</c:f>
              <c:numCache>
                <c:formatCode>0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151916</xdr:colOff>
      <xdr:row>40</xdr:row>
      <xdr:rowOff>171239</xdr:rowOff>
    </xdr:from>
    <xdr:to>
      <xdr:col>31</xdr:col>
      <xdr:colOff>441646</xdr:colOff>
      <xdr:row>63</xdr:row>
      <xdr:rowOff>52177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504960</xdr:colOff>
      <xdr:row>40</xdr:row>
      <xdr:rowOff>172920</xdr:rowOff>
    </xdr:from>
    <xdr:to>
      <xdr:col>37</xdr:col>
      <xdr:colOff>174894</xdr:colOff>
      <xdr:row>63</xdr:row>
      <xdr:rowOff>53858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5730133" y="598092"/>
          <a:ext cx="4214969" cy="4757679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20</xdr:col>
      <xdr:colOff>390041</xdr:colOff>
      <xdr:row>40</xdr:row>
      <xdr:rowOff>190289</xdr:rowOff>
    </xdr:from>
    <xdr:to>
      <xdr:col>26</xdr:col>
      <xdr:colOff>13021</xdr:colOff>
      <xdr:row>63</xdr:row>
      <xdr:rowOff>71227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json"/>
      <definedName name="encode_pipe"/>
      <definedName name="encode_PVT"/>
      <definedName name="encode_t_model"/>
      <definedName name="MF_pipe_calc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F108"/>
  <sheetViews>
    <sheetView tabSelected="1" topLeftCell="A38" zoomScale="70" zoomScaleNormal="70" workbookViewId="0">
      <selection activeCell="S43" sqref="S43"/>
    </sheetView>
  </sheetViews>
  <sheetFormatPr defaultRowHeight="14.4" x14ac:dyDescent="0.3"/>
  <cols>
    <col min="2" max="2" width="14.88671875" customWidth="1"/>
    <col min="7" max="7" width="11" customWidth="1"/>
    <col min="9" max="9" width="10.44140625" customWidth="1"/>
    <col min="11" max="11" width="11.109375" bestFit="1" customWidth="1"/>
    <col min="15" max="15" width="10.6640625" bestFit="1" customWidth="1"/>
    <col min="16" max="16" width="9.5546875" bestFit="1" customWidth="1"/>
    <col min="17" max="17" width="12.5546875" customWidth="1"/>
    <col min="18" max="20" width="9.33203125" bestFit="1" customWidth="1"/>
  </cols>
  <sheetData>
    <row r="1" spans="1:12" x14ac:dyDescent="0.3">
      <c r="A1" s="1" t="s">
        <v>0</v>
      </c>
      <c r="F1" t="s">
        <v>1</v>
      </c>
      <c r="G1" t="str">
        <f>[1]!unf_Version()</f>
        <v>7.27</v>
      </c>
      <c r="H1" t="s">
        <v>54</v>
      </c>
      <c r="I1" s="24">
        <v>44304</v>
      </c>
      <c r="J1" s="25"/>
      <c r="K1" s="25"/>
      <c r="L1" s="25"/>
    </row>
    <row r="2" spans="1:12" x14ac:dyDescent="0.3">
      <c r="A2" t="s">
        <v>68</v>
      </c>
      <c r="H2" t="s">
        <v>55</v>
      </c>
      <c r="I2" s="26">
        <v>7.27</v>
      </c>
      <c r="J2" s="25"/>
      <c r="K2" s="25"/>
      <c r="L2" s="25"/>
    </row>
    <row r="3" spans="1:12" x14ac:dyDescent="0.3">
      <c r="A3" s="27" t="s">
        <v>56</v>
      </c>
      <c r="B3" s="60" t="s">
        <v>57</v>
      </c>
      <c r="C3" s="61"/>
      <c r="D3" s="61"/>
      <c r="E3" s="62"/>
      <c r="H3" t="s">
        <v>58</v>
      </c>
      <c r="I3" s="25" t="s">
        <v>57</v>
      </c>
      <c r="J3" s="25"/>
      <c r="K3" s="25"/>
      <c r="L3" s="25"/>
    </row>
    <row r="4" spans="1:12" x14ac:dyDescent="0.3">
      <c r="A4" s="27" t="s">
        <v>59</v>
      </c>
      <c r="B4" s="60" t="s">
        <v>60</v>
      </c>
      <c r="C4" s="61"/>
      <c r="D4" s="61"/>
      <c r="E4" s="62"/>
      <c r="H4" t="s">
        <v>61</v>
      </c>
      <c r="I4" s="25" t="s">
        <v>60</v>
      </c>
      <c r="J4" s="25"/>
      <c r="K4" s="25"/>
      <c r="L4" s="25"/>
    </row>
    <row r="5" spans="1:12" x14ac:dyDescent="0.3">
      <c r="A5" s="27" t="s">
        <v>62</v>
      </c>
      <c r="B5" s="60" t="s">
        <v>63</v>
      </c>
      <c r="C5" s="61"/>
      <c r="D5" s="61"/>
      <c r="E5" s="62"/>
      <c r="H5" t="s">
        <v>64</v>
      </c>
      <c r="I5" s="25" t="s">
        <v>63</v>
      </c>
      <c r="J5" s="25"/>
      <c r="K5" s="25"/>
      <c r="L5" s="25"/>
    </row>
    <row r="6" spans="1:12" x14ac:dyDescent="0.3">
      <c r="A6" s="28" t="s">
        <v>65</v>
      </c>
      <c r="B6" s="63" t="s">
        <v>66</v>
      </c>
      <c r="C6" s="64"/>
      <c r="D6" s="64"/>
      <c r="E6" s="65"/>
      <c r="H6" s="29" t="s">
        <v>67</v>
      </c>
      <c r="I6" s="30" t="s">
        <v>66</v>
      </c>
      <c r="J6" s="30"/>
      <c r="K6" s="30"/>
      <c r="L6" s="30"/>
    </row>
    <row r="7" spans="1:12" x14ac:dyDescent="0.3">
      <c r="A7" s="31"/>
      <c r="B7" s="66"/>
      <c r="C7" s="67"/>
      <c r="D7" s="67"/>
      <c r="E7" s="68"/>
      <c r="H7" s="29"/>
      <c r="I7" s="30"/>
      <c r="J7" s="30"/>
      <c r="K7" s="30"/>
      <c r="L7" s="30"/>
    </row>
    <row r="8" spans="1:12" x14ac:dyDescent="0.3">
      <c r="A8" s="32"/>
      <c r="B8" s="69"/>
      <c r="C8" s="70"/>
      <c r="D8" s="70"/>
      <c r="E8" s="71"/>
      <c r="H8" s="29"/>
      <c r="I8" s="30"/>
      <c r="J8" s="30"/>
      <c r="K8" s="30"/>
      <c r="L8" s="30"/>
    </row>
    <row r="10" spans="1:12" x14ac:dyDescent="0.3">
      <c r="A10" s="1" t="s">
        <v>2</v>
      </c>
    </row>
    <row r="11" spans="1:12" ht="16.8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6.8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6.8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6.8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5.6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5.6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17" ht="16.8" x14ac:dyDescent="0.35">
      <c r="B17" s="7" t="s">
        <v>17</v>
      </c>
      <c r="C17" s="3">
        <v>1.2</v>
      </c>
      <c r="D17" s="6" t="s">
        <v>8</v>
      </c>
    </row>
    <row r="18" spans="1:17" ht="15.6" x14ac:dyDescent="0.35">
      <c r="B18" s="9" t="s">
        <v>18</v>
      </c>
      <c r="C18" s="3">
        <v>1</v>
      </c>
      <c r="D18" s="4" t="s">
        <v>19</v>
      </c>
    </row>
    <row r="20" spans="1:17" x14ac:dyDescent="0.3">
      <c r="A20" s="1" t="s">
        <v>20</v>
      </c>
      <c r="N20" s="1" t="s">
        <v>69</v>
      </c>
    </row>
    <row r="21" spans="1:17" ht="16.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17" ht="16.8" x14ac:dyDescent="0.35">
      <c r="B22" s="7" t="s">
        <v>10</v>
      </c>
      <c r="C22" s="3">
        <v>150</v>
      </c>
      <c r="D22" s="6" t="s">
        <v>8</v>
      </c>
      <c r="E22" s="8">
        <f>Rsb_/gamma_oil_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17" ht="15.6" x14ac:dyDescent="0.35">
      <c r="B23" s="9" t="s">
        <v>23</v>
      </c>
      <c r="C23" s="3">
        <v>10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17" ht="16.8" x14ac:dyDescent="0.35">
      <c r="B24" s="9" t="s">
        <v>49</v>
      </c>
      <c r="C24" s="3">
        <v>1000</v>
      </c>
      <c r="D24" s="6" t="s">
        <v>50</v>
      </c>
    </row>
    <row r="25" spans="1:17" x14ac:dyDescent="0.3">
      <c r="F25" s="57" t="s">
        <v>73</v>
      </c>
      <c r="G25" s="58"/>
      <c r="H25" s="3">
        <v>0</v>
      </c>
    </row>
    <row r="26" spans="1:17" ht="18" customHeight="1" x14ac:dyDescent="0.3">
      <c r="F26" s="57" t="s">
        <v>74</v>
      </c>
      <c r="G26" s="58"/>
      <c r="H26" s="3">
        <v>0</v>
      </c>
    </row>
    <row r="27" spans="1:17" ht="15.75" customHeight="1" x14ac:dyDescent="0.3">
      <c r="F27" s="57" t="s">
        <v>75</v>
      </c>
      <c r="G27" s="58"/>
      <c r="H27" s="3">
        <v>0</v>
      </c>
    </row>
    <row r="28" spans="1:17" ht="15" customHeight="1" x14ac:dyDescent="0.3">
      <c r="A28" s="37" t="s">
        <v>25</v>
      </c>
      <c r="B28" s="10"/>
      <c r="F28" s="57" t="s">
        <v>76</v>
      </c>
      <c r="G28" s="58"/>
      <c r="H28" s="3">
        <v>0</v>
      </c>
    </row>
    <row r="29" spans="1:17" ht="15" customHeight="1" x14ac:dyDescent="0.3">
      <c r="B29" s="9" t="s">
        <v>28</v>
      </c>
      <c r="C29" s="33">
        <v>80</v>
      </c>
      <c r="D29" s="6" t="s">
        <v>12</v>
      </c>
      <c r="F29" s="57" t="s">
        <v>81</v>
      </c>
      <c r="G29" s="58"/>
      <c r="H29" s="3">
        <v>0</v>
      </c>
    </row>
    <row r="30" spans="1:17" x14ac:dyDescent="0.3">
      <c r="B30" s="9" t="s">
        <v>29</v>
      </c>
      <c r="C30" s="33">
        <v>180</v>
      </c>
      <c r="D30" s="6" t="s">
        <v>12</v>
      </c>
      <c r="F30" s="59" t="s">
        <v>77</v>
      </c>
      <c r="G30" s="59"/>
    </row>
    <row r="31" spans="1:17" ht="15" customHeight="1" x14ac:dyDescent="0.3">
      <c r="B31" s="9" t="s">
        <v>30</v>
      </c>
      <c r="C31" s="3">
        <v>50</v>
      </c>
      <c r="D31" s="6" t="s">
        <v>31</v>
      </c>
      <c r="F31" s="57" t="s">
        <v>78</v>
      </c>
      <c r="G31" s="58"/>
      <c r="H31" s="3">
        <v>1</v>
      </c>
    </row>
    <row r="32" spans="1:17" ht="15" customHeight="1" x14ac:dyDescent="0.3">
      <c r="B32" s="9" t="s">
        <v>32</v>
      </c>
      <c r="C32" s="3">
        <v>50</v>
      </c>
      <c r="D32" s="6" t="s">
        <v>31</v>
      </c>
      <c r="F32" s="57" t="s">
        <v>79</v>
      </c>
      <c r="G32" s="58"/>
      <c r="H32" s="3">
        <v>1</v>
      </c>
    </row>
    <row r="34" spans="1:25" x14ac:dyDescent="0.3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1"/>
    </row>
    <row r="35" spans="1:25" x14ac:dyDescent="0.3">
      <c r="B35" s="11" t="s">
        <v>82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{"gamma_gas":0.8,"gamma_oil":0.87,"gamma_wat":1,"rsb_m3m3":80,"pb_atma":120,"t_res_C":100,"bob_m3m3":1.2,"muob_cP":1,"PVT_corr_set":0,"q_liq_sm3day":40,"fw_perc":10,"rp_m3m3":150,"q_gas_free_sm3day":1000}</v>
      </c>
      <c r="D35" s="12"/>
      <c r="E35" s="12"/>
      <c r="F35" s="12"/>
      <c r="G35" s="12"/>
      <c r="H35" s="12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1"/>
    </row>
    <row r="37" spans="1:25" ht="28.8" x14ac:dyDescent="0.3">
      <c r="B37" s="11" t="s">
        <v>83</v>
      </c>
      <c r="C37" s="12" t="str" cm="1">
        <f t="array" ref="C37">[1]!encode_t_model(1,E56:F57)</f>
        <v>{"t_model":1,"t_list_C":{"curve_x":"hvert_m","curve_y":"t_C","hvert_m":[0,1500],"t_C":[20,35]}}</v>
      </c>
      <c r="D37" s="12"/>
      <c r="E37" s="12"/>
      <c r="F37" s="12"/>
      <c r="G37" s="12"/>
      <c r="H37" s="12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1"/>
    </row>
    <row r="38" spans="1:25" x14ac:dyDescent="0.3">
      <c r="B38" s="11" t="s">
        <v>84</v>
      </c>
      <c r="C38" s="12" t="str" cm="1">
        <f t="array" ref="C38">[1]!encode_pipe(B56:C68,H56:I58)</f>
        <v>{"h_list_m":{"curve_x":"hmes_m","curve_y":"hvert_m","hmes_m":[0,1000,1100,1200,1300,1400,1500,1600,1700,1800,1900,2000,2100],"hvert_m":[0,1000,1096,1191,1284,1375,1464,1551,1636,1719,1800,1879,1956]},"diam_list_mm":{"curve_x":"hmes_m","curve_y":"diam_int_mm","hmes_m":[0,2100],"diam_int_mm":[62,125]}}</v>
      </c>
      <c r="D38" s="12"/>
      <c r="E38" s="12"/>
      <c r="F38" s="12"/>
      <c r="G38" s="12"/>
      <c r="H38" s="12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1"/>
    </row>
    <row r="40" spans="1:25" ht="14.4" customHeight="1" x14ac:dyDescent="0.3">
      <c r="I40" s="42"/>
      <c r="K40" s="57" t="s">
        <v>85</v>
      </c>
      <c r="L40" s="58"/>
      <c r="M40" s="3">
        <v>1</v>
      </c>
      <c r="P40" t="s">
        <v>97</v>
      </c>
      <c r="Q40">
        <v>1</v>
      </c>
    </row>
    <row r="41" spans="1:25" ht="14.4" customHeight="1" x14ac:dyDescent="0.3">
      <c r="I41" s="42"/>
      <c r="K41" s="57" t="s">
        <v>86</v>
      </c>
      <c r="L41" s="58"/>
      <c r="M41" s="3">
        <v>0</v>
      </c>
    </row>
    <row r="42" spans="1:25" x14ac:dyDescent="0.3">
      <c r="P42" t="str" cm="1">
        <f t="array" ref="P42">[1]!encode_json(P40:Q40)</f>
        <v>{"show_log":1}</v>
      </c>
    </row>
    <row r="45" spans="1:25" ht="15" thickBot="1" x14ac:dyDescent="0.35">
      <c r="A45" s="38" t="s">
        <v>34</v>
      </c>
      <c r="B45" s="39"/>
      <c r="C45" s="39"/>
      <c r="D45" s="39"/>
      <c r="F45" s="13" t="s">
        <v>52</v>
      </c>
      <c r="G45" s="14"/>
      <c r="H45" s="14"/>
    </row>
    <row r="46" spans="1:25" ht="15.6" x14ac:dyDescent="0.35">
      <c r="B46" s="6" t="s">
        <v>35</v>
      </c>
      <c r="C46" s="40">
        <v>3500</v>
      </c>
      <c r="D46" s="41" t="s">
        <v>26</v>
      </c>
      <c r="F46" s="34"/>
      <c r="G46" s="35" t="s">
        <v>87</v>
      </c>
      <c r="H46" s="3">
        <v>1</v>
      </c>
      <c r="K46" s="47" cm="1">
        <f t="array" ref="K46:S68">[1]!MF_pipe_p_atma(P0,T0,C38,C35,C37,M40,hcor,M41,,,P42)</f>
        <v>209.43141829162275</v>
      </c>
      <c r="L46" s="48">
        <v>39.56</v>
      </c>
      <c r="M46" s="48">
        <v>80</v>
      </c>
      <c r="N46" s="48">
        <v>20</v>
      </c>
      <c r="O46" s="49">
        <v>209.43141829162275</v>
      </c>
      <c r="P46" s="44">
        <v>39.56</v>
      </c>
      <c r="Q46" s="44">
        <v>1</v>
      </c>
      <c r="R46" s="44">
        <v>1</v>
      </c>
      <c r="S46" s="44" t="str">
        <v>["set show_log=1 in param to show calc log"]</v>
      </c>
    </row>
    <row r="47" spans="1:25" ht="18" customHeight="1" x14ac:dyDescent="0.35">
      <c r="B47" s="6" t="s">
        <v>36</v>
      </c>
      <c r="C47" s="40">
        <v>2500</v>
      </c>
      <c r="D47" s="41" t="s">
        <v>37</v>
      </c>
      <c r="F47" s="34"/>
      <c r="G47" s="35" t="s">
        <v>48</v>
      </c>
      <c r="H47" s="3">
        <v>1</v>
      </c>
      <c r="K47" s="50" t="str">
        <v>p_result_atma</v>
      </c>
      <c r="L47" s="22" t="str">
        <v>t_result_C</v>
      </c>
      <c r="M47" s="22" t="str">
        <v>p_1, atma</v>
      </c>
      <c r="N47" s="22" t="str">
        <v>t_1, C</v>
      </c>
      <c r="O47" s="51" t="str">
        <v>p_2, atma</v>
      </c>
      <c r="P47" s="44" t="str">
        <v>t_2, C</v>
      </c>
      <c r="Q47" s="44" t="str">
        <v>c_calibr_grav</v>
      </c>
      <c r="R47" s="44" t="str">
        <v>c_calibr_fric</v>
      </c>
      <c r="S47" s="44" t="str">
        <v>log</v>
      </c>
    </row>
    <row r="48" spans="1:25" ht="18" customHeight="1" thickBot="1" x14ac:dyDescent="0.4">
      <c r="B48" s="6" t="s">
        <v>38</v>
      </c>
      <c r="C48" s="40">
        <v>140</v>
      </c>
      <c r="D48" s="41" t="s">
        <v>27</v>
      </c>
      <c r="F48" s="34"/>
      <c r="G48" s="35" t="s">
        <v>46</v>
      </c>
      <c r="H48" s="3">
        <v>1</v>
      </c>
      <c r="I48" s="3">
        <v>0</v>
      </c>
      <c r="K48" s="52" t="str">
        <v>num</v>
      </c>
      <c r="L48" s="53" t="str">
        <v>h,m</v>
      </c>
      <c r="M48" s="53" t="str">
        <v>hvert,m</v>
      </c>
      <c r="N48" s="53" t="str">
        <v>p,atma</v>
      </c>
      <c r="O48" s="54" t="str">
        <v>t,C</v>
      </c>
      <c r="P48" s="44" t="str">
        <v>Hl</v>
      </c>
      <c r="Q48" s="44" t="str">
        <v>fpat</v>
      </c>
      <c r="R48" s="44" t="str">
        <v>t_amb, C</v>
      </c>
      <c r="S48" s="44" t="str">
        <v>diam, m</v>
      </c>
    </row>
    <row r="49" spans="2:32" ht="18" customHeight="1" x14ac:dyDescent="0.35">
      <c r="B49" s="6" t="s">
        <v>39</v>
      </c>
      <c r="C49" s="40">
        <v>65</v>
      </c>
      <c r="D49" s="41" t="s">
        <v>27</v>
      </c>
      <c r="F49" s="34"/>
      <c r="G49" s="35" t="s">
        <v>47</v>
      </c>
      <c r="H49" s="3">
        <v>0</v>
      </c>
      <c r="I49" s="3">
        <v>0</v>
      </c>
      <c r="K49" s="44">
        <v>1</v>
      </c>
      <c r="L49" s="45">
        <v>0</v>
      </c>
      <c r="M49" s="45">
        <v>0</v>
      </c>
      <c r="N49" s="45">
        <v>80</v>
      </c>
      <c r="O49" s="45">
        <v>20</v>
      </c>
      <c r="P49" s="45">
        <v>0.64726592177108522</v>
      </c>
      <c r="Q49" s="45">
        <v>3</v>
      </c>
      <c r="R49" s="45">
        <v>20</v>
      </c>
      <c r="S49" s="44">
        <v>6.2E-2</v>
      </c>
    </row>
    <row r="50" spans="2:32" ht="18" customHeight="1" x14ac:dyDescent="0.35">
      <c r="B50" s="6" t="s">
        <v>40</v>
      </c>
      <c r="C50" s="40">
        <v>12</v>
      </c>
      <c r="D50" s="41" t="s">
        <v>27</v>
      </c>
      <c r="F50" s="34"/>
      <c r="G50" s="36" t="s">
        <v>80</v>
      </c>
      <c r="H50" s="5">
        <f>calc_along_coord*10+flow_along_coord</f>
        <v>10</v>
      </c>
      <c r="I50" s="5">
        <f>calc_along_coord1*10+flow_along_coord1</f>
        <v>0</v>
      </c>
      <c r="K50">
        <v>2</v>
      </c>
      <c r="L50">
        <v>110.52631578947368</v>
      </c>
      <c r="M50">
        <v>110.52631578947368</v>
      </c>
      <c r="N50">
        <v>86.524096626720663</v>
      </c>
      <c r="O50">
        <v>21.105263157894736</v>
      </c>
      <c r="P50">
        <v>0.6838913239426766</v>
      </c>
      <c r="Q50">
        <v>3</v>
      </c>
      <c r="R50">
        <v>21.105263157894736</v>
      </c>
      <c r="S50">
        <v>6.2E-2</v>
      </c>
      <c r="X50" t="s">
        <v>88</v>
      </c>
      <c r="Y50" s="45"/>
      <c r="Z50" s="45"/>
      <c r="AA50" t="s">
        <v>89</v>
      </c>
      <c r="AB50" s="46"/>
      <c r="AC50" s="45"/>
      <c r="AD50" s="46" t="s">
        <v>90</v>
      </c>
      <c r="AE50" s="45"/>
      <c r="AF50" s="44"/>
    </row>
    <row r="51" spans="2:32" x14ac:dyDescent="0.3">
      <c r="G51" s="10"/>
      <c r="K51">
        <v>3</v>
      </c>
      <c r="L51">
        <v>221.05263157894737</v>
      </c>
      <c r="M51">
        <v>221.05263157894737</v>
      </c>
      <c r="N51">
        <v>93.321061965732397</v>
      </c>
      <c r="O51">
        <v>22.210526315789473</v>
      </c>
      <c r="P51">
        <v>0.71006617270261219</v>
      </c>
      <c r="Q51">
        <v>3</v>
      </c>
      <c r="R51">
        <v>22.210526315789473</v>
      </c>
      <c r="S51">
        <v>6.2E-2</v>
      </c>
      <c r="X51" s="22" t="str" cm="1">
        <f t="array" ref="X51">[1]!decode_json(L46)</f>
        <v>error</v>
      </c>
      <c r="Y51" s="23"/>
      <c r="Z51" s="45"/>
      <c r="AA51" s="23" t="str" cm="1">
        <f t="array" ref="AA51">[1]!decode_json(N46)</f>
        <v>error</v>
      </c>
      <c r="AB51" s="56"/>
      <c r="AC51" s="45" t="s">
        <v>91</v>
      </c>
      <c r="AD51" s="23" t="str" cm="1">
        <f t="array" ref="AD51">[1]!decode_json(O46)</f>
        <v>error</v>
      </c>
      <c r="AE51" s="43"/>
      <c r="AF51" s="44" t="s">
        <v>91</v>
      </c>
    </row>
    <row r="52" spans="2:32" x14ac:dyDescent="0.3">
      <c r="G52" s="10"/>
      <c r="K52">
        <v>4</v>
      </c>
      <c r="L52">
        <v>331.57894736842104</v>
      </c>
      <c r="M52">
        <v>331.57894736842104</v>
      </c>
      <c r="N52">
        <v>100.30853583496892</v>
      </c>
      <c r="O52">
        <v>23.315789473684209</v>
      </c>
      <c r="P52">
        <v>0.72887471575113028</v>
      </c>
      <c r="Q52">
        <v>3</v>
      </c>
      <c r="R52">
        <v>23.315789473684209</v>
      </c>
      <c r="S52">
        <v>6.2E-2</v>
      </c>
      <c r="X52" s="22"/>
      <c r="Y52" s="23"/>
      <c r="Z52" s="45"/>
      <c r="AA52" s="23"/>
      <c r="AB52" s="56"/>
      <c r="AC52" s="45" t="s">
        <v>91</v>
      </c>
      <c r="AD52" s="23"/>
      <c r="AE52" s="23"/>
      <c r="AF52" s="44" t="s">
        <v>91</v>
      </c>
    </row>
    <row r="53" spans="2:32" x14ac:dyDescent="0.3">
      <c r="B53" s="39" t="s">
        <v>41</v>
      </c>
      <c r="C53" s="39"/>
      <c r="E53" t="s">
        <v>53</v>
      </c>
      <c r="G53" s="10"/>
      <c r="H53" t="s">
        <v>51</v>
      </c>
      <c r="I53" s="10"/>
      <c r="K53">
        <v>5</v>
      </c>
      <c r="L53">
        <v>442.10526315789474</v>
      </c>
      <c r="M53">
        <v>442.10526315789474</v>
      </c>
      <c r="N53">
        <v>107.46537452959168</v>
      </c>
      <c r="O53">
        <v>24.421052631578949</v>
      </c>
      <c r="P53">
        <v>0.74586314697400491</v>
      </c>
      <c r="Q53">
        <v>3</v>
      </c>
      <c r="R53">
        <v>24.421052631578949</v>
      </c>
      <c r="S53">
        <v>6.2E-2</v>
      </c>
      <c r="X53" s="22"/>
      <c r="Y53" s="23"/>
      <c r="Z53" s="45"/>
      <c r="AA53" s="23"/>
      <c r="AB53" s="56"/>
      <c r="AC53" s="45" t="s">
        <v>91</v>
      </c>
      <c r="AD53" s="23"/>
      <c r="AE53" s="23"/>
      <c r="AF53" s="44" t="s">
        <v>91</v>
      </c>
    </row>
    <row r="54" spans="2:32" ht="15.6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>
        <v>6</v>
      </c>
      <c r="L54">
        <v>552.63157894736844</v>
      </c>
      <c r="M54">
        <v>552.63157894736844</v>
      </c>
      <c r="N54">
        <v>114.76995686040027</v>
      </c>
      <c r="O54">
        <v>25.526315789473685</v>
      </c>
      <c r="P54">
        <v>0.76039394625843026</v>
      </c>
      <c r="Q54">
        <v>3</v>
      </c>
      <c r="R54">
        <v>25.526315789473685</v>
      </c>
      <c r="S54">
        <v>6.2E-2</v>
      </c>
      <c r="X54" s="22"/>
      <c r="Y54" s="23"/>
      <c r="Z54" s="45"/>
      <c r="AA54" s="23"/>
      <c r="AB54" s="56"/>
      <c r="AC54" s="45" t="s">
        <v>91</v>
      </c>
      <c r="AD54" s="23"/>
      <c r="AE54" s="23"/>
      <c r="AF54" s="44" t="s">
        <v>91</v>
      </c>
    </row>
    <row r="55" spans="2:32" x14ac:dyDescent="0.3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>
        <v>7</v>
      </c>
      <c r="L55">
        <v>663.15789473684208</v>
      </c>
      <c r="M55">
        <v>663.15789473684208</v>
      </c>
      <c r="N55">
        <v>122.20211493016221</v>
      </c>
      <c r="O55">
        <v>26.631578947368421</v>
      </c>
      <c r="P55">
        <v>0.77267179966134014</v>
      </c>
      <c r="Q55">
        <v>3</v>
      </c>
      <c r="R55">
        <v>26.631578947368421</v>
      </c>
      <c r="S55">
        <v>6.2E-2</v>
      </c>
      <c r="X55" s="22"/>
      <c r="Y55" s="23"/>
      <c r="Z55" s="45"/>
      <c r="AA55" s="23"/>
      <c r="AB55" s="56"/>
      <c r="AC55" s="45" t="s">
        <v>91</v>
      </c>
      <c r="AD55" s="23"/>
      <c r="AE55" s="23"/>
      <c r="AF55" s="44" t="s">
        <v>91</v>
      </c>
    </row>
    <row r="56" spans="2:32" x14ac:dyDescent="0.3">
      <c r="B56" s="16">
        <v>0</v>
      </c>
      <c r="C56" s="16">
        <v>0</v>
      </c>
      <c r="E56" s="18">
        <v>0</v>
      </c>
      <c r="F56" s="18">
        <v>20</v>
      </c>
      <c r="G56" s="10"/>
      <c r="H56" s="18">
        <v>0</v>
      </c>
      <c r="I56" s="19">
        <v>62</v>
      </c>
      <c r="K56">
        <v>8</v>
      </c>
      <c r="L56">
        <v>773.68421052631584</v>
      </c>
      <c r="M56">
        <v>773.68421052631584</v>
      </c>
      <c r="N56">
        <v>129.73833329371442</v>
      </c>
      <c r="O56">
        <v>27.736842105263158</v>
      </c>
      <c r="P56">
        <v>0.78303836120306058</v>
      </c>
      <c r="Q56">
        <v>3</v>
      </c>
      <c r="R56">
        <v>27.736842105263158</v>
      </c>
      <c r="S56">
        <v>6.2E-2</v>
      </c>
      <c r="X56" s="22"/>
      <c r="Y56" s="23"/>
      <c r="Z56" s="45"/>
      <c r="AA56" s="23"/>
      <c r="AB56" s="56"/>
      <c r="AC56" s="45" t="s">
        <v>91</v>
      </c>
      <c r="AD56" s="23"/>
      <c r="AE56" s="23"/>
      <c r="AF56" s="44" t="s">
        <v>91</v>
      </c>
    </row>
    <row r="57" spans="2:32" x14ac:dyDescent="0.3">
      <c r="B57" s="16">
        <v>1000</v>
      </c>
      <c r="C57" s="16">
        <v>1000</v>
      </c>
      <c r="E57" s="18">
        <v>1500</v>
      </c>
      <c r="F57" s="18">
        <v>35</v>
      </c>
      <c r="G57" s="10"/>
      <c r="H57" s="18">
        <v>2500</v>
      </c>
      <c r="I57" s="19">
        <v>125</v>
      </c>
      <c r="K57">
        <v>9</v>
      </c>
      <c r="L57">
        <v>884.21052631578948</v>
      </c>
      <c r="M57">
        <v>884.21052631578948</v>
      </c>
      <c r="N57">
        <v>137.36209828483348</v>
      </c>
      <c r="O57">
        <v>28.842105263157894</v>
      </c>
      <c r="P57">
        <v>0.79175493198976266</v>
      </c>
      <c r="Q57">
        <v>3</v>
      </c>
      <c r="R57">
        <v>28.842105263157894</v>
      </c>
      <c r="S57">
        <v>6.2E-2</v>
      </c>
      <c r="X57" s="22"/>
      <c r="Y57" s="23"/>
      <c r="Z57" s="45"/>
      <c r="AA57" s="23"/>
      <c r="AB57" s="56"/>
      <c r="AC57" s="45" t="s">
        <v>91</v>
      </c>
      <c r="AD57" s="23"/>
      <c r="AE57" s="23"/>
      <c r="AF57" s="44" t="s">
        <v>91</v>
      </c>
    </row>
    <row r="58" spans="2:32" x14ac:dyDescent="0.3">
      <c r="B58" s="16">
        <v>1100</v>
      </c>
      <c r="C58" s="16">
        <v>1096</v>
      </c>
      <c r="E58" s="18">
        <v>2500</v>
      </c>
      <c r="F58" s="18">
        <v>90</v>
      </c>
      <c r="G58" s="10"/>
      <c r="H58" s="18">
        <v>4000</v>
      </c>
      <c r="I58" s="19">
        <v>125</v>
      </c>
      <c r="K58">
        <v>10</v>
      </c>
      <c r="L58">
        <v>994.73684210526312</v>
      </c>
      <c r="M58">
        <v>994.73684210526312</v>
      </c>
      <c r="N58">
        <v>144.74903228970254</v>
      </c>
      <c r="O58">
        <v>29.94736842105263</v>
      </c>
      <c r="P58">
        <v>0.73998535316836977</v>
      </c>
      <c r="Q58">
        <v>3</v>
      </c>
      <c r="R58">
        <v>29.94736842105263</v>
      </c>
      <c r="S58">
        <v>6.2E-2</v>
      </c>
      <c r="X58" s="22"/>
      <c r="Y58" s="23"/>
      <c r="Z58" s="45"/>
      <c r="AA58" s="45"/>
      <c r="AB58" s="45"/>
      <c r="AC58" s="45"/>
      <c r="AD58" s="45"/>
      <c r="AE58" s="45"/>
      <c r="AF58" s="44"/>
    </row>
    <row r="59" spans="2:32" x14ac:dyDescent="0.3">
      <c r="B59" s="16">
        <v>1200</v>
      </c>
      <c r="C59" s="16">
        <v>1191</v>
      </c>
      <c r="E59" s="18"/>
      <c r="F59" s="18"/>
      <c r="G59" s="10"/>
      <c r="H59" s="18"/>
      <c r="I59" s="18"/>
      <c r="K59">
        <v>11</v>
      </c>
      <c r="L59">
        <v>1105.2631578947369</v>
      </c>
      <c r="M59">
        <v>1101</v>
      </c>
      <c r="N59">
        <v>151.76916693348832</v>
      </c>
      <c r="O59">
        <v>31.01</v>
      </c>
      <c r="P59">
        <v>0.74422544535011637</v>
      </c>
      <c r="Q59">
        <v>3</v>
      </c>
      <c r="R59">
        <v>31.01</v>
      </c>
      <c r="S59">
        <v>6.2E-2</v>
      </c>
      <c r="X59" s="22"/>
      <c r="Y59" s="23"/>
      <c r="Z59" s="45"/>
      <c r="AA59" s="46" t="s">
        <v>92</v>
      </c>
      <c r="AB59" s="45"/>
      <c r="AC59" s="45"/>
      <c r="AD59" s="45"/>
      <c r="AE59" s="45"/>
      <c r="AF59" s="44"/>
    </row>
    <row r="60" spans="2:32" x14ac:dyDescent="0.3">
      <c r="B60" s="16">
        <v>1300</v>
      </c>
      <c r="C60" s="16">
        <v>1284</v>
      </c>
      <c r="E60" s="18"/>
      <c r="F60" s="18"/>
      <c r="G60" s="10"/>
      <c r="H60" s="18"/>
      <c r="I60" s="18"/>
      <c r="K60">
        <v>12</v>
      </c>
      <c r="L60">
        <v>1215.7894736842106</v>
      </c>
      <c r="M60">
        <v>1205.6842105263158</v>
      </c>
      <c r="N60">
        <v>158.7083966671068</v>
      </c>
      <c r="O60">
        <v>32.056842105263158</v>
      </c>
      <c r="P60">
        <v>0.74939127991073418</v>
      </c>
      <c r="Q60">
        <v>3</v>
      </c>
      <c r="R60">
        <v>32.056842105263158</v>
      </c>
      <c r="S60">
        <v>6.2E-2</v>
      </c>
      <c r="X60" s="44"/>
      <c r="Y60" s="45"/>
      <c r="Z60" s="45"/>
      <c r="AA60" t="s">
        <v>93</v>
      </c>
      <c r="AB60" s="45"/>
      <c r="AC60" s="46" t="s">
        <v>94</v>
      </c>
      <c r="AD60" s="45"/>
      <c r="AF60" s="45" t="s">
        <v>95</v>
      </c>
    </row>
    <row r="61" spans="2:32" x14ac:dyDescent="0.3">
      <c r="B61" s="16">
        <v>1400</v>
      </c>
      <c r="C61" s="16">
        <v>1375</v>
      </c>
      <c r="E61" s="18"/>
      <c r="F61" s="18"/>
      <c r="G61" s="10"/>
      <c r="H61" s="18"/>
      <c r="I61" s="18"/>
      <c r="K61">
        <v>13</v>
      </c>
      <c r="L61">
        <v>1326.3157894736842</v>
      </c>
      <c r="M61">
        <v>1307.9473684210525</v>
      </c>
      <c r="N61">
        <v>165.52683429790588</v>
      </c>
      <c r="O61">
        <v>33.079473684210527</v>
      </c>
      <c r="P61">
        <v>0.75388826175550694</v>
      </c>
      <c r="Q61">
        <v>3</v>
      </c>
      <c r="R61">
        <v>33.079473684210527</v>
      </c>
      <c r="S61">
        <v>6.2E-2</v>
      </c>
      <c r="X61" s="44"/>
      <c r="Y61" s="45"/>
      <c r="Z61" s="45"/>
      <c r="AA61" s="45" t="str" cm="1">
        <f t="array" ref="AA61">[1]!decode_json_crv(AB51)</f>
        <v>error</v>
      </c>
      <c r="AB61" s="45"/>
      <c r="AC61" s="45" t="str" cm="1">
        <f t="array" ref="AC61">[1]!decode_json_crv(AB52)</f>
        <v>error</v>
      </c>
      <c r="AD61" s="45"/>
      <c r="AE61" s="45"/>
      <c r="AF61" s="44" t="str" cm="1">
        <f t="array" ref="AF61">[1]!decode_json_crv(AB53)</f>
        <v>error</v>
      </c>
    </row>
    <row r="62" spans="2:32" x14ac:dyDescent="0.3">
      <c r="B62" s="16">
        <v>1500</v>
      </c>
      <c r="C62" s="16">
        <v>1464</v>
      </c>
      <c r="E62" s="18"/>
      <c r="F62" s="18"/>
      <c r="G62" s="10"/>
      <c r="H62" s="18"/>
      <c r="I62" s="18"/>
      <c r="K62">
        <v>14</v>
      </c>
      <c r="L62">
        <v>1436.8421052631579</v>
      </c>
      <c r="M62">
        <v>1407.7894736842106</v>
      </c>
      <c r="N62">
        <v>172.21727973551972</v>
      </c>
      <c r="O62">
        <v>34.077894736842104</v>
      </c>
      <c r="P62">
        <v>0.75783034134695781</v>
      </c>
      <c r="Q62">
        <v>3</v>
      </c>
      <c r="R62">
        <v>34.077894736842104</v>
      </c>
      <c r="S62">
        <v>6.2E-2</v>
      </c>
      <c r="X62" s="44"/>
      <c r="Y62" s="45"/>
      <c r="Z62" s="45"/>
      <c r="AA62" s="45"/>
      <c r="AB62" s="45"/>
      <c r="AC62" s="45"/>
      <c r="AD62" s="45"/>
      <c r="AE62" s="45">
        <f>AC62-AD62</f>
        <v>0</v>
      </c>
      <c r="AF62" s="44"/>
    </row>
    <row r="63" spans="2:32" x14ac:dyDescent="0.3">
      <c r="B63" s="16">
        <v>1600</v>
      </c>
      <c r="C63" s="16">
        <v>1551</v>
      </c>
      <c r="E63" s="18"/>
      <c r="F63" s="18"/>
      <c r="G63" s="10"/>
      <c r="H63" s="18"/>
      <c r="I63" s="18"/>
      <c r="K63">
        <v>15</v>
      </c>
      <c r="L63">
        <v>1547.3684210526317</v>
      </c>
      <c r="M63">
        <v>1505.2105263157896</v>
      </c>
      <c r="N63">
        <v>178.77370458588624</v>
      </c>
      <c r="O63">
        <v>35.052105263157898</v>
      </c>
      <c r="P63">
        <v>0.76130976169670239</v>
      </c>
      <c r="Q63">
        <v>3</v>
      </c>
      <c r="R63">
        <v>35.052105263157898</v>
      </c>
      <c r="S63">
        <v>6.2E-2</v>
      </c>
      <c r="X63" s="44"/>
      <c r="Y63" s="45"/>
      <c r="Z63" s="45"/>
      <c r="AA63" s="45"/>
      <c r="AB63" s="45"/>
      <c r="AC63" s="45"/>
      <c r="AD63" s="45"/>
      <c r="AE63" s="45">
        <f t="shared" ref="AE63:AE81" si="0">AC63-AD63</f>
        <v>0</v>
      </c>
      <c r="AF63" s="44"/>
    </row>
    <row r="64" spans="2:32" x14ac:dyDescent="0.3">
      <c r="B64" s="16">
        <v>1700</v>
      </c>
      <c r="C64" s="16">
        <v>1636</v>
      </c>
      <c r="E64" s="18"/>
      <c r="F64" s="18"/>
      <c r="G64" s="10"/>
      <c r="H64" s="18"/>
      <c r="I64" s="18"/>
      <c r="K64">
        <v>16</v>
      </c>
      <c r="L64">
        <v>1657.8947368421052</v>
      </c>
      <c r="M64">
        <v>1600.2105263157894</v>
      </c>
      <c r="N64">
        <v>185.18639581961918</v>
      </c>
      <c r="O64">
        <v>36.002105263157894</v>
      </c>
      <c r="P64">
        <v>0.76438951417352541</v>
      </c>
      <c r="Q64">
        <v>3</v>
      </c>
      <c r="R64">
        <v>36.002105263157894</v>
      </c>
      <c r="S64">
        <v>6.2E-2</v>
      </c>
      <c r="X64" s="44"/>
      <c r="Y64" s="45"/>
      <c r="Z64" s="45"/>
      <c r="AA64" s="45"/>
      <c r="AB64" s="45"/>
      <c r="AC64" s="45"/>
      <c r="AD64" s="45"/>
      <c r="AE64" s="45">
        <f t="shared" si="0"/>
        <v>0</v>
      </c>
      <c r="AF64" s="44"/>
    </row>
    <row r="65" spans="2:32" x14ac:dyDescent="0.3">
      <c r="B65" s="16">
        <v>1800</v>
      </c>
      <c r="C65" s="16">
        <v>1719</v>
      </c>
      <c r="E65" s="18"/>
      <c r="F65" s="18"/>
      <c r="G65" s="10"/>
      <c r="H65" s="18"/>
      <c r="I65" s="18"/>
      <c r="K65">
        <v>17</v>
      </c>
      <c r="L65">
        <v>1768.421052631579</v>
      </c>
      <c r="M65">
        <v>1692.7894736842106</v>
      </c>
      <c r="N65">
        <v>191.45397337370173</v>
      </c>
      <c r="O65">
        <v>36.927894736842106</v>
      </c>
      <c r="P65">
        <v>0.76714121123559931</v>
      </c>
      <c r="Q65">
        <v>3</v>
      </c>
      <c r="R65">
        <v>36.927894736842106</v>
      </c>
      <c r="S65">
        <v>6.2E-2</v>
      </c>
      <c r="X65" s="44"/>
      <c r="Y65" s="45"/>
      <c r="Z65" s="45"/>
      <c r="AA65" s="45"/>
      <c r="AB65" s="45"/>
      <c r="AC65" s="45"/>
      <c r="AD65" s="45"/>
      <c r="AE65" s="45">
        <f t="shared" si="0"/>
        <v>0</v>
      </c>
      <c r="AF65" s="44"/>
    </row>
    <row r="66" spans="2:32" x14ac:dyDescent="0.3">
      <c r="B66" s="16">
        <v>1900</v>
      </c>
      <c r="C66" s="16">
        <v>1800</v>
      </c>
      <c r="E66" s="18"/>
      <c r="F66" s="18"/>
      <c r="G66" s="10"/>
      <c r="H66" s="18"/>
      <c r="I66" s="18"/>
      <c r="K66">
        <v>18</v>
      </c>
      <c r="L66">
        <v>1878.9473684210527</v>
      </c>
      <c r="M66">
        <v>1782.9473684210527</v>
      </c>
      <c r="N66">
        <v>197.57443083311597</v>
      </c>
      <c r="O66">
        <v>37.829473684210527</v>
      </c>
      <c r="P66">
        <v>0.76961721080181078</v>
      </c>
      <c r="Q66">
        <v>3</v>
      </c>
      <c r="R66">
        <v>37.829473684210527</v>
      </c>
      <c r="S66">
        <v>6.2E-2</v>
      </c>
      <c r="X66" s="44"/>
      <c r="Y66" s="45"/>
      <c r="Z66" s="45"/>
      <c r="AA66" s="45"/>
      <c r="AB66" s="45"/>
      <c r="AC66" s="45"/>
      <c r="AD66" s="45"/>
      <c r="AE66" s="45">
        <f t="shared" si="0"/>
        <v>0</v>
      </c>
      <c r="AF66" s="44"/>
    </row>
    <row r="67" spans="2:32" x14ac:dyDescent="0.3">
      <c r="B67" s="16">
        <v>2000</v>
      </c>
      <c r="C67" s="16">
        <v>1879</v>
      </c>
      <c r="E67" s="18"/>
      <c r="F67" s="18"/>
      <c r="G67" s="10"/>
      <c r="H67" s="18"/>
      <c r="I67" s="18"/>
      <c r="K67">
        <v>19</v>
      </c>
      <c r="L67">
        <v>1989.4736842105262</v>
      </c>
      <c r="M67">
        <v>1870.6842105263158</v>
      </c>
      <c r="N67">
        <v>203.54476938368259</v>
      </c>
      <c r="O67">
        <v>38.706842105263156</v>
      </c>
      <c r="P67">
        <v>0.77185653602235504</v>
      </c>
      <c r="Q67">
        <v>3</v>
      </c>
      <c r="R67">
        <v>38.706842105263156</v>
      </c>
      <c r="S67">
        <v>6.2E-2</v>
      </c>
      <c r="X67" s="44"/>
      <c r="Y67" s="45"/>
      <c r="Z67" s="45"/>
      <c r="AA67" s="45"/>
      <c r="AB67" s="45"/>
      <c r="AC67" s="45"/>
      <c r="AD67" s="45"/>
      <c r="AE67" s="45">
        <f t="shared" si="0"/>
        <v>0</v>
      </c>
      <c r="AF67" s="44"/>
    </row>
    <row r="68" spans="2:32" x14ac:dyDescent="0.3">
      <c r="B68" s="16">
        <v>2100</v>
      </c>
      <c r="C68" s="16">
        <v>1956</v>
      </c>
      <c r="E68" s="18"/>
      <c r="F68" s="18"/>
      <c r="G68" s="10"/>
      <c r="H68" s="18"/>
      <c r="I68" s="18"/>
      <c r="K68">
        <v>20</v>
      </c>
      <c r="L68">
        <v>2100</v>
      </c>
      <c r="M68">
        <v>1956</v>
      </c>
      <c r="N68">
        <v>209.43141829162275</v>
      </c>
      <c r="O68">
        <v>39.56</v>
      </c>
      <c r="P68">
        <v>0.77392407246762007</v>
      </c>
      <c r="Q68">
        <v>3</v>
      </c>
      <c r="R68">
        <v>39.56</v>
      </c>
      <c r="S68">
        <v>0.125</v>
      </c>
      <c r="X68" s="44"/>
      <c r="Y68" s="45"/>
      <c r="Z68" s="45"/>
      <c r="AA68" s="45"/>
      <c r="AB68" s="45"/>
      <c r="AC68" s="45"/>
      <c r="AD68" s="45"/>
      <c r="AE68" s="45">
        <f t="shared" si="0"/>
        <v>0</v>
      </c>
      <c r="AF68" s="44"/>
    </row>
    <row r="69" spans="2:32" x14ac:dyDescent="0.3">
      <c r="B69" s="16">
        <v>2200</v>
      </c>
      <c r="C69" s="16">
        <v>2031</v>
      </c>
      <c r="E69" s="18"/>
      <c r="F69" s="18"/>
      <c r="G69" s="10"/>
      <c r="H69" s="18"/>
      <c r="I69" s="18"/>
      <c r="AA69" s="45"/>
      <c r="AB69" s="45"/>
      <c r="AC69" s="55"/>
      <c r="AD69" s="55"/>
      <c r="AE69" s="45">
        <f t="shared" si="0"/>
        <v>0</v>
      </c>
    </row>
    <row r="70" spans="2:32" x14ac:dyDescent="0.3">
      <c r="B70" s="16">
        <v>2300</v>
      </c>
      <c r="C70" s="16">
        <v>2104</v>
      </c>
      <c r="E70" s="18"/>
      <c r="F70" s="18"/>
      <c r="G70" s="10"/>
      <c r="H70" s="18"/>
      <c r="I70" s="18"/>
      <c r="AA70" s="45"/>
      <c r="AB70" s="45"/>
      <c r="AC70" s="55"/>
      <c r="AD70" s="55"/>
      <c r="AE70" s="45">
        <f t="shared" si="0"/>
        <v>0</v>
      </c>
    </row>
    <row r="71" spans="2:32" x14ac:dyDescent="0.3">
      <c r="B71" s="16">
        <v>2400</v>
      </c>
      <c r="C71" s="16">
        <v>2175</v>
      </c>
      <c r="E71" s="18"/>
      <c r="F71" s="18"/>
      <c r="G71" s="10"/>
      <c r="H71" s="18"/>
      <c r="I71" s="18"/>
      <c r="AA71" s="45"/>
      <c r="AB71" s="45"/>
      <c r="AC71" s="55"/>
      <c r="AD71" s="55"/>
      <c r="AE71" s="45">
        <f t="shared" si="0"/>
        <v>0</v>
      </c>
    </row>
    <row r="72" spans="2:32" x14ac:dyDescent="0.3">
      <c r="B72" s="16">
        <v>2500</v>
      </c>
      <c r="C72" s="16">
        <v>2244</v>
      </c>
      <c r="E72" s="18"/>
      <c r="F72" s="18"/>
      <c r="G72" s="10"/>
      <c r="H72" s="18"/>
      <c r="I72" s="18"/>
      <c r="AA72" s="45"/>
      <c r="AB72" s="45"/>
      <c r="AC72" s="55"/>
      <c r="AD72" s="55"/>
      <c r="AE72" s="45">
        <f t="shared" si="0"/>
        <v>0</v>
      </c>
    </row>
    <row r="73" spans="2:32" x14ac:dyDescent="0.3">
      <c r="B73" s="16">
        <v>2600</v>
      </c>
      <c r="C73" s="16">
        <v>2311</v>
      </c>
      <c r="E73" s="18"/>
      <c r="F73" s="18"/>
      <c r="G73" s="10"/>
      <c r="H73" s="18"/>
      <c r="I73" s="18"/>
      <c r="AA73" s="45"/>
      <c r="AB73" s="45"/>
      <c r="AC73" s="55"/>
      <c r="AD73" s="55"/>
      <c r="AE73" s="45">
        <f t="shared" si="0"/>
        <v>0</v>
      </c>
    </row>
    <row r="74" spans="2:32" x14ac:dyDescent="0.3">
      <c r="B74" s="16">
        <v>2700</v>
      </c>
      <c r="C74" s="16">
        <v>2376</v>
      </c>
      <c r="E74" s="18"/>
      <c r="F74" s="18"/>
      <c r="G74" s="10"/>
      <c r="H74" s="18"/>
      <c r="I74" s="18"/>
      <c r="AA74" s="45"/>
      <c r="AB74" s="45"/>
      <c r="AC74" s="55"/>
      <c r="AD74" s="55"/>
      <c r="AE74" s="45">
        <f t="shared" si="0"/>
        <v>0</v>
      </c>
    </row>
    <row r="75" spans="2:32" x14ac:dyDescent="0.3">
      <c r="B75" s="16">
        <v>2800</v>
      </c>
      <c r="C75" s="16">
        <v>2439</v>
      </c>
      <c r="E75" s="18"/>
      <c r="F75" s="18"/>
      <c r="G75" s="10"/>
      <c r="H75" s="18"/>
      <c r="I75" s="18"/>
      <c r="AA75" s="45"/>
      <c r="AB75" s="45"/>
      <c r="AC75" s="55"/>
      <c r="AD75" s="55"/>
      <c r="AE75" s="45">
        <f t="shared" si="0"/>
        <v>0</v>
      </c>
    </row>
    <row r="76" spans="2:32" x14ac:dyDescent="0.3">
      <c r="B76" s="16">
        <v>3500</v>
      </c>
      <c r="C76" s="16">
        <v>2500</v>
      </c>
      <c r="G76" s="10"/>
      <c r="AA76" s="45"/>
      <c r="AB76" s="45"/>
      <c r="AC76" s="55"/>
      <c r="AD76" s="55"/>
      <c r="AE76" s="45">
        <f t="shared" si="0"/>
        <v>0</v>
      </c>
    </row>
    <row r="77" spans="2:32" x14ac:dyDescent="0.3">
      <c r="B77" s="16"/>
      <c r="C77" s="16"/>
      <c r="G77" s="10"/>
      <c r="AA77" s="45"/>
      <c r="AB77" s="45"/>
      <c r="AC77" s="55"/>
      <c r="AD77" s="55"/>
      <c r="AE77" s="45">
        <f t="shared" si="0"/>
        <v>0</v>
      </c>
    </row>
    <row r="78" spans="2:32" x14ac:dyDescent="0.3">
      <c r="B78" s="16"/>
      <c r="C78" s="16"/>
      <c r="G78" s="10"/>
      <c r="AA78" s="45"/>
      <c r="AB78" s="45"/>
      <c r="AC78" s="55"/>
      <c r="AD78" s="55"/>
      <c r="AE78" s="45">
        <f t="shared" si="0"/>
        <v>0</v>
      </c>
    </row>
    <row r="79" spans="2:32" x14ac:dyDescent="0.3">
      <c r="AA79" s="45"/>
      <c r="AB79" s="45"/>
      <c r="AC79" s="55"/>
      <c r="AD79" s="55"/>
      <c r="AE79" s="45">
        <f t="shared" si="0"/>
        <v>0</v>
      </c>
    </row>
    <row r="80" spans="2:32" x14ac:dyDescent="0.3">
      <c r="AA80" s="45"/>
      <c r="AB80" s="45"/>
      <c r="AC80" s="55"/>
      <c r="AD80" s="55"/>
      <c r="AE80" s="45">
        <f t="shared" si="0"/>
        <v>0</v>
      </c>
    </row>
    <row r="81" spans="5:31" x14ac:dyDescent="0.3">
      <c r="AA81" s="45"/>
      <c r="AB81" s="45"/>
      <c r="AC81" s="55"/>
      <c r="AD81" s="55"/>
      <c r="AE81" s="45">
        <f t="shared" si="0"/>
        <v>0</v>
      </c>
    </row>
    <row r="82" spans="5:31" x14ac:dyDescent="0.3">
      <c r="X82" t="s">
        <v>96</v>
      </c>
      <c r="AA82" s="45"/>
      <c r="AB82" s="45"/>
    </row>
    <row r="83" spans="5:31" x14ac:dyDescent="0.3">
      <c r="E83" t="str" cm="1">
        <f t="array" ref="E83">[1]!encode_pipe(B56:C76,H56:I58,0.0001)</f>
        <v>{"h_list_m":{"curve_x":"hmes_m","curve_y":"hvert_m","hmes_m":[0,1000,1100,1200,1300,1400,1500,1600,1700,1800,1900,2000,2100,2200,2300,2400,2500,2600,2700,2800,3500],"hvert_m":[0,1000,1096,1191,1284,1375,1464,1551,1636,1719,1800,1879,1956,2031,2104,2175,2244,2311,2376,2439,2500]},"diam_list_mm":{"curve_x":"hmes_m","curve_y":"diam_int_mm","hmes_m":[0,2500,3500],"diam_int_mm":[62,125,125]},"roughness_m":0.0001}</v>
      </c>
      <c r="X83" t="str" cm="1">
        <f t="array" ref="X83">[1]!decode_json(K48)</f>
        <v>error</v>
      </c>
      <c r="AA83" s="45"/>
      <c r="AB83" s="45"/>
    </row>
    <row r="84" spans="5:31" x14ac:dyDescent="0.3">
      <c r="N84" s="45"/>
      <c r="O84" s="45"/>
    </row>
    <row r="85" spans="5:31" x14ac:dyDescent="0.3">
      <c r="N85" s="45"/>
      <c r="O85" s="45"/>
    </row>
    <row r="86" spans="5:31" x14ac:dyDescent="0.3">
      <c r="E86" t="str" cm="1">
        <f t="array" ref="E86:F88">[1]!decode_json(E83)</f>
        <v>h_list_m</v>
      </c>
      <c r="F86" t="str">
        <v>{"curve_x":"hmes_m","curve_y":"hvert_m","hmes_m":[0,1000,1100,1200,1300,1400,1500,1600,1700,1800,1900,2000,2100,2200,2300,2400,2500,2600,2700,2800,3500],"hvert_m":[0,1000,1096,1191,1284,1375,1464,1551,1636,1719,1800,1879,1956,2031,2104,2175,2244,2311,2376,2439,2500]}</v>
      </c>
      <c r="K86" cm="1">
        <f t="array" ref="K86:S108">[1]!MF_pipe_p_atma(P0,T0,C38,C35,C37,M40,hcor,M41)</f>
        <v>209.43141829162275</v>
      </c>
      <c r="L86">
        <v>39.56</v>
      </c>
      <c r="M86">
        <v>80</v>
      </c>
      <c r="N86" s="45">
        <v>20</v>
      </c>
      <c r="O86" s="45">
        <v>209.43141829162275</v>
      </c>
      <c r="P86">
        <v>39.56</v>
      </c>
      <c r="Q86">
        <v>1</v>
      </c>
      <c r="R86">
        <v>1</v>
      </c>
      <c r="S86" t="str">
        <v>["set show_log=1 in param to show calc log"]</v>
      </c>
      <c r="X86" cm="1">
        <f t="array" ref="X86:AB88">[1]!MF_pipe_calc(P0,T0,C38,C35,C37,M40,hcor,M41)</f>
        <v>0</v>
      </c>
      <c r="Y86" t="str">
        <v>{"p_result_atma":0,"t_result_C":0,"c_calibr_grav":1,"c_calibr_fric":1,"q_gas_sm3day":10000}</v>
      </c>
      <c r="Z86" t="str">
        <v>{"gamma_gas":0.6,"gamma_oil":0.86,"gamma_wat":1,"rsb_m3m3":100,"t_res_C":90,"PVT_corr_set":0,"q_liq_sm3day":100,"fw_perc":0,"rp_m3m3":100}</v>
      </c>
      <c r="AA86" t="str">
        <v>{}</v>
      </c>
      <c r="AB86" t="str">
        <v>{"c_Roughness":{"curve_x":"x","curve_y":"y","x":[0],"y":[0]}}</v>
      </c>
    </row>
    <row r="87" spans="5:31" x14ac:dyDescent="0.3">
      <c r="E87" t="str">
        <v>diam_list_mm</v>
      </c>
      <c r="F87" t="str">
        <v>{"curve_x":"hmes_m","curve_y":"diam_int_mm","hmes_m":[0,2500,3500],"diam_int_mm":[62,125,125]}</v>
      </c>
      <c r="K87" t="str">
        <v>p_result_atma</v>
      </c>
      <c r="L87" t="str">
        <v>t_result_C</v>
      </c>
      <c r="M87" t="str">
        <v>p_1, atma</v>
      </c>
      <c r="N87" s="45" t="str">
        <v>t_1, C</v>
      </c>
      <c r="O87" s="45" t="str">
        <v>p_2, atma</v>
      </c>
      <c r="P87" t="str">
        <v>t_2, C</v>
      </c>
      <c r="Q87" t="str">
        <v>c_calibr_grav</v>
      </c>
      <c r="R87" t="str">
        <v>c_calibr_fric</v>
      </c>
      <c r="S87" t="str">
        <v>log</v>
      </c>
      <c r="X87" t="str">
        <v>p_result_atma</v>
      </c>
      <c r="Y87" t="str">
        <v>json</v>
      </c>
      <c r="Z87" t="str">
        <v>feed</v>
      </c>
      <c r="AA87" t="str">
        <v>crv</v>
      </c>
      <c r="AB87" t="str">
        <v>crv2</v>
      </c>
    </row>
    <row r="88" spans="5:31" x14ac:dyDescent="0.3">
      <c r="E88" t="str">
        <v>roughness_m</v>
      </c>
      <c r="F88">
        <v>1E-4</v>
      </c>
      <c r="K88" t="str">
        <v>num</v>
      </c>
      <c r="L88" t="str">
        <v>h,m</v>
      </c>
      <c r="M88" t="str">
        <v>hvert,m</v>
      </c>
      <c r="N88" s="45" t="str">
        <v>p,atma</v>
      </c>
      <c r="O88" s="45" t="str">
        <v>t,C</v>
      </c>
      <c r="P88" t="str">
        <v>Hl</v>
      </c>
      <c r="Q88" t="str">
        <v>fpat</v>
      </c>
      <c r="R88" t="str">
        <v>t_amb, C</v>
      </c>
      <c r="S88" t="str">
        <v>diam, m</v>
      </c>
      <c r="X88" t="str">
        <v>["set show_log=1 in param to show calc log"]</v>
      </c>
      <c r="Y88" t="str">
        <v/>
      </c>
      <c r="Z88" t="str">
        <v/>
      </c>
      <c r="AA88" t="str">
        <v/>
      </c>
      <c r="AB88" t="str">
        <v/>
      </c>
    </row>
    <row r="89" spans="5:31" x14ac:dyDescent="0.3">
      <c r="K89">
        <v>1</v>
      </c>
      <c r="L89">
        <v>0</v>
      </c>
      <c r="M89">
        <v>0</v>
      </c>
      <c r="N89" s="45">
        <v>80</v>
      </c>
      <c r="O89" s="45">
        <v>20</v>
      </c>
      <c r="P89">
        <v>0.64726592177108522</v>
      </c>
      <c r="Q89">
        <v>3</v>
      </c>
      <c r="R89">
        <v>20</v>
      </c>
      <c r="S89">
        <v>6.2E-2</v>
      </c>
    </row>
    <row r="90" spans="5:31" x14ac:dyDescent="0.3">
      <c r="K90">
        <v>2</v>
      </c>
      <c r="L90">
        <v>110.52631578947368</v>
      </c>
      <c r="M90">
        <v>110.52631578947368</v>
      </c>
      <c r="N90" s="45">
        <v>86.524096626720663</v>
      </c>
      <c r="O90" s="45">
        <v>21.105263157894736</v>
      </c>
      <c r="P90">
        <v>0.6838913239426766</v>
      </c>
      <c r="Q90">
        <v>3</v>
      </c>
      <c r="R90">
        <v>21.105263157894736</v>
      </c>
      <c r="S90">
        <v>6.2E-2</v>
      </c>
    </row>
    <row r="91" spans="5:31" x14ac:dyDescent="0.3">
      <c r="K91">
        <v>3</v>
      </c>
      <c r="L91">
        <v>221.05263157894737</v>
      </c>
      <c r="M91">
        <v>221.05263157894737</v>
      </c>
      <c r="N91" s="45">
        <v>93.321061965732397</v>
      </c>
      <c r="O91" s="45">
        <v>22.210526315789473</v>
      </c>
      <c r="P91">
        <v>0.71006617270261219</v>
      </c>
      <c r="Q91">
        <v>3</v>
      </c>
      <c r="R91">
        <v>22.210526315789473</v>
      </c>
      <c r="S91">
        <v>6.2E-2</v>
      </c>
    </row>
    <row r="92" spans="5:31" x14ac:dyDescent="0.3">
      <c r="K92">
        <v>4</v>
      </c>
      <c r="L92">
        <v>331.57894736842104</v>
      </c>
      <c r="M92">
        <v>331.57894736842104</v>
      </c>
      <c r="N92" s="45">
        <v>100.30853583496892</v>
      </c>
      <c r="O92" s="45">
        <v>23.315789473684209</v>
      </c>
      <c r="P92">
        <v>0.72887471575113028</v>
      </c>
      <c r="Q92">
        <v>3</v>
      </c>
      <c r="R92">
        <v>23.315789473684209</v>
      </c>
      <c r="S92">
        <v>6.2E-2</v>
      </c>
    </row>
    <row r="93" spans="5:31" x14ac:dyDescent="0.3">
      <c r="K93">
        <v>5</v>
      </c>
      <c r="L93">
        <v>442.10526315789474</v>
      </c>
      <c r="M93">
        <v>442.10526315789474</v>
      </c>
      <c r="N93" s="45">
        <v>107.46537452959168</v>
      </c>
      <c r="O93" s="45">
        <v>24.421052631578949</v>
      </c>
      <c r="P93">
        <v>0.74586314697400491</v>
      </c>
      <c r="Q93">
        <v>3</v>
      </c>
      <c r="R93">
        <v>24.421052631578949</v>
      </c>
      <c r="S93">
        <v>6.2E-2</v>
      </c>
    </row>
    <row r="94" spans="5:31" x14ac:dyDescent="0.3">
      <c r="K94">
        <v>6</v>
      </c>
      <c r="L94">
        <v>552.63157894736844</v>
      </c>
      <c r="M94">
        <v>552.63157894736844</v>
      </c>
      <c r="N94" s="45">
        <v>114.76995686040027</v>
      </c>
      <c r="O94" s="45">
        <v>25.526315789473685</v>
      </c>
      <c r="P94">
        <v>0.76039394625843026</v>
      </c>
      <c r="Q94">
        <v>3</v>
      </c>
      <c r="R94">
        <v>25.526315789473685</v>
      </c>
      <c r="S94">
        <v>6.2E-2</v>
      </c>
    </row>
    <row r="95" spans="5:31" x14ac:dyDescent="0.3">
      <c r="K95">
        <v>7</v>
      </c>
      <c r="L95">
        <v>663.15789473684208</v>
      </c>
      <c r="M95">
        <v>663.15789473684208</v>
      </c>
      <c r="N95" s="45">
        <v>122.20211493016221</v>
      </c>
      <c r="O95" s="45">
        <v>26.631578947368421</v>
      </c>
      <c r="P95">
        <v>0.77267179966134014</v>
      </c>
      <c r="Q95">
        <v>3</v>
      </c>
      <c r="R95">
        <v>26.631578947368421</v>
      </c>
      <c r="S95">
        <v>6.2E-2</v>
      </c>
    </row>
    <row r="96" spans="5:31" x14ac:dyDescent="0.3">
      <c r="K96">
        <v>8</v>
      </c>
      <c r="L96">
        <v>773.68421052631584</v>
      </c>
      <c r="M96">
        <v>773.68421052631584</v>
      </c>
      <c r="N96" s="45">
        <v>129.73833329371442</v>
      </c>
      <c r="O96" s="45">
        <v>27.736842105263158</v>
      </c>
      <c r="P96">
        <v>0.78303836120306058</v>
      </c>
      <c r="Q96">
        <v>3</v>
      </c>
      <c r="R96">
        <v>27.736842105263158</v>
      </c>
      <c r="S96">
        <v>6.2E-2</v>
      </c>
    </row>
    <row r="97" spans="11:19" x14ac:dyDescent="0.3">
      <c r="K97">
        <v>9</v>
      </c>
      <c r="L97">
        <v>884.21052631578948</v>
      </c>
      <c r="M97">
        <v>884.21052631578948</v>
      </c>
      <c r="N97" s="45">
        <v>137.36209828483348</v>
      </c>
      <c r="O97" s="45">
        <v>28.842105263157894</v>
      </c>
      <c r="P97">
        <v>0.79175493198976266</v>
      </c>
      <c r="Q97">
        <v>3</v>
      </c>
      <c r="R97">
        <v>28.842105263157894</v>
      </c>
      <c r="S97">
        <v>6.2E-2</v>
      </c>
    </row>
    <row r="98" spans="11:19" x14ac:dyDescent="0.3">
      <c r="K98">
        <v>10</v>
      </c>
      <c r="L98">
        <v>994.73684210526312</v>
      </c>
      <c r="M98">
        <v>994.73684210526312</v>
      </c>
      <c r="N98" s="45">
        <v>144.74903228970254</v>
      </c>
      <c r="O98" s="45">
        <v>29.94736842105263</v>
      </c>
      <c r="P98">
        <v>0.73998535316836977</v>
      </c>
      <c r="Q98">
        <v>3</v>
      </c>
      <c r="R98">
        <v>29.94736842105263</v>
      </c>
      <c r="S98">
        <v>6.2E-2</v>
      </c>
    </row>
    <row r="99" spans="11:19" x14ac:dyDescent="0.3">
      <c r="K99">
        <v>11</v>
      </c>
      <c r="L99">
        <v>1105.2631578947369</v>
      </c>
      <c r="M99">
        <v>1101</v>
      </c>
      <c r="N99" s="45">
        <v>151.76916693348832</v>
      </c>
      <c r="O99" s="45">
        <v>31.01</v>
      </c>
      <c r="P99">
        <v>0.74422544535011637</v>
      </c>
      <c r="Q99">
        <v>3</v>
      </c>
      <c r="R99">
        <v>31.01</v>
      </c>
      <c r="S99">
        <v>6.2E-2</v>
      </c>
    </row>
    <row r="100" spans="11:19" x14ac:dyDescent="0.3">
      <c r="K100">
        <v>12</v>
      </c>
      <c r="L100">
        <v>1215.7894736842106</v>
      </c>
      <c r="M100">
        <v>1205.6842105263158</v>
      </c>
      <c r="N100" s="45">
        <v>158.7083966671068</v>
      </c>
      <c r="O100" s="45">
        <v>32.056842105263158</v>
      </c>
      <c r="P100">
        <v>0.74939127991073418</v>
      </c>
      <c r="Q100">
        <v>3</v>
      </c>
      <c r="R100">
        <v>32.056842105263158</v>
      </c>
      <c r="S100">
        <v>6.2E-2</v>
      </c>
    </row>
    <row r="101" spans="11:19" x14ac:dyDescent="0.3">
      <c r="K101">
        <v>13</v>
      </c>
      <c r="L101">
        <v>1326.3157894736842</v>
      </c>
      <c r="M101">
        <v>1307.9473684210525</v>
      </c>
      <c r="N101" s="45">
        <v>165.52683429790588</v>
      </c>
      <c r="O101" s="45">
        <v>33.079473684210527</v>
      </c>
      <c r="P101">
        <v>0.75388826175550694</v>
      </c>
      <c r="Q101">
        <v>3</v>
      </c>
      <c r="R101">
        <v>33.079473684210527</v>
      </c>
      <c r="S101">
        <v>6.2E-2</v>
      </c>
    </row>
    <row r="102" spans="11:19" x14ac:dyDescent="0.3">
      <c r="K102">
        <v>14</v>
      </c>
      <c r="L102">
        <v>1436.8421052631579</v>
      </c>
      <c r="M102">
        <v>1407.7894736842106</v>
      </c>
      <c r="N102" s="45">
        <v>172.21727973551972</v>
      </c>
      <c r="O102" s="45">
        <v>34.077894736842104</v>
      </c>
      <c r="P102">
        <v>0.75783034134695781</v>
      </c>
      <c r="Q102">
        <v>3</v>
      </c>
      <c r="R102">
        <v>34.077894736842104</v>
      </c>
      <c r="S102">
        <v>6.2E-2</v>
      </c>
    </row>
    <row r="103" spans="11:19" x14ac:dyDescent="0.3">
      <c r="K103">
        <v>15</v>
      </c>
      <c r="L103">
        <v>1547.3684210526317</v>
      </c>
      <c r="M103">
        <v>1505.2105263157896</v>
      </c>
      <c r="N103" s="45">
        <v>178.77370458588624</v>
      </c>
      <c r="O103" s="45">
        <v>35.052105263157898</v>
      </c>
      <c r="P103">
        <v>0.76130976169670239</v>
      </c>
      <c r="Q103">
        <v>3</v>
      </c>
      <c r="R103">
        <v>35.052105263157898</v>
      </c>
      <c r="S103">
        <v>6.2E-2</v>
      </c>
    </row>
    <row r="104" spans="11:19" x14ac:dyDescent="0.3">
      <c r="K104">
        <v>16</v>
      </c>
      <c r="L104">
        <v>1657.8947368421052</v>
      </c>
      <c r="M104">
        <v>1600.2105263157894</v>
      </c>
      <c r="N104" s="45">
        <v>185.18639581961918</v>
      </c>
      <c r="O104" s="45">
        <v>36.002105263157894</v>
      </c>
      <c r="P104">
        <v>0.76438951417352541</v>
      </c>
      <c r="Q104">
        <v>3</v>
      </c>
      <c r="R104">
        <v>36.002105263157894</v>
      </c>
      <c r="S104">
        <v>6.2E-2</v>
      </c>
    </row>
    <row r="105" spans="11:19" x14ac:dyDescent="0.3">
      <c r="K105">
        <v>17</v>
      </c>
      <c r="L105">
        <v>1768.421052631579</v>
      </c>
      <c r="M105">
        <v>1692.7894736842106</v>
      </c>
      <c r="N105">
        <v>191.45397337370173</v>
      </c>
      <c r="O105">
        <v>36.927894736842106</v>
      </c>
      <c r="P105">
        <v>0.76714121123559931</v>
      </c>
      <c r="Q105">
        <v>3</v>
      </c>
      <c r="R105">
        <v>36.927894736842106</v>
      </c>
      <c r="S105">
        <v>6.2E-2</v>
      </c>
    </row>
    <row r="106" spans="11:19" x14ac:dyDescent="0.3">
      <c r="K106">
        <v>18</v>
      </c>
      <c r="L106">
        <v>1878.9473684210527</v>
      </c>
      <c r="M106">
        <v>1782.9473684210527</v>
      </c>
      <c r="N106">
        <v>197.57443083311597</v>
      </c>
      <c r="O106">
        <v>37.829473684210527</v>
      </c>
      <c r="P106">
        <v>0.76961721080181078</v>
      </c>
      <c r="Q106">
        <v>3</v>
      </c>
      <c r="R106">
        <v>37.829473684210527</v>
      </c>
      <c r="S106">
        <v>6.2E-2</v>
      </c>
    </row>
    <row r="107" spans="11:19" x14ac:dyDescent="0.3">
      <c r="K107">
        <v>19</v>
      </c>
      <c r="L107">
        <v>1989.4736842105262</v>
      </c>
      <c r="M107">
        <v>1870.6842105263158</v>
      </c>
      <c r="N107">
        <v>203.54476938368259</v>
      </c>
      <c r="O107">
        <v>38.706842105263156</v>
      </c>
      <c r="P107">
        <v>0.77185653602235504</v>
      </c>
      <c r="Q107">
        <v>3</v>
      </c>
      <c r="R107">
        <v>38.706842105263156</v>
      </c>
      <c r="S107">
        <v>6.2E-2</v>
      </c>
    </row>
    <row r="108" spans="11:19" x14ac:dyDescent="0.3">
      <c r="K108">
        <v>20</v>
      </c>
      <c r="L108">
        <v>2100</v>
      </c>
      <c r="M108">
        <v>1956</v>
      </c>
      <c r="N108">
        <v>209.43141829162275</v>
      </c>
      <c r="O108">
        <v>39.56</v>
      </c>
      <c r="P108">
        <v>0.77392407246762007</v>
      </c>
      <c r="Q108">
        <v>3</v>
      </c>
      <c r="R108">
        <v>39.56</v>
      </c>
      <c r="S108">
        <v>0.125</v>
      </c>
    </row>
  </sheetData>
  <mergeCells count="14">
    <mergeCell ref="F26:G26"/>
    <mergeCell ref="B3:E3"/>
    <mergeCell ref="B4:E4"/>
    <mergeCell ref="B5:E5"/>
    <mergeCell ref="B6:E8"/>
    <mergeCell ref="F25:G25"/>
    <mergeCell ref="K40:L40"/>
    <mergeCell ref="K41:L41"/>
    <mergeCell ref="F27:G27"/>
    <mergeCell ref="F28:G28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50</vt:i4>
      </vt:variant>
    </vt:vector>
  </HeadingPairs>
  <TitlesOfParts>
    <vt:vector size="51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2021-04-18T04:25:19Z</dcterms:modified>
</cp:coreProperties>
</file>