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FBFA47E-5E89-49E0-95DB-3955D7BCAE7D}" xr6:coauthVersionLast="47" xr6:coauthVersionMax="47" xr10:uidLastSave="{00000000-0000-0000-0000-000000000000}"/>
  <bookViews>
    <workbookView xWindow="-38520" yWindow="-1500" windowWidth="38640" windowHeight="2124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_from">exercise_pipeline!$P$41</definedName>
    <definedName name="H_to">exercise_pipeline!$P$42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aram">exercise_pipeline!$K$44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3" l="1"/>
  <c r="I50" i="3"/>
  <c r="H50" i="3"/>
  <c r="E16" i="3"/>
  <c r="E15" i="3"/>
  <c r="E14" i="3"/>
  <c r="E13" i="3"/>
  <c r="E12" i="3"/>
  <c r="E11" i="3"/>
  <c r="G1" i="3"/>
  <c r="C37" i="3" a="1"/>
  <c r="K115" i="3" a="1"/>
  <c r="C34" i="3"/>
  <c r="K44" i="3" a="1"/>
  <c r="C38" i="3" a="1"/>
  <c r="C37" i="3" l="1"/>
  <c r="C38" i="3"/>
  <c r="K115" i="3"/>
  <c r="K44" i="3"/>
  <c r="J125" i="3" a="1"/>
  <c r="C35" i="3" a="1"/>
  <c r="J125" i="3" l="1"/>
  <c r="C35" i="3"/>
  <c r="K74" i="3" a="1"/>
  <c r="K46" i="3" a="1"/>
  <c r="L85" i="3" a="1"/>
  <c r="L96" i="3" a="1"/>
  <c r="L101" i="3" a="1"/>
  <c r="L94" i="3" a="1"/>
  <c r="K116" i="3" a="1"/>
  <c r="L97" i="3" a="1"/>
  <c r="L102" i="3" a="1"/>
  <c r="L86" i="3" a="1"/>
  <c r="L95" i="3" a="1"/>
  <c r="L91" i="3" a="1"/>
  <c r="L104" i="3" a="1"/>
  <c r="L105" i="3" a="1"/>
  <c r="L100" i="3" a="1"/>
  <c r="L89" i="3" a="1"/>
  <c r="L98" i="3" a="1"/>
  <c r="L92" i="3" a="1"/>
  <c r="L88" i="3" a="1"/>
  <c r="L103" i="3" a="1"/>
  <c r="L93" i="3" a="1"/>
  <c r="L90" i="3" a="1"/>
  <c r="L87" i="3" a="1"/>
  <c r="L99" i="3" a="1"/>
  <c r="K46" i="3" l="1"/>
  <c r="K74" i="3"/>
  <c r="K116" i="3"/>
  <c r="L85" i="3"/>
  <c r="L105" i="3"/>
  <c r="L104" i="3"/>
  <c r="L90" i="3"/>
  <c r="L103" i="3"/>
  <c r="L97" i="3"/>
  <c r="L102" i="3"/>
  <c r="L101" i="3"/>
  <c r="L95" i="3"/>
  <c r="L89" i="3"/>
  <c r="L91" i="3"/>
  <c r="L96" i="3"/>
  <c r="L100" i="3"/>
  <c r="L94" i="3"/>
  <c r="L88" i="3"/>
  <c r="L87" i="3"/>
  <c r="L99" i="3"/>
  <c r="L93" i="3"/>
  <c r="L98" i="3"/>
  <c r="L92" i="3"/>
  <c r="L86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K119" i="3" a="1"/>
  <c r="L125" i="3" s="1" a="1"/>
  <c r="M125" i="3" a="1"/>
  <c r="L125" i="3" l="1"/>
  <c r="M125" i="3"/>
  <c r="K119" i="3"/>
  <c r="K125" i="3" a="1"/>
  <c r="K12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<sst xmlns="http://schemas.openxmlformats.org/spreadsheetml/2006/main" count="127" uniqueCount="103">
  <si>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</si>
  <si>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</si>
  <si>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</si>
  <si>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</si>
  <si>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</si>
  <si>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</si>
  <si>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</si>
  <si>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</si>
  <si>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</si>
  <si>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</si>
  <si>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</si>
  <si>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</si>
  <si>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</si>
  <si>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</si>
  <si>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</si>
  <si>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</si>
  <si>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</si>
  <si>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</si>
  <si>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</si>
  <si>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</si>
  <si>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</si>
  <si>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</si>
  <si>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</si>
  <si>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</si>
  <si>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</si>
  <si>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</si>
  <si>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</si>
  <si>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</si>
  <si>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</si>
  <si>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</si>
  <si>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</si>
  <si>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</si>
  <si>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</si>
  <si>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</si>
  <si>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</si>
  <si>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</si>
  <si>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</si>
  <si>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</si>
  <si>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</si>
  <si>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</si>
  <si>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</si>
  <si>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</si>
  <si>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</si>
  <si>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</si>
  <si>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</si>
  <si>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</si>
  <si>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</si>
  <si>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</si>
  <si>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</si>
  <si>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</si>
  <si>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</si>
  <si>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</si>
  <si>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</si>
  <si>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</si>
  <si>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</si>
  <si>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</si>
  <si>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</si>
  <si>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</si>
  <si>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</si>
  <si>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</si>
  <si>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</si>
  <si>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</si>
  <si>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</si>
  <si>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</si>
  <si>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</si>
  <si>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</si>
  <si>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</si>
  <si>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</si>
  <si>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</si>
  <si>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</si>
  <si>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</si>
  <si>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</si>
  <si>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</si>
  <si>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</si>
  <si>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</si>
  <si>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</si>
  <si>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</si>
  <si>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</si>
  <si>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</si>
  <si>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</si>
  <si>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</si>
  <si>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</si>
  <si>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</si>
  <si>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</si>
  <si>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</si>
  <si>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</si>
  <si>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</si>
  <si>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</si>
  <si>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</si>
  <si>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</si>
  <si>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Q</t>
  </si>
  <si>
    <t>Границы расчета</t>
  </si>
  <si>
    <t xml:space="preserve">От </t>
  </si>
  <si>
    <t>До</t>
  </si>
  <si>
    <t>Pend</t>
  </si>
  <si>
    <t>Диапазон дебитов</t>
  </si>
  <si>
    <t>Расчет давлений</t>
  </si>
  <si>
    <t>Декодирование результатов расчета</t>
  </si>
  <si>
    <t>Вторая волна декодирования</t>
  </si>
  <si>
    <t>Давления</t>
  </si>
  <si>
    <t>Дебиты</t>
  </si>
  <si>
    <t>Температура</t>
  </si>
  <si>
    <t>feeds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</si>
</sst>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1" fontId="0" fillId="6" borderId="0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0.94037333048119498</c:v>
                </c:pt>
                <c:pt idx="1">
                  <c:v>0.94037333048119498</c:v>
                </c:pt>
                <c:pt idx="2">
                  <c:v>0.94037333048119498</c:v>
                </c:pt>
                <c:pt idx="3">
                  <c:v>1.1497555811193241</c:v>
                </c:pt>
                <c:pt idx="4">
                  <c:v>2.2292812829345658</c:v>
                </c:pt>
                <c:pt idx="5">
                  <c:v>3.3876764968350916</c:v>
                </c:pt>
                <c:pt idx="6">
                  <c:v>4.6885428604579316</c:v>
                </c:pt>
                <c:pt idx="7">
                  <c:v>6.1917861226546469</c:v>
                </c:pt>
                <c:pt idx="8">
                  <c:v>7.9046543210060145</c:v>
                </c:pt>
                <c:pt idx="9">
                  <c:v>9.9389402964635174</c:v>
                </c:pt>
                <c:pt idx="10">
                  <c:v>12.294638437004485</c:v>
                </c:pt>
                <c:pt idx="11">
                  <c:v>14.914044942267662</c:v>
                </c:pt>
                <c:pt idx="12">
                  <c:v>17.967704015734654</c:v>
                </c:pt>
                <c:pt idx="13">
                  <c:v>21.831995558849702</c:v>
                </c:pt>
                <c:pt idx="14">
                  <c:v>26.002057932906116</c:v>
                </c:pt>
                <c:pt idx="15">
                  <c:v>30.443838102186113</c:v>
                </c:pt>
                <c:pt idx="16">
                  <c:v>35.104369876827732</c:v>
                </c:pt>
                <c:pt idx="17">
                  <c:v>39.935004431062026</c:v>
                </c:pt>
                <c:pt idx="18">
                  <c:v>44.891210199463877</c:v>
                </c:pt>
                <c:pt idx="19">
                  <c:v>50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20.552502293410711</c:v>
                </c:pt>
                <c:pt idx="2">
                  <c:v>21.105004586821423</c:v>
                </c:pt>
                <c:pt idx="3">
                  <c:v>21.65750688023213</c:v>
                </c:pt>
                <c:pt idx="4">
                  <c:v>22.210009173642842</c:v>
                </c:pt>
                <c:pt idx="5">
                  <c:v>22.762511467053553</c:v>
                </c:pt>
                <c:pt idx="6">
                  <c:v>23.315013760464264</c:v>
                </c:pt>
                <c:pt idx="7">
                  <c:v>23.867516053874972</c:v>
                </c:pt>
                <c:pt idx="8">
                  <c:v>24.420018347285684</c:v>
                </c:pt>
                <c:pt idx="9">
                  <c:v>24.972520640696391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20.552502293410711</c:v>
                </c:pt>
                <c:pt idx="2">
                  <c:v>21.105004586821423</c:v>
                </c:pt>
                <c:pt idx="3">
                  <c:v>21.65750688023213</c:v>
                </c:pt>
                <c:pt idx="4">
                  <c:v>22.210009173642842</c:v>
                </c:pt>
                <c:pt idx="5">
                  <c:v>22.762511467053553</c:v>
                </c:pt>
                <c:pt idx="6">
                  <c:v>23.315013760464264</c:v>
                </c:pt>
                <c:pt idx="7">
                  <c:v>23.867516053874972</c:v>
                </c:pt>
                <c:pt idx="8">
                  <c:v>24.420018347285684</c:v>
                </c:pt>
                <c:pt idx="9">
                  <c:v>24.972520640696391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2.5857107331631823E-2</c:v>
                </c:pt>
                <c:pt idx="2">
                  <c:v>5.1714214663263647E-2</c:v>
                </c:pt>
                <c:pt idx="3">
                  <c:v>7.7571321994867048E-2</c:v>
                </c:pt>
                <c:pt idx="4">
                  <c:v>0.10342842932652729</c:v>
                </c:pt>
                <c:pt idx="5">
                  <c:v>0.1292855366581307</c:v>
                </c:pt>
                <c:pt idx="6">
                  <c:v>0.1551426439897341</c:v>
                </c:pt>
                <c:pt idx="7">
                  <c:v>0.18099975132145119</c:v>
                </c:pt>
                <c:pt idx="8">
                  <c:v>0.2068568586529409</c:v>
                </c:pt>
                <c:pt idx="9">
                  <c:v>0.23271396598465799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110.50045868214205</c:v>
                </c:pt>
                <c:pt idx="2">
                  <c:v>221.00091736428411</c:v>
                </c:pt>
                <c:pt idx="3">
                  <c:v>331.50137604642617</c:v>
                </c:pt>
                <c:pt idx="4">
                  <c:v>442.00183472856821</c:v>
                </c:pt>
                <c:pt idx="5">
                  <c:v>552.50229341071031</c:v>
                </c:pt>
                <c:pt idx="6">
                  <c:v>663.00275209285235</c:v>
                </c:pt>
                <c:pt idx="7">
                  <c:v>773.50321077499439</c:v>
                </c:pt>
                <c:pt idx="8">
                  <c:v>884.00366945713654</c:v>
                </c:pt>
                <c:pt idx="9">
                  <c:v>994.50412813927846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exercise_pipeline!$L$84</c:f>
              <c:strCache>
                <c:ptCount val="1"/>
                <c:pt idx="0">
                  <c:v>Pend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exercise_pipeline!$K$85:$K$105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xVal>
          <c:yVal>
            <c:numRef>
              <c:f>exercise_pipeline!$L$85:$L$105</c:f>
              <c:numCache>
                <c:formatCode>0</c:formatCode>
                <c:ptCount val="21"/>
                <c:pt idx="0">
                  <c:v>207.33500000000001</c:v>
                </c:pt>
                <c:pt idx="1">
                  <c:v>206.38499999999999</c:v>
                </c:pt>
                <c:pt idx="2">
                  <c:v>205.63800000000001</c:v>
                </c:pt>
                <c:pt idx="3">
                  <c:v>205.11600000000001</c:v>
                </c:pt>
                <c:pt idx="4">
                  <c:v>204.74299999999999</c:v>
                </c:pt>
                <c:pt idx="5">
                  <c:v>204.47800000000001</c:v>
                </c:pt>
                <c:pt idx="6">
                  <c:v>204.29</c:v>
                </c:pt>
                <c:pt idx="7">
                  <c:v>204.21</c:v>
                </c:pt>
                <c:pt idx="8">
                  <c:v>204.17699999999999</c:v>
                </c:pt>
                <c:pt idx="9">
                  <c:v>204.22900000000001</c:v>
                </c:pt>
                <c:pt idx="10">
                  <c:v>204.27</c:v>
                </c:pt>
                <c:pt idx="11">
                  <c:v>204.38399999999999</c:v>
                </c:pt>
                <c:pt idx="12">
                  <c:v>204.50299999999999</c:v>
                </c:pt>
                <c:pt idx="13">
                  <c:v>204.64500000000001</c:v>
                </c:pt>
                <c:pt idx="14">
                  <c:v>204.815</c:v>
                </c:pt>
                <c:pt idx="15">
                  <c:v>205.02</c:v>
                </c:pt>
                <c:pt idx="16">
                  <c:v>205.24299999999999</c:v>
                </c:pt>
                <c:pt idx="17">
                  <c:v>205.48500000000001</c:v>
                </c:pt>
                <c:pt idx="18">
                  <c:v>205.74799999999999</c:v>
                </c:pt>
                <c:pt idx="19">
                  <c:v>206.03899999999999</c:v>
                </c:pt>
                <c:pt idx="20">
                  <c:v>206.34899999999999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E9-45DC-96F3-7671D918C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278367"/>
        <c:axId val="880283359"/>
      </c:scatterChart>
      <c:valAx>
        <c:axId val="88027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83359"/>
        <c:crosses val="autoZero"/>
        <c:crossBetween val="midCat"/>
      </c:valAx>
      <c:valAx>
        <c:axId val="88028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7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exercise_pipeline!$K$124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exercise_pipeline!$J$125:$J$138</c:f>
              <c:numCache>
                <c:formatCode>General</c:formatCode>
                <c:ptCount val="14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exercise_pipeline!$K$125:$K$138</c:f>
              <c:numCache>
                <c:formatCode>General</c:formatCode>
                <c:ptCount val="14"/>
                <c:pt idx="0">
                  <c:v>206.38499999999999</c:v>
                </c:pt>
                <c:pt idx="1">
                  <c:v>204.74299999999999</c:v>
                </c:pt>
                <c:pt idx="2">
                  <c:v>204.21</c:v>
                </c:pt>
                <c:pt idx="3">
                  <c:v>204.27</c:v>
                </c:pt>
                <c:pt idx="4">
                  <c:v>204.64500000000001</c:v>
                </c:pt>
                <c:pt idx="5">
                  <c:v>205.24299999999999</c:v>
                </c:pt>
                <c:pt idx="6">
                  <c:v>206.03899999999999</c:v>
                </c:pt>
                <c:pt idx="7">
                  <c:v>207.023</c:v>
                </c:pt>
                <c:pt idx="8">
                  <c:v>208.13300000000001</c:v>
                </c:pt>
                <c:pt idx="9">
                  <c:v>209.447</c:v>
                </c:pt>
                <c:pt idx="10">
                  <c:v>210.93100000000001</c:v>
                </c:pt>
                <c:pt idx="11">
                  <c:v>212.57400000000001</c:v>
                </c:pt>
                <c:pt idx="12">
                  <c:v>214.24799999999999</c:v>
                </c:pt>
                <c:pt idx="13">
                  <c:v>216.036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2-4921-9E56-BE43FFD9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758399"/>
        <c:axId val="769743423"/>
      </c:scatterChart>
      <c:valAx>
        <c:axId val="76975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43423"/>
        <c:crosses val="autoZero"/>
        <c:crossBetween val="midCat"/>
      </c:valAx>
      <c:valAx>
        <c:axId val="76974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58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106245</xdr:rowOff>
    </xdr:from>
    <xdr:to>
      <xdr:col>31</xdr:col>
      <xdr:colOff>155896</xdr:colOff>
      <xdr:row>70</xdr:row>
      <xdr:rowOff>53858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56705" y="614421"/>
          <a:ext cx="4234019" cy="5155008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24</xdr:col>
      <xdr:colOff>78441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38</xdr:row>
      <xdr:rowOff>156882</xdr:rowOff>
    </xdr:from>
    <xdr:to>
      <xdr:col>8</xdr:col>
      <xdr:colOff>358589</xdr:colOff>
      <xdr:row>42</xdr:row>
      <xdr:rowOff>67235</xdr:rowOff>
    </xdr:to>
    <xdr:sp macro="" textlink="">
      <xdr:nvSpPr>
        <xdr:cNvPr id="17" name="Прямоугольник 16">
          <a:extLst>
            <a:ext uri="{FF2B5EF4-FFF2-40B4-BE49-F238E27FC236}">
              <a16:creationId xmlns:a16="http://schemas.microsoft.com/office/drawing/2014/main" id="{14F7BAB2-6CF2-4E92-BE26-4914484F3C54}"/>
            </a:ext>
          </a:extLst>
        </xdr:cNvPr>
        <xdr:cNvSpPr/>
      </xdr:nvSpPr>
      <xdr:spPr>
        <a:xfrm>
          <a:off x="627529" y="81018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ru-RU" sz="1100" baseline="0"/>
            <a:t>Пример единичного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Расчет распределения давления и температуры в трубе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78</xdr:row>
      <xdr:rowOff>168088</xdr:rowOff>
    </xdr:from>
    <xdr:to>
      <xdr:col>8</xdr:col>
      <xdr:colOff>358590</xdr:colOff>
      <xdr:row>82</xdr:row>
      <xdr:rowOff>56029</xdr:rowOff>
    </xdr:to>
    <xdr:sp macro="" textlink="">
      <xdr:nvSpPr>
        <xdr:cNvPr id="20" name="Прямоугольник 19">
          <a:extLst>
            <a:ext uri="{FF2B5EF4-FFF2-40B4-BE49-F238E27FC236}">
              <a16:creationId xmlns:a16="http://schemas.microsoft.com/office/drawing/2014/main" id="{41C5E646-0BC9-44D0-B0C5-F0B4084490EF}"/>
            </a:ext>
          </a:extLst>
        </xdr:cNvPr>
        <xdr:cNvSpPr/>
      </xdr:nvSpPr>
      <xdr:spPr>
        <a:xfrm>
          <a:off x="627530" y="159123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108</xdr:row>
      <xdr:rowOff>56029</xdr:rowOff>
    </xdr:from>
    <xdr:to>
      <xdr:col>8</xdr:col>
      <xdr:colOff>358590</xdr:colOff>
      <xdr:row>113</xdr:row>
      <xdr:rowOff>89647</xdr:rowOff>
    </xdr:to>
    <xdr:sp macro="" textlink="">
      <xdr:nvSpPr>
        <xdr:cNvPr id="21" name="Прямоугольник 20">
          <a:extLst>
            <a:ext uri="{FF2B5EF4-FFF2-40B4-BE49-F238E27FC236}">
              <a16:creationId xmlns:a16="http://schemas.microsoft.com/office/drawing/2014/main" id="{949B7BB5-B0CA-48BC-9D10-20AB08254EDE}"/>
            </a:ext>
          </a:extLst>
        </xdr:cNvPr>
        <xdr:cNvSpPr/>
      </xdr:nvSpPr>
      <xdr:spPr>
        <a:xfrm>
          <a:off x="627530" y="21515294"/>
          <a:ext cx="5322795" cy="98611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r>
            <a:rPr lang="en-US" sz="1100" baseline="0"/>
            <a:t> </a:t>
          </a:r>
          <a:r>
            <a:rPr lang="ru-RU" sz="1100" baseline="0"/>
            <a:t>с использованием векторных расчетов</a:t>
          </a:r>
          <a:endParaRPr lang="ru-RU" sz="1100"/>
        </a:p>
      </xdr:txBody>
    </xdr:sp>
    <xdr:clientData/>
  </xdr:twoCellAnchor>
  <xdr:twoCellAnchor>
    <xdr:from>
      <xdr:col>12</xdr:col>
      <xdr:colOff>240924</xdr:colOff>
      <xdr:row>84</xdr:row>
      <xdr:rowOff>57149</xdr:rowOff>
    </xdr:from>
    <xdr:to>
      <xdr:col>19</xdr:col>
      <xdr:colOff>145676</xdr:colOff>
      <xdr:row>104</xdr:row>
      <xdr:rowOff>190499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6C6DD1C5-0EA2-4773-91CC-BD3FD03CA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218513</xdr:colOff>
      <xdr:row>138</xdr:row>
      <xdr:rowOff>135590</xdr:rowOff>
    </xdr:from>
    <xdr:to>
      <xdr:col>19</xdr:col>
      <xdr:colOff>78441</xdr:colOff>
      <xdr:row>155</xdr:row>
      <xdr:rowOff>11206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9B64F11A-C641-48D8-8352-1F7DD445B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ipe"/>
      <definedName name="encode_PVT"/>
      <definedName name="encode_t_model"/>
      <definedName name="json_pipe_p_atma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50"/>
  <sheetViews>
    <sheetView tabSelected="1" topLeftCell="A5" zoomScale="70" zoomScaleNormal="70" workbookViewId="0">
      <selection activeCell="S16" sqref="S16"/>
    </sheetView>
  </sheetViews>
  <sheetFormatPr defaultRowHeight="15" x14ac:dyDescent="0.25"/>
  <cols>
    <col min="2" max="2" width="15.7109375" customWidth="1"/>
    <col min="3" max="3" width="10.85546875" customWidth="1"/>
    <col min="7" max="7" width="11" customWidth="1"/>
    <col min="8" max="8" width="11" bestFit="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7.40</v>
      </c>
      <c r="H1" t="s">
        <v>54</v>
      </c>
      <c r="I1" s="22">
        <v>44977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7.4</v>
      </c>
      <c r="J2" s="23"/>
      <c r="K2" s="23"/>
      <c r="L2" s="23"/>
    </row>
    <row r="3" spans="1:12" x14ac:dyDescent="0.25">
      <c r="A3" s="25" t="s">
        <v>56</v>
      </c>
      <c r="B3" s="56" t="s">
        <v>57</v>
      </c>
      <c r="C3" s="57"/>
      <c r="D3" s="57"/>
      <c r="E3" s="58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56" t="s">
        <v>60</v>
      </c>
      <c r="C4" s="57"/>
      <c r="D4" s="57"/>
      <c r="E4" s="58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56" t="s">
        <v>63</v>
      </c>
      <c r="C5" s="57"/>
      <c r="D5" s="57"/>
      <c r="E5" s="58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9" t="s">
        <v>66</v>
      </c>
      <c r="C6" s="60"/>
      <c r="D6" s="60"/>
      <c r="E6" s="61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62"/>
      <c r="C7" s="63"/>
      <c r="D7" s="63"/>
      <c r="E7" s="64"/>
      <c r="H7" s="27"/>
      <c r="I7" s="28"/>
      <c r="J7" s="28"/>
      <c r="K7" s="28"/>
      <c r="L7" s="28"/>
    </row>
    <row r="8" spans="1:12" x14ac:dyDescent="0.25">
      <c r="A8" s="30"/>
      <c r="B8" s="65"/>
      <c r="C8" s="66"/>
      <c r="D8" s="66"/>
      <c r="E8" s="67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80</v>
      </c>
      <c r="D22" s="6" t="s">
        <v>8</v>
      </c>
      <c r="E22" s="8">
        <f>Rp_/gamma_oil_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0</v>
      </c>
      <c r="D24" s="6" t="s">
        <v>50</v>
      </c>
    </row>
    <row r="25" spans="1:17" x14ac:dyDescent="0.25">
      <c r="F25" s="54" t="s">
        <v>73</v>
      </c>
      <c r="G25" s="55"/>
      <c r="H25" s="3">
        <v>0</v>
      </c>
    </row>
    <row r="26" spans="1:17" ht="18" customHeight="1" x14ac:dyDescent="0.25">
      <c r="F26" s="54" t="s">
        <v>74</v>
      </c>
      <c r="G26" s="55"/>
      <c r="H26" s="3">
        <v>0</v>
      </c>
    </row>
    <row r="27" spans="1:17" ht="15.75" customHeight="1" x14ac:dyDescent="0.25">
      <c r="F27" s="54" t="s">
        <v>75</v>
      </c>
      <c r="G27" s="55"/>
      <c r="H27" s="3">
        <v>0</v>
      </c>
    </row>
    <row r="28" spans="1:17" ht="15" customHeight="1" x14ac:dyDescent="0.25">
      <c r="A28" s="35" t="s">
        <v>25</v>
      </c>
      <c r="B28" s="10"/>
    </row>
    <row r="29" spans="1:17" ht="15" customHeight="1" x14ac:dyDescent="0.25">
      <c r="B29" s="9" t="s">
        <v>28</v>
      </c>
      <c r="C29" s="31">
        <v>50</v>
      </c>
      <c r="D29" s="6" t="s">
        <v>12</v>
      </c>
      <c r="F29" s="54" t="s">
        <v>80</v>
      </c>
      <c r="G29" s="55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68" t="s">
        <v>76</v>
      </c>
      <c r="G30" s="68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54" t="s">
        <v>77</v>
      </c>
      <c r="G31" s="55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54" t="s">
        <v>78</v>
      </c>
      <c r="G32" s="55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81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{"gamma_gas":0.8,"gamma_oil":0.87,"gamma_wat":1,"rsb_m3m3":80,"pb_atma":120,"t_res_C":100,"bob_m3m3":1.2,"muob_cP":1,"PVT_corr_set":0,"q_liq_sm3day":40,"fw_perc":0,"rp_m3m3":80}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82</v>
      </c>
      <c r="C37" s="12" t="str" cm="1">
        <f t="array" ref="C37">[1]!encode_t_model(temp_model,E56:F58,T0,T1_)</f>
        <v>{"t_model":1,"t_list_C":{"hvert_m":[0,1000,2500],"t_C":[20,25,90]}}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83</v>
      </c>
      <c r="C38" s="12" t="str" cm="1">
        <f t="array" ref="C38">[1]!encode_pipe(B56:C68,H56:I58)</f>
        <v>{"h_list_m":{"hmes_m":[0,1000.234,1100,1200,1300,1400,1500,1600,1700,1800,1900,2000,2100],"hvert_m":[0,1000,1096,1191,1284,1375,1464,1551,1636,1719,1800,1879,1956]},"diam_list_mm":{"hmes_m":[0,2100],"diam_int_mm":[62,125]}}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25">
      <c r="I40" s="40"/>
      <c r="K40" s="36" t="s">
        <v>88</v>
      </c>
      <c r="O40" s="36" t="s">
        <v>91</v>
      </c>
    </row>
    <row r="41" spans="1:25" ht="14.45" customHeight="1" x14ac:dyDescent="0.25">
      <c r="I41" s="40"/>
      <c r="K41" s="6" t="s">
        <v>85</v>
      </c>
      <c r="L41" s="38">
        <v>0</v>
      </c>
      <c r="O41" s="6" t="s">
        <v>92</v>
      </c>
      <c r="P41" s="38">
        <v>0</v>
      </c>
    </row>
    <row r="42" spans="1:25" x14ac:dyDescent="0.25">
      <c r="K42" s="6" t="s">
        <v>86</v>
      </c>
      <c r="L42" s="38">
        <v>0</v>
      </c>
      <c r="O42" s="6" t="s">
        <v>93</v>
      </c>
      <c r="P42" s="38">
        <v>0</v>
      </c>
    </row>
    <row r="43" spans="1:25" x14ac:dyDescent="0.25">
      <c r="K43" s="6" t="s">
        <v>87</v>
      </c>
      <c r="L43" s="38">
        <v>1</v>
      </c>
    </row>
    <row r="44" spans="1:25" x14ac:dyDescent="0.25">
      <c r="K44" s="23" t="str" cm="1">
        <f t="array" ref="K44">[1]!encode_json(K41:L43)</f>
        <v>{"show_log":0,"num_value":0,"show_array":1}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44</v>
      </c>
    </row>
    <row r="46" spans="1:25" ht="18" x14ac:dyDescent="0.35">
      <c r="B46" s="6" t="s">
        <v>35</v>
      </c>
      <c r="C46" s="38">
        <v>3500</v>
      </c>
      <c r="D46" s="39" t="s">
        <v>26</v>
      </c>
      <c r="F46" s="32"/>
      <c r="G46" s="33" t="s">
        <v>84</v>
      </c>
      <c r="H46" s="3">
        <v>1</v>
      </c>
      <c r="K46" s="44" cm="1">
        <f t="array" ref="K46:R68">[1]!MF_pipe_p_atma(P0,T0,construction,feed,t_model,calc_along_coord,flow_along_coord,hcor,calibr_grav,calibr_fric,param,H_from,H_from,znlf)</f>
        <v>0.94</v>
      </c>
      <c r="L46" s="20">
        <v>0.94</v>
      </c>
      <c r="M46" s="20">
        <v>20</v>
      </c>
      <c r="N46" s="44">
        <v>50</v>
      </c>
      <c r="O46" s="20">
        <v>66.427000000000007</v>
      </c>
      <c r="P46" s="20">
        <v>1</v>
      </c>
      <c r="Q46" s="20">
        <v>1</v>
      </c>
      <c r="R46" s="20" t="str">
        <v>["set show_log=1 in param to show calc log"]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0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89</v>
      </c>
    </row>
    <row r="49" spans="2:19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0.94037333048119498</v>
      </c>
      <c r="N49" s="21">
        <v>20</v>
      </c>
      <c r="O49" s="21">
        <v>20</v>
      </c>
      <c r="P49" s="21">
        <v>0</v>
      </c>
      <c r="Q49" s="21">
        <v>101</v>
      </c>
      <c r="R49" s="21">
        <v>62</v>
      </c>
      <c r="S49" s="45">
        <f>K49-L49</f>
        <v>0</v>
      </c>
    </row>
    <row r="50" spans="2:19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79</v>
      </c>
      <c r="H50" s="5">
        <f>calc_along_coord*10+flow_along_coord</f>
        <v>0</v>
      </c>
      <c r="I50" s="5">
        <f>calc_along_coord1*10+flow_along_coord1</f>
        <v>0</v>
      </c>
      <c r="K50" s="43">
        <v>110.52631578947368</v>
      </c>
      <c r="L50" s="43">
        <v>110.50045868214205</v>
      </c>
      <c r="M50" s="43">
        <v>0.94037333048119498</v>
      </c>
      <c r="N50" s="43">
        <v>20.552502293410711</v>
      </c>
      <c r="O50" s="43">
        <v>20.552502293410711</v>
      </c>
      <c r="P50" s="43">
        <v>0</v>
      </c>
      <c r="Q50" s="43">
        <v>101</v>
      </c>
      <c r="R50" s="43">
        <v>62</v>
      </c>
      <c r="S50" s="45">
        <f t="shared" ref="S50:S68" si="0">K50-L50</f>
        <v>2.5857107331631823E-2</v>
      </c>
    </row>
    <row r="51" spans="2:19" x14ac:dyDescent="0.25">
      <c r="G51" s="10"/>
      <c r="K51" s="43">
        <v>221.05263157894737</v>
      </c>
      <c r="L51" s="43">
        <v>221.00091736428411</v>
      </c>
      <c r="M51" s="43">
        <v>0.94037333048119498</v>
      </c>
      <c r="N51" s="43">
        <v>21.105004586821423</v>
      </c>
      <c r="O51" s="43">
        <v>21.105004586821423</v>
      </c>
      <c r="P51" s="43">
        <v>0</v>
      </c>
      <c r="Q51" s="43">
        <v>101</v>
      </c>
      <c r="R51" s="43">
        <v>62</v>
      </c>
      <c r="S51" s="45">
        <f t="shared" si="0"/>
        <v>5.1714214663263647E-2</v>
      </c>
    </row>
    <row r="52" spans="2:19" x14ac:dyDescent="0.25">
      <c r="G52" s="10"/>
      <c r="K52" s="43">
        <v>331.57894736842104</v>
      </c>
      <c r="L52" s="43">
        <v>331.50137604642617</v>
      </c>
      <c r="M52" s="43">
        <v>1.1497555811193241</v>
      </c>
      <c r="N52" s="43">
        <v>21.65750688023213</v>
      </c>
      <c r="O52" s="43">
        <v>21.65750688023213</v>
      </c>
      <c r="P52" s="43">
        <v>12.610054138305815</v>
      </c>
      <c r="Q52" s="43">
        <v>103</v>
      </c>
      <c r="R52" s="43">
        <v>62</v>
      </c>
      <c r="S52" s="45">
        <f t="shared" si="0"/>
        <v>7.7571321994867048E-2</v>
      </c>
    </row>
    <row r="53" spans="2:19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442.00183472856821</v>
      </c>
      <c r="M53" s="43">
        <v>2.2292812829345658</v>
      </c>
      <c r="N53" s="43">
        <v>22.210009173642842</v>
      </c>
      <c r="O53" s="43">
        <v>22.210009173642842</v>
      </c>
      <c r="P53" s="43">
        <v>14.993772004928434</v>
      </c>
      <c r="Q53" s="43">
        <v>103</v>
      </c>
      <c r="R53" s="43">
        <v>62</v>
      </c>
      <c r="S53" s="45">
        <f t="shared" si="0"/>
        <v>0.10342842932652729</v>
      </c>
    </row>
    <row r="54" spans="2:19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552.50229341071031</v>
      </c>
      <c r="M54" s="43">
        <v>3.3876764968350916</v>
      </c>
      <c r="N54" s="43">
        <v>22.762511467053553</v>
      </c>
      <c r="O54" s="43">
        <v>22.762511467053553</v>
      </c>
      <c r="P54" s="43">
        <v>17.275171926445307</v>
      </c>
      <c r="Q54" s="43">
        <v>103</v>
      </c>
      <c r="R54" s="43">
        <v>62</v>
      </c>
      <c r="S54" s="45">
        <f t="shared" si="0"/>
        <v>0.1292855366581307</v>
      </c>
    </row>
    <row r="55" spans="2:19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663.00275209285235</v>
      </c>
      <c r="M55" s="43">
        <v>4.6885428604579316</v>
      </c>
      <c r="N55" s="43">
        <v>23.315013760464264</v>
      </c>
      <c r="O55" s="43">
        <v>23.315013760464264</v>
      </c>
      <c r="P55" s="43">
        <v>19.750884499102696</v>
      </c>
      <c r="Q55" s="43">
        <v>103</v>
      </c>
      <c r="R55" s="43">
        <v>62</v>
      </c>
      <c r="S55" s="45">
        <f t="shared" si="0"/>
        <v>0.1551426439897341</v>
      </c>
    </row>
    <row r="56" spans="2:19" x14ac:dyDescent="0.25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773.50321077499439</v>
      </c>
      <c r="M56" s="43">
        <v>6.1917861226546469</v>
      </c>
      <c r="N56" s="43">
        <v>23.867516053874972</v>
      </c>
      <c r="O56" s="43">
        <v>23.867516053874972</v>
      </c>
      <c r="P56" s="43">
        <v>22.535100613454194</v>
      </c>
      <c r="Q56" s="43">
        <v>103</v>
      </c>
      <c r="R56" s="43">
        <v>62</v>
      </c>
      <c r="S56" s="45">
        <f t="shared" si="0"/>
        <v>0.18099975132145119</v>
      </c>
    </row>
    <row r="57" spans="2:19" x14ac:dyDescent="0.25">
      <c r="B57" s="16">
        <v>1000.23423423423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884.00366945713654</v>
      </c>
      <c r="M57" s="43">
        <v>7.9046543210060145</v>
      </c>
      <c r="N57" s="43">
        <v>24.420018347285684</v>
      </c>
      <c r="O57" s="43">
        <v>24.420018347285684</v>
      </c>
      <c r="P57" s="43">
        <v>25.557325082507077</v>
      </c>
      <c r="Q57" s="43">
        <v>103</v>
      </c>
      <c r="R57" s="43">
        <v>62</v>
      </c>
      <c r="S57" s="45">
        <f t="shared" si="0"/>
        <v>0.2068568586529409</v>
      </c>
    </row>
    <row r="58" spans="2:19" x14ac:dyDescent="0.25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994.50412813927846</v>
      </c>
      <c r="M58" s="43">
        <v>9.9389402964635174</v>
      </c>
      <c r="N58" s="43">
        <v>24.972520640696391</v>
      </c>
      <c r="O58" s="43">
        <v>24.972520640696391</v>
      </c>
      <c r="P58" s="43">
        <v>29.029758857862319</v>
      </c>
      <c r="Q58" s="43">
        <v>103</v>
      </c>
      <c r="R58" s="43">
        <v>62</v>
      </c>
      <c r="S58" s="45">
        <f t="shared" si="0"/>
        <v>0.23271396598465799</v>
      </c>
    </row>
    <row r="59" spans="2:19" x14ac:dyDescent="0.25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12.294638437004485</v>
      </c>
      <c r="N59" s="43">
        <v>29.376666666666669</v>
      </c>
      <c r="O59" s="43">
        <v>29.376666666666669</v>
      </c>
      <c r="P59" s="43">
        <v>32.61079651745915</v>
      </c>
      <c r="Q59" s="43">
        <v>103</v>
      </c>
      <c r="R59" s="43">
        <v>62</v>
      </c>
      <c r="S59" s="45">
        <f t="shared" si="0"/>
        <v>4.263157894736878</v>
      </c>
    </row>
    <row r="60" spans="2:19" x14ac:dyDescent="0.25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14.914044942267662</v>
      </c>
      <c r="N60" s="43">
        <v>33.912982456140362</v>
      </c>
      <c r="O60" s="43">
        <v>33.912982456140362</v>
      </c>
      <c r="P60" s="43">
        <v>36.314774063504544</v>
      </c>
      <c r="Q60" s="43">
        <v>103</v>
      </c>
      <c r="R60" s="43">
        <v>62</v>
      </c>
      <c r="S60" s="45">
        <f t="shared" si="0"/>
        <v>10.105263157894797</v>
      </c>
    </row>
    <row r="61" spans="2:19" x14ac:dyDescent="0.25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17.967704015734654</v>
      </c>
      <c r="N61" s="43">
        <v>38.344385964912277</v>
      </c>
      <c r="O61" s="43">
        <v>38.344385964912277</v>
      </c>
      <c r="P61" s="43">
        <v>48.069323781233884</v>
      </c>
      <c r="Q61" s="43">
        <v>103</v>
      </c>
      <c r="R61" s="43">
        <v>62</v>
      </c>
      <c r="S61" s="45">
        <f t="shared" si="0"/>
        <v>18.368421052631675</v>
      </c>
    </row>
    <row r="62" spans="2:19" x14ac:dyDescent="0.25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21.831995558849702</v>
      </c>
      <c r="N62" s="43">
        <v>42.670877192982459</v>
      </c>
      <c r="O62" s="43">
        <v>42.670877192982459</v>
      </c>
      <c r="P62" s="43">
        <v>52.753015349951305</v>
      </c>
      <c r="Q62" s="43">
        <v>103</v>
      </c>
      <c r="R62" s="43">
        <v>62</v>
      </c>
      <c r="S62" s="45">
        <f t="shared" si="0"/>
        <v>29.052631578947285</v>
      </c>
    </row>
    <row r="63" spans="2:19" x14ac:dyDescent="0.25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26.002057932906116</v>
      </c>
      <c r="N63" s="43">
        <v>46.89245614035088</v>
      </c>
      <c r="O63" s="43">
        <v>46.89245614035088</v>
      </c>
      <c r="P63" s="43">
        <v>57.296883610929783</v>
      </c>
      <c r="Q63" s="43">
        <v>103</v>
      </c>
      <c r="R63" s="43">
        <v>62</v>
      </c>
      <c r="S63" s="45">
        <f t="shared" si="0"/>
        <v>42.157894736842081</v>
      </c>
    </row>
    <row r="64" spans="2:19" x14ac:dyDescent="0.25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30.443838102186113</v>
      </c>
      <c r="N64" s="43">
        <v>51.00912280701754</v>
      </c>
      <c r="O64" s="43">
        <v>51.00912280701754</v>
      </c>
      <c r="P64" s="43">
        <v>61.628373242239611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25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35.104369876827732</v>
      </c>
      <c r="N65" s="43">
        <v>55.020877192982454</v>
      </c>
      <c r="O65" s="43">
        <v>55.020877192982454</v>
      </c>
      <c r="P65" s="43">
        <v>65.694668836280513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25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39.935004431062026</v>
      </c>
      <c r="N66" s="43">
        <v>58.92771929824562</v>
      </c>
      <c r="O66" s="43">
        <v>58.92771929824562</v>
      </c>
      <c r="P66" s="43">
        <v>69.462878508063426</v>
      </c>
      <c r="Q66" s="43">
        <v>103</v>
      </c>
      <c r="R66" s="43">
        <v>62</v>
      </c>
      <c r="S66" s="45">
        <f t="shared" si="0"/>
        <v>96</v>
      </c>
    </row>
    <row r="67" spans="2:31" x14ac:dyDescent="0.25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44.891210199463877</v>
      </c>
      <c r="N67" s="43">
        <v>62.729649122807018</v>
      </c>
      <c r="O67" s="43">
        <v>62.729649122807018</v>
      </c>
      <c r="P67" s="43">
        <v>72.919006808978622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25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50</v>
      </c>
      <c r="N68" s="43">
        <v>66.426666666666677</v>
      </c>
      <c r="O68" s="43">
        <v>66.426666666666677</v>
      </c>
      <c r="P68" s="43">
        <v>88.75706535842248</v>
      </c>
      <c r="Q68" s="43">
        <v>102</v>
      </c>
      <c r="R68" s="43">
        <v>125</v>
      </c>
      <c r="S68" s="45">
        <f t="shared" si="0"/>
        <v>144</v>
      </c>
    </row>
    <row r="69" spans="2:31" x14ac:dyDescent="0.25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25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25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46"/>
      <c r="F74" s="46"/>
      <c r="G74" s="10"/>
      <c r="H74" s="46"/>
      <c r="I74" s="46"/>
      <c r="K74" t="e" cm="1">
        <f t="array" aca="1" ref="K74" ca="1">[1]!json_pipe_p_atma(P0,T0,construction,feed,t_model,calc_along_coord,flow_along_coord,hcor,calibr_grav,calibr_fric,param,H_from,H_from,znlf)</f>
        <v>#NAME?</v>
      </c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53"/>
      <c r="AC76" s="42"/>
      <c r="AD76" s="42"/>
      <c r="AE76" s="41"/>
    </row>
    <row r="77" spans="2:31" x14ac:dyDescent="0.25">
      <c r="B77" s="16"/>
      <c r="C77" s="16"/>
      <c r="G77" s="10"/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AA78" s="41"/>
      <c r="AB78" s="41"/>
      <c r="AC78" s="42"/>
      <c r="AD78" s="42"/>
      <c r="AE78" s="41"/>
    </row>
    <row r="79" spans="2:31" x14ac:dyDescent="0.25">
      <c r="AA79" s="41"/>
      <c r="AB79" s="41"/>
      <c r="AC79" s="42"/>
      <c r="AD79" s="42"/>
      <c r="AE79" s="41"/>
    </row>
    <row r="84" spans="11:12" x14ac:dyDescent="0.25">
      <c r="K84" s="50" t="s">
        <v>90</v>
      </c>
      <c r="L84" s="50" t="s">
        <v>94</v>
      </c>
    </row>
    <row r="85" spans="11:12" x14ac:dyDescent="0.25">
      <c r="K85" s="50">
        <v>1</v>
      </c>
      <c r="L85" s="42" cm="1">
        <f t="array" ref="L85">[1]!MF_pipe_p_atma(P0,T0,construction,feed,t_model,1,0,hcor,calibr_grav,calibr_fric,,H_from,H_from,znlf,K85)</f>
        <v>207.33500000000001</v>
      </c>
    </row>
    <row r="86" spans="11:12" x14ac:dyDescent="0.25">
      <c r="K86" s="50">
        <v>10</v>
      </c>
      <c r="L86" s="42" cm="1">
        <f t="array" ref="L86">[1]!MF_pipe_p_atma(P0,T0,construction,feed,t_model,1,0,hcor,calibr_grav,calibr_fric,,H_from,H_from,znlf,K86)</f>
        <v>206.38499999999999</v>
      </c>
    </row>
    <row r="87" spans="11:12" x14ac:dyDescent="0.25">
      <c r="K87" s="50">
        <v>20</v>
      </c>
      <c r="L87" s="42" cm="1">
        <f t="array" ref="L87">[1]!MF_pipe_p_atma(P0,T0,construction,feed,t_model,1,0,hcor,calibr_grav,calibr_fric,,H_from,H_from,znlf,K87)</f>
        <v>205.63800000000001</v>
      </c>
    </row>
    <row r="88" spans="11:12" x14ac:dyDescent="0.25">
      <c r="K88" s="50">
        <v>30</v>
      </c>
      <c r="L88" s="42" cm="1">
        <f t="array" ref="L88">[1]!MF_pipe_p_atma(P0,T0,construction,feed,t_model,1,0,hcor,calibr_grav,calibr_fric,,H_from,H_from,znlf,K88)</f>
        <v>205.11600000000001</v>
      </c>
    </row>
    <row r="89" spans="11:12" x14ac:dyDescent="0.25">
      <c r="K89" s="50">
        <v>40</v>
      </c>
      <c r="L89" s="42" cm="1">
        <f t="array" ref="L89">[1]!MF_pipe_p_atma(P0,T0,construction,feed,t_model,1,0,hcor,calibr_grav,calibr_fric,,H_from,H_from,znlf,K89)</f>
        <v>204.74299999999999</v>
      </c>
    </row>
    <row r="90" spans="11:12" x14ac:dyDescent="0.25">
      <c r="K90" s="50">
        <v>50</v>
      </c>
      <c r="L90" s="42" cm="1">
        <f t="array" ref="L90">[1]!MF_pipe_p_atma(P0,T0,construction,feed,t_model,1,0,hcor,calibr_grav,calibr_fric,,H_from,H_from,znlf,K90)</f>
        <v>204.47800000000001</v>
      </c>
    </row>
    <row r="91" spans="11:12" x14ac:dyDescent="0.25">
      <c r="K91" s="50">
        <v>60</v>
      </c>
      <c r="L91" s="42" cm="1">
        <f t="array" ref="L91">[1]!MF_pipe_p_atma(P0,T0,construction,feed,t_model,1,0,hcor,calibr_grav,calibr_fric,,H_from,H_from,znlf,K91)</f>
        <v>204.29</v>
      </c>
    </row>
    <row r="92" spans="11:12" x14ac:dyDescent="0.25">
      <c r="K92" s="50">
        <v>70</v>
      </c>
      <c r="L92" s="42" cm="1">
        <f t="array" ref="L92">[1]!MF_pipe_p_atma(P0,T0,construction,feed,t_model,1,0,hcor,calibr_grav,calibr_fric,,H_from,H_from,znlf,K92)</f>
        <v>204.21</v>
      </c>
    </row>
    <row r="93" spans="11:12" x14ac:dyDescent="0.25">
      <c r="K93" s="50">
        <v>80</v>
      </c>
      <c r="L93" s="42" cm="1">
        <f t="array" ref="L93">[1]!MF_pipe_p_atma(P0,T0,construction,feed,t_model,1,0,hcor,calibr_grav,calibr_fric,,H_from,H_from,znlf,K93)</f>
        <v>204.17699999999999</v>
      </c>
    </row>
    <row r="94" spans="11:12" x14ac:dyDescent="0.25">
      <c r="K94" s="50">
        <v>90</v>
      </c>
      <c r="L94" s="42" cm="1">
        <f t="array" ref="L94">[1]!MF_pipe_p_atma(P0,T0,construction,feed,t_model,1,0,hcor,calibr_grav,calibr_fric,,H_from,H_from,znlf,K94)</f>
        <v>204.22900000000001</v>
      </c>
    </row>
    <row r="95" spans="11:12" x14ac:dyDescent="0.25">
      <c r="K95" s="50">
        <v>100</v>
      </c>
      <c r="L95" s="42" cm="1">
        <f t="array" ref="L95">[1]!MF_pipe_p_atma(P0,T0,construction,feed,t_model,1,0,hcor,calibr_grav,calibr_fric,,H_from,H_from,znlf,K95)</f>
        <v>204.27</v>
      </c>
    </row>
    <row r="96" spans="11:12" x14ac:dyDescent="0.25">
      <c r="K96" s="50">
        <v>110</v>
      </c>
      <c r="L96" s="42" cm="1">
        <f t="array" ref="L96">[1]!MF_pipe_p_atma(P0,T0,construction,feed,t_model,1,0,hcor,calibr_grav,calibr_fric,,H_from,H_from,znlf,K96)</f>
        <v>204.38399999999999</v>
      </c>
    </row>
    <row r="97" spans="11:12" x14ac:dyDescent="0.25">
      <c r="K97" s="50">
        <v>120</v>
      </c>
      <c r="L97" s="42" cm="1">
        <f t="array" ref="L97">[1]!MF_pipe_p_atma(P0,T0,construction,feed,t_model,1,0,hcor,calibr_grav,calibr_fric,,H_from,H_from,znlf,K97)</f>
        <v>204.50299999999999</v>
      </c>
    </row>
    <row r="98" spans="11:12" x14ac:dyDescent="0.25">
      <c r="K98" s="50">
        <v>130</v>
      </c>
      <c r="L98" s="42" cm="1">
        <f t="array" ref="L98">[1]!MF_pipe_p_atma(P0,T0,construction,feed,t_model,1,0,hcor,calibr_grav,calibr_fric,,H_from,H_from,znlf,K98)</f>
        <v>204.64500000000001</v>
      </c>
    </row>
    <row r="99" spans="11:12" x14ac:dyDescent="0.25">
      <c r="K99" s="50">
        <v>140</v>
      </c>
      <c r="L99" s="42" cm="1">
        <f t="array" ref="L99">[1]!MF_pipe_p_atma(P0,T0,construction,feed,t_model,1,0,hcor,calibr_grav,calibr_fric,,H_from,H_from,znlf,K99)</f>
        <v>204.815</v>
      </c>
    </row>
    <row r="100" spans="11:12" x14ac:dyDescent="0.25">
      <c r="K100" s="50">
        <v>150</v>
      </c>
      <c r="L100" s="42" cm="1">
        <f t="array" ref="L100">[1]!MF_pipe_p_atma(P0,T0,construction,feed,t_model,1,0,hcor,calibr_grav,calibr_fric,,H_from,H_from,znlf,K100)</f>
        <v>205.02</v>
      </c>
    </row>
    <row r="101" spans="11:12" x14ac:dyDescent="0.25">
      <c r="K101" s="50">
        <v>160</v>
      </c>
      <c r="L101" s="42" cm="1">
        <f t="array" ref="L101">[1]!MF_pipe_p_atma(P0,T0,construction,feed,t_model,1,0,hcor,calibr_grav,calibr_fric,,H_from,H_from,znlf,K101)</f>
        <v>205.24299999999999</v>
      </c>
    </row>
    <row r="102" spans="11:12" x14ac:dyDescent="0.25">
      <c r="K102" s="50">
        <v>170</v>
      </c>
      <c r="L102" s="42" cm="1">
        <f t="array" ref="L102">[1]!MF_pipe_p_atma(P0,T0,construction,feed,t_model,1,0,hcor,calibr_grav,calibr_fric,,H_from,H_from,znlf,K102)</f>
        <v>205.48500000000001</v>
      </c>
    </row>
    <row r="103" spans="11:12" x14ac:dyDescent="0.25">
      <c r="K103" s="50">
        <v>180</v>
      </c>
      <c r="L103" s="42" cm="1">
        <f t="array" ref="L103">[1]!MF_pipe_p_atma(P0,T0,construction,feed,t_model,1,0,hcor,calibr_grav,calibr_fric,,H_from,H_from,znlf,K103)</f>
        <v>205.74799999999999</v>
      </c>
    </row>
    <row r="104" spans="11:12" x14ac:dyDescent="0.25">
      <c r="K104" s="50">
        <v>190</v>
      </c>
      <c r="L104" s="42" cm="1">
        <f t="array" ref="L104">[1]!MF_pipe_p_atma(P0,T0,construction,feed,t_model,1,0,hcor,calibr_grav,calibr_fric,,H_from,H_from,znlf,K104)</f>
        <v>206.03899999999999</v>
      </c>
    </row>
    <row r="105" spans="11:12" x14ac:dyDescent="0.25">
      <c r="K105" s="50">
        <v>200</v>
      </c>
      <c r="L105" s="42" cm="1">
        <f t="array" ref="L105">[1]!MF_pipe_p_atma(P0,T0,construction,feed,t_model,1,0,hcor,calibr_grav,calibr_fric,,H_from,H_from,znlf,K105)</f>
        <v>206.34899999999999</v>
      </c>
    </row>
    <row r="115" spans="9:31" x14ac:dyDescent="0.25">
      <c r="I115" s="14"/>
      <c r="J115" s="52" t="s">
        <v>95</v>
      </c>
      <c r="K115" t="str" cm="1">
        <f t="array" ref="K115">[1]!encode_arange(10,400,30)</f>
        <v>[10,40,70,100,130,160,190,220,250,280,310,340,370,400]</v>
      </c>
    </row>
    <row r="116" spans="9:31" x14ac:dyDescent="0.25">
      <c r="I116" s="14"/>
      <c r="J116" s="52" t="s">
        <v>96</v>
      </c>
      <c r="K116" t="str" cm="1">
        <f t="array" ref="K116">[1]!MF_pipe_p_atma(P0,T0,construction,feed,t_model,1,0,hcor,calibr_grav,calibr_fric,,H_from,H_from,znlf,K115)</f>
        <v>{"p_atma":[206.385,204.743,204.21,204.27,204.645,205.243,206.039,207.023,208.133,209.447,210.931,212.574,214.248,216.036],"t_C":[66.427,66.427,66.427,66.427,66.427,66.427,66.427,66.427,66.427,66.427,66.427,66.427,66.427,66.427],"feed":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}</v>
      </c>
    </row>
    <row r="118" spans="9:31" x14ac:dyDescent="0.25">
      <c r="I118" s="14"/>
      <c r="J118" s="14" t="s">
        <v>97</v>
      </c>
      <c r="K118" s="14"/>
      <c r="L118" s="14"/>
      <c r="M118" s="14"/>
    </row>
    <row r="119" spans="9:31" x14ac:dyDescent="0.25">
      <c r="K119" t="str" cm="1">
        <f t="array" ref="K119:L121">[1]!decode_json(K116)</f>
        <v>p_atma</v>
      </c>
      <c r="L119" t="str">
        <v>[206.385,204.743,204.21,204.27,204.645,205.243,206.039,207.023,208.133,209.447,210.931,212.574,214.248,216.036]</v>
      </c>
    </row>
    <row r="120" spans="9:31" x14ac:dyDescent="0.25">
      <c r="K120" t="str">
        <v>t_C</v>
      </c>
      <c r="L120" t="str">
        <v>[66.427,66.427,66.427,66.427,66.427,66.427,66.427,66.427,66.427,66.427,66.427,66.427,66.427,66.427]</v>
      </c>
    </row>
    <row r="121" spans="9:31" x14ac:dyDescent="0.25">
      <c r="K121" t="str">
        <v>feed</v>
      </c>
      <c r="L121" t="str">
        <v>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</v>
      </c>
    </row>
    <row r="123" spans="9:31" x14ac:dyDescent="0.25">
      <c r="I123" s="14"/>
      <c r="J123" s="14" t="s">
        <v>98</v>
      </c>
      <c r="K123" s="14"/>
      <c r="L123" s="14"/>
      <c r="M123" s="14"/>
    </row>
    <row r="124" spans="9:31" x14ac:dyDescent="0.25">
      <c r="I124" s="14"/>
      <c r="J124" s="14" t="s">
        <v>100</v>
      </c>
      <c r="K124" s="14" t="s">
        <v>99</v>
      </c>
      <c r="L124" s="14" t="s">
        <v>101</v>
      </c>
      <c r="M124" s="14" t="s">
        <v>102</v>
      </c>
    </row>
    <row r="125" spans="9:31" x14ac:dyDescent="0.25">
      <c r="J125" cm="1">
        <f t="array" ref="J125:J138">[1]!decode_json(K115)</f>
        <v>10</v>
      </c>
      <c r="K125" cm="1">
        <f t="array" ref="K125:K138">[1]!decode_json(L119)</f>
        <v>206.38499999999999</v>
      </c>
      <c r="L125" cm="1">
        <f t="array" ref="L125:L138">[1]!decode_json(L120)</f>
        <v>66.427000000000007</v>
      </c>
      <c r="M125" t="str" cm="1">
        <f t="array" ref="M125:M138">[1]!decode_json(L121)</f>
        <v>{"gamma_gas":0.8,"gamma_oil":0.87,"gamma_wat":1,"rsb_m3m3":80,"pb_atma":120,"t_res_C":100,"bob_m3m3":1.2,"muob_cP":1,"PVT_corr_set":0,"q_liq_sm3day":10,"fw_perc":0,"rp_m3m3":80}</v>
      </c>
      <c r="AA125" s="41"/>
      <c r="AB125" s="41"/>
      <c r="AC125" s="42"/>
      <c r="AD125" s="42"/>
      <c r="AE125" s="41"/>
    </row>
    <row r="126" spans="9:31" x14ac:dyDescent="0.25">
      <c r="J126">
        <v>40</v>
      </c>
      <c r="K126">
        <v>204.74299999999999</v>
      </c>
      <c r="L126">
        <v>66.427000000000007</v>
      </c>
      <c r="M126" t="str">
        <v>{"gamma_gas":0.8,"gamma_oil":0.87,"gamma_wat":1,"rsb_m3m3":80,"pb_atma":120,"t_res_C":100,"bob_m3m3":1.2,"muob_cP":1,"PVT_corr_set":0,"q_liq_sm3day":40,"fw_perc":0,"rp_m3m3":80}</v>
      </c>
      <c r="AA126" s="41"/>
      <c r="AB126" s="41"/>
      <c r="AC126" s="42"/>
      <c r="AD126" s="42"/>
      <c r="AE126" s="41"/>
    </row>
    <row r="127" spans="9:31" x14ac:dyDescent="0.25">
      <c r="J127">
        <v>70</v>
      </c>
      <c r="K127">
        <v>204.21</v>
      </c>
      <c r="L127">
        <v>66.427000000000007</v>
      </c>
      <c r="M127" t="str">
        <v>{"gamma_gas":0.8,"gamma_oil":0.87,"gamma_wat":1,"rsb_m3m3":80,"pb_atma":120,"t_res_C":100,"bob_m3m3":1.2,"muob_cP":1,"PVT_corr_set":0,"q_liq_sm3day":70,"fw_perc":0,"rp_m3m3":80}</v>
      </c>
      <c r="O127" s="48"/>
      <c r="AA127" s="41"/>
      <c r="AB127" s="41"/>
    </row>
    <row r="128" spans="9:31" x14ac:dyDescent="0.25">
      <c r="J128">
        <v>100</v>
      </c>
      <c r="K128">
        <v>204.27</v>
      </c>
      <c r="L128">
        <v>66.427000000000007</v>
      </c>
      <c r="M128" t="str">
        <v>{"gamma_gas":0.8,"gamma_oil":0.87,"gamma_wat":1,"rsb_m3m3":80,"pb_atma":120,"t_res_C":100,"bob_m3m3":1.2,"muob_cP":1,"PVT_corr_set":0,"q_liq_sm3day":100,"fw_perc":0,"rp_m3m3":80}</v>
      </c>
      <c r="O128" s="48"/>
      <c r="AA128" s="41"/>
      <c r="AB128" s="41"/>
    </row>
    <row r="129" spans="10:15" x14ac:dyDescent="0.25">
      <c r="J129">
        <v>130</v>
      </c>
      <c r="K129">
        <v>204.64500000000001</v>
      </c>
      <c r="L129">
        <v>66.427000000000007</v>
      </c>
      <c r="M129" t="str">
        <v>{"gamma_gas":0.8,"gamma_oil":0.87,"gamma_wat":1,"rsb_m3m3":80,"pb_atma":120,"t_res_C":100,"bob_m3m3":1.2,"muob_cP":1,"PVT_corr_set":0,"q_liq_sm3day":130,"fw_perc":0,"rp_m3m3":80}</v>
      </c>
      <c r="N129" s="41"/>
      <c r="O129" s="49"/>
    </row>
    <row r="130" spans="10:15" x14ac:dyDescent="0.25">
      <c r="J130">
        <v>160</v>
      </c>
      <c r="K130">
        <v>205.24299999999999</v>
      </c>
      <c r="L130">
        <v>66.427000000000007</v>
      </c>
      <c r="M130" t="str">
        <v>{"gamma_gas":0.8,"gamma_oil":0.87,"gamma_wat":1,"rsb_m3m3":80,"pb_atma":120,"t_res_C":100,"bob_m3m3":1.2,"muob_cP":1,"PVT_corr_set":0,"q_liq_sm3day":160,"fw_perc":0,"rp_m3m3":80}</v>
      </c>
      <c r="N130" s="41"/>
      <c r="O130" s="49"/>
    </row>
    <row r="131" spans="10:15" x14ac:dyDescent="0.25">
      <c r="J131">
        <v>190</v>
      </c>
      <c r="K131">
        <v>206.03899999999999</v>
      </c>
      <c r="L131">
        <v>66.427000000000007</v>
      </c>
      <c r="M131" t="str">
        <v>{"gamma_gas":0.8,"gamma_oil":0.87,"gamma_wat":1,"rsb_m3m3":80,"pb_atma":120,"t_res_C":100,"bob_m3m3":1.2,"muob_cP":1,"PVT_corr_set":0,"q_liq_sm3day":190,"fw_perc":0,"rp_m3m3":80}</v>
      </c>
      <c r="N131" s="41"/>
      <c r="O131" s="49"/>
    </row>
    <row r="132" spans="10:15" x14ac:dyDescent="0.25">
      <c r="J132">
        <v>220</v>
      </c>
      <c r="K132">
        <v>207.023</v>
      </c>
      <c r="L132">
        <v>66.427000000000007</v>
      </c>
      <c r="M132" t="str">
        <v>{"gamma_gas":0.8,"gamma_oil":0.87,"gamma_wat":1,"rsb_m3m3":80,"pb_atma":120,"t_res_C":100,"bob_m3m3":1.2,"muob_cP":1,"PVT_corr_set":0,"q_liq_sm3day":220,"fw_perc":0,"rp_m3m3":80}</v>
      </c>
      <c r="N132" s="51"/>
      <c r="O132" s="49"/>
    </row>
    <row r="133" spans="10:15" x14ac:dyDescent="0.25">
      <c r="J133">
        <v>250</v>
      </c>
      <c r="K133">
        <v>208.13300000000001</v>
      </c>
      <c r="L133">
        <v>66.427000000000007</v>
      </c>
      <c r="M133" t="str">
        <v>{"gamma_gas":0.8,"gamma_oil":0.87,"gamma_wat":1,"rsb_m3m3":80,"pb_atma":120,"t_res_C":100,"bob_m3m3":1.2,"muob_cP":1,"PVT_corr_set":0,"q_liq_sm3day":250,"fw_perc":0,"rp_m3m3":80}</v>
      </c>
      <c r="N133" s="51"/>
      <c r="O133" s="49"/>
    </row>
    <row r="134" spans="10:15" x14ac:dyDescent="0.25">
      <c r="J134">
        <v>280</v>
      </c>
      <c r="K134">
        <v>209.447</v>
      </c>
      <c r="L134">
        <v>66.427000000000007</v>
      </c>
      <c r="M134" t="str">
        <v>{"gamma_gas":0.8,"gamma_oil":0.87,"gamma_wat":1,"rsb_m3m3":80,"pb_atma":120,"t_res_C":100,"bob_m3m3":1.2,"muob_cP":1,"PVT_corr_set":0,"q_liq_sm3day":280,"fw_perc":0,"rp_m3m3":80}</v>
      </c>
      <c r="N134" s="51"/>
      <c r="O134" s="49"/>
    </row>
    <row r="135" spans="10:15" x14ac:dyDescent="0.25">
      <c r="J135">
        <v>310</v>
      </c>
      <c r="K135">
        <v>210.93100000000001</v>
      </c>
      <c r="L135">
        <v>66.427000000000007</v>
      </c>
      <c r="M135" t="str">
        <v>{"gamma_gas":0.8,"gamma_oil":0.87,"gamma_wat":1,"rsb_m3m3":80,"pb_atma":120,"t_res_C":100,"bob_m3m3":1.2,"muob_cP":1,"PVT_corr_set":0,"q_liq_sm3day":310,"fw_perc":0,"rp_m3m3":80}</v>
      </c>
      <c r="N135" s="51"/>
      <c r="O135" s="49"/>
    </row>
    <row r="136" spans="10:15" x14ac:dyDescent="0.25">
      <c r="J136">
        <v>340</v>
      </c>
      <c r="K136">
        <v>212.57400000000001</v>
      </c>
      <c r="L136">
        <v>66.427000000000007</v>
      </c>
      <c r="M136" t="str">
        <v>{"gamma_gas":0.8,"gamma_oil":0.87,"gamma_wat":1,"rsb_m3m3":80,"pb_atma":120,"t_res_C":100,"bob_m3m3":1.2,"muob_cP":1,"PVT_corr_set":0,"q_liq_sm3day":340,"fw_perc":0,"rp_m3m3":80}</v>
      </c>
      <c r="N136" s="51"/>
      <c r="O136" s="49"/>
    </row>
    <row r="137" spans="10:15" x14ac:dyDescent="0.25">
      <c r="J137">
        <v>370</v>
      </c>
      <c r="K137">
        <v>214.24799999999999</v>
      </c>
      <c r="L137">
        <v>66.427000000000007</v>
      </c>
      <c r="M137" t="str">
        <v>{"gamma_gas":0.8,"gamma_oil":0.87,"gamma_wat":1,"rsb_m3m3":80,"pb_atma":120,"t_res_C":100,"bob_m3m3":1.2,"muob_cP":1,"PVT_corr_set":0,"q_liq_sm3day":370,"fw_perc":0,"rp_m3m3":80}</v>
      </c>
      <c r="N137" s="51"/>
      <c r="O137" s="49"/>
    </row>
    <row r="138" spans="10:15" x14ac:dyDescent="0.25">
      <c r="J138">
        <v>400</v>
      </c>
      <c r="K138">
        <v>216.036</v>
      </c>
      <c r="L138">
        <v>66.427000000000007</v>
      </c>
      <c r="M138" t="str">
        <v>{"gamma_gas":0.8,"gamma_oil":0.87,"gamma_wat":1,"rsb_m3m3":80,"pb_atma":120,"t_res_C":100,"bob_m3m3":1.2,"muob_cP":1,"PVT_corr_set":0,"q_liq_sm3day":400,"fw_perc":0,"rp_m3m3":80}</v>
      </c>
      <c r="N138" s="51"/>
      <c r="O138" s="49"/>
    </row>
    <row r="139" spans="10:15" x14ac:dyDescent="0.25">
      <c r="N139" s="51"/>
      <c r="O139" s="49"/>
    </row>
    <row r="140" spans="10:15" x14ac:dyDescent="0.25">
      <c r="N140" s="51"/>
      <c r="O140" s="49"/>
    </row>
    <row r="141" spans="10:15" x14ac:dyDescent="0.25">
      <c r="N141" s="51"/>
      <c r="O141" s="49"/>
    </row>
    <row r="142" spans="10:15" x14ac:dyDescent="0.25">
      <c r="N142" s="51"/>
      <c r="O142" s="49"/>
    </row>
    <row r="143" spans="10:15" x14ac:dyDescent="0.25">
      <c r="N143" s="51"/>
      <c r="O143" s="49"/>
    </row>
    <row r="144" spans="10:15" x14ac:dyDescent="0.25">
      <c r="N144" s="51"/>
      <c r="O144" s="49"/>
    </row>
    <row r="145" spans="14:15" x14ac:dyDescent="0.25">
      <c r="N145" s="51"/>
      <c r="O145" s="49"/>
    </row>
    <row r="146" spans="14:15" x14ac:dyDescent="0.25">
      <c r="N146" s="41"/>
      <c r="O146" s="49"/>
    </row>
    <row r="147" spans="14:15" x14ac:dyDescent="0.25">
      <c r="N147" s="41"/>
      <c r="O147" s="49"/>
    </row>
    <row r="148" spans="14:15" x14ac:dyDescent="0.25">
      <c r="N148" s="41"/>
      <c r="O148" s="49"/>
    </row>
    <row r="149" spans="14:15" x14ac:dyDescent="0.25">
      <c r="N149" s="41"/>
      <c r="O149" s="49"/>
    </row>
    <row r="150" spans="14:15" x14ac:dyDescent="0.25">
      <c r="O150" s="48"/>
    </row>
  </sheetData>
  <mergeCells count="11">
    <mergeCell ref="F27:G27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56</vt:i4>
      </vt:variant>
    </vt:vector>
  </HeadingPairs>
  <TitlesOfParts>
    <vt:vector size="57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H_from</vt:lpstr>
      <vt:lpstr>H_to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param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2023-02-20T16:02:29Z</dcterms:modified>
</cp:coreProperties>
</file>