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46D338F-125B-4A91-AE16-392421BB2753}" xr6:coauthVersionLast="45" xr6:coauthVersionMax="45" xr10:uidLastSave="{00000000-0000-0000-0000-000000000000}"/>
  <bookViews>
    <workbookView xWindow="-36855" yWindow="1350" windowWidth="32295" windowHeight="1776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c_along_coord1" localSheetId="0">exercise_pipeline!$I$39</definedName>
    <definedName name="calc_flow_direction_" localSheetId="0">exercise_pipeline!$H$41</definedName>
    <definedName name="calc_flow_direction1_" localSheetId="0">exercise_pipeline!$I$41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low_along_coord1" localSheetId="0">exercise_pipeline!$I$40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1" i="3" l="1"/>
  <c r="H41" i="3"/>
  <c r="E17" i="3"/>
  <c r="E16" i="3"/>
  <c r="E15" i="3"/>
  <c r="E14" i="3"/>
  <c r="E13" i="3"/>
  <c r="E12" i="3"/>
  <c r="E11" i="3"/>
  <c r="C34" i="3"/>
  <c r="G1" i="3"/>
  <c r="W37" i="3" a="1"/>
  <c r="C29" i="3" l="1"/>
  <c r="W37" i="3"/>
  <c r="O29" i="3" a="1"/>
  <c r="K37" i="3" a="1"/>
  <c r="K89" i="3" a="1"/>
  <c r="U40" i="3" l="1"/>
  <c r="V40" i="3" s="1"/>
  <c r="T54" i="3"/>
  <c r="U56" i="3"/>
  <c r="V56" i="3" s="1"/>
  <c r="T51" i="3"/>
  <c r="T56" i="3"/>
  <c r="T49" i="3"/>
  <c r="U58" i="3"/>
  <c r="V58" i="3" s="1"/>
  <c r="U44" i="3"/>
  <c r="V44" i="3" s="1"/>
  <c r="U47" i="3"/>
  <c r="V47" i="3" s="1"/>
  <c r="K37" i="3"/>
  <c r="T50" i="3"/>
  <c r="U52" i="3"/>
  <c r="V52" i="3" s="1"/>
  <c r="U41" i="3"/>
  <c r="V41" i="3" s="1"/>
  <c r="U53" i="3"/>
  <c r="V53" i="3" s="1"/>
  <c r="U43" i="3"/>
  <c r="V43" i="3" s="1"/>
  <c r="U50" i="3"/>
  <c r="V50" i="3" s="1"/>
  <c r="T53" i="3"/>
  <c r="T42" i="3"/>
  <c r="T55" i="3"/>
  <c r="T45" i="3"/>
  <c r="T47" i="3"/>
  <c r="U48" i="3"/>
  <c r="V48" i="3" s="1"/>
  <c r="U59" i="3"/>
  <c r="V59" i="3" s="1"/>
  <c r="T46" i="3"/>
  <c r="T40" i="3"/>
  <c r="T41" i="3"/>
  <c r="T48" i="3"/>
  <c r="U55" i="3"/>
  <c r="V55" i="3" s="1"/>
  <c r="U49" i="3"/>
  <c r="V49" i="3" s="1"/>
  <c r="U45" i="3"/>
  <c r="V45" i="3" s="1"/>
  <c r="T44" i="3"/>
  <c r="U46" i="3"/>
  <c r="V46" i="3" s="1"/>
  <c r="U57" i="3"/>
  <c r="V57" i="3" s="1"/>
  <c r="U42" i="3"/>
  <c r="V42" i="3" s="1"/>
  <c r="U51" i="3"/>
  <c r="V51" i="3" s="1"/>
  <c r="T57" i="3"/>
  <c r="T52" i="3"/>
  <c r="U54" i="3"/>
  <c r="V54" i="3" s="1"/>
  <c r="T58" i="3"/>
  <c r="T59" i="3"/>
  <c r="T43" i="3"/>
  <c r="O29" i="3"/>
  <c r="K8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<sst xmlns="http://schemas.openxmlformats.org/spreadsheetml/2006/main" count="110" uniqueCount="86">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</sst>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4.263157894736878</c:v>
                </c:pt>
                <c:pt idx="7">
                  <c:v>15.263157894736878</c:v>
                </c:pt>
                <c:pt idx="8">
                  <c:v>33.105263157894797</c:v>
                </c:pt>
                <c:pt idx="9">
                  <c:v>57.684210526315837</c:v>
                </c:pt>
                <c:pt idx="10">
                  <c:v>89</c:v>
                </c:pt>
                <c:pt idx="11">
                  <c:v>127.05263157894728</c:v>
                </c:pt>
                <c:pt idx="12">
                  <c:v>171.84210526315792</c:v>
                </c:pt>
                <c:pt idx="13">
                  <c:v>223.47368421052624</c:v>
                </c:pt>
                <c:pt idx="14">
                  <c:v>282.05263157894751</c:v>
                </c:pt>
                <c:pt idx="15">
                  <c:v>347.36842105263167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831.84210526315837</c:v>
                </c:pt>
                <c:pt idx="19">
                  <c:v>1000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1101</c:v>
                </c:pt>
                <c:pt idx="7">
                  <c:v>1274.2105263157894</c:v>
                </c:pt>
                <c:pt idx="8">
                  <c:v>1440.578947368421</c:v>
                </c:pt>
                <c:pt idx="9">
                  <c:v>1600.2105263157896</c:v>
                </c:pt>
                <c:pt idx="10">
                  <c:v>1753.1052631578948</c:v>
                </c:pt>
                <c:pt idx="11">
                  <c:v>1899.2631578947369</c:v>
                </c:pt>
                <c:pt idx="12">
                  <c:v>2038.6842105263158</c:v>
                </c:pt>
                <c:pt idx="13">
                  <c:v>2171.2631578947371</c:v>
                </c:pt>
                <c:pt idx="14">
                  <c:v>2296.894736842105</c:v>
                </c:pt>
                <c:pt idx="15">
                  <c:v>2415.7894736842104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2483.9473684210525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3.1E-2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3.1E-2</c:v>
                </c:pt>
                <c:pt idx="7">
                  <c:v>3.1E-2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3.1E-2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-3.1E-2</c:v>
                </c:pt>
                <c:pt idx="1">
                  <c:v>-3.1E-2</c:v>
                </c:pt>
                <c:pt idx="2">
                  <c:v>-3.1E-2</c:v>
                </c:pt>
                <c:pt idx="3">
                  <c:v>-3.1E-2</c:v>
                </c:pt>
                <c:pt idx="4">
                  <c:v>-3.1E-2</c:v>
                </c:pt>
                <c:pt idx="5">
                  <c:v>-3.1E-2</c:v>
                </c:pt>
                <c:pt idx="6">
                  <c:v>-3.1E-2</c:v>
                </c:pt>
                <c:pt idx="7">
                  <c:v>-3.1E-2</c:v>
                </c:pt>
                <c:pt idx="8">
                  <c:v>-3.1E-2</c:v>
                </c:pt>
                <c:pt idx="9">
                  <c:v>-3.1E-2</c:v>
                </c:pt>
                <c:pt idx="10">
                  <c:v>-3.1E-2</c:v>
                </c:pt>
                <c:pt idx="11">
                  <c:v>-3.1E-2</c:v>
                </c:pt>
                <c:pt idx="12">
                  <c:v>-3.1E-2</c:v>
                </c:pt>
                <c:pt idx="13">
                  <c:v>-3.1E-2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129.47254073648475</c:v>
                </c:pt>
                <c:pt idx="1">
                  <c:v>133.31823753253161</c:v>
                </c:pt>
                <c:pt idx="2">
                  <c:v>137.19645289214202</c:v>
                </c:pt>
                <c:pt idx="3">
                  <c:v>141.1049710005893</c:v>
                </c:pt>
                <c:pt idx="4">
                  <c:v>145.04178174301308</c:v>
                </c:pt>
                <c:pt idx="5">
                  <c:v>148.9989651252005</c:v>
                </c:pt>
                <c:pt idx="6">
                  <c:v>152.8594568469706</c:v>
                </c:pt>
                <c:pt idx="7">
                  <c:v>156.59061599589361</c:v>
                </c:pt>
                <c:pt idx="8">
                  <c:v>160.19022956780259</c:v>
                </c:pt>
                <c:pt idx="9">
                  <c:v>163.61425059856657</c:v>
                </c:pt>
                <c:pt idx="10">
                  <c:v>166.75760480259441</c:v>
                </c:pt>
                <c:pt idx="11">
                  <c:v>169.63675463589348</c:v>
                </c:pt>
                <c:pt idx="12">
                  <c:v>172.28059481015541</c:v>
                </c:pt>
                <c:pt idx="13">
                  <c:v>174.70935207880933</c:v>
                </c:pt>
                <c:pt idx="14">
                  <c:v>176.93997936515322</c:v>
                </c:pt>
                <c:pt idx="15">
                  <c:v>178.71998971966471</c:v>
                </c:pt>
                <c:pt idx="16">
                  <c:v>179.17731587067354</c:v>
                </c:pt>
                <c:pt idx="17">
                  <c:v>179.4524303342686</c:v>
                </c:pt>
                <c:pt idx="18">
                  <c:v>179.72666189909253</c:v>
                </c:pt>
                <c:pt idx="19">
                  <c:v>180.00001912482699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  <c:pt idx="0">
                  <c:v>129.47254073648475</c:v>
                </c:pt>
                <c:pt idx="1">
                  <c:v>133.31823753253562</c:v>
                </c:pt>
                <c:pt idx="2">
                  <c:v>137.19645289215225</c:v>
                </c:pt>
                <c:pt idx="3">
                  <c:v>141.1049710006063</c:v>
                </c:pt>
                <c:pt idx="4">
                  <c:v>145.04178174303701</c:v>
                </c:pt>
                <c:pt idx="5">
                  <c:v>148.99896512426224</c:v>
                </c:pt>
                <c:pt idx="6">
                  <c:v>152.85945684232871</c:v>
                </c:pt>
                <c:pt idx="7">
                  <c:v>156.59061599105405</c:v>
                </c:pt>
                <c:pt idx="8">
                  <c:v>160.19022956282484</c:v>
                </c:pt>
                <c:pt idx="9">
                  <c:v>163.61423508078147</c:v>
                </c:pt>
                <c:pt idx="10">
                  <c:v>166.75758904351395</c:v>
                </c:pt>
                <c:pt idx="11">
                  <c:v>169.63673865102086</c:v>
                </c:pt>
                <c:pt idx="12">
                  <c:v>172.28057861453493</c:v>
                </c:pt>
                <c:pt idx="13">
                  <c:v>174.70933568711956</c:v>
                </c:pt>
                <c:pt idx="14">
                  <c:v>176.93996279162292</c:v>
                </c:pt>
                <c:pt idx="15">
                  <c:v>178.71997155524181</c:v>
                </c:pt>
                <c:pt idx="16">
                  <c:v>179.17729682323838</c:v>
                </c:pt>
                <c:pt idx="17">
                  <c:v>179.45241126097088</c:v>
                </c:pt>
                <c:pt idx="18">
                  <c:v>179.72664279999759</c:v>
                </c:pt>
                <c:pt idx="19">
                  <c:v>180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59</xdr:row>
      <xdr:rowOff>99655</xdr:rowOff>
    </xdr:from>
    <xdr:to>
      <xdr:col>15</xdr:col>
      <xdr:colOff>219832</xdr:colOff>
      <xdr:row>83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59</xdr:row>
      <xdr:rowOff>88448</xdr:rowOff>
    </xdr:from>
    <xdr:to>
      <xdr:col>19</xdr:col>
      <xdr:colOff>487092</xdr:colOff>
      <xdr:row>83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554658</xdr:colOff>
      <xdr:row>59</xdr:row>
      <xdr:rowOff>104978</xdr:rowOff>
    </xdr:from>
    <xdr:to>
      <xdr:col>25</xdr:col>
      <xdr:colOff>223192</xdr:colOff>
      <xdr:row>83</xdr:row>
      <xdr:rowOff>81166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59</xdr:row>
      <xdr:rowOff>106659</xdr:rowOff>
    </xdr:from>
    <xdr:to>
      <xdr:col>30</xdr:col>
      <xdr:colOff>569353</xdr:colOff>
      <xdr:row>83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4802126" y="614421"/>
          <a:ext cx="4214969" cy="510057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189836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pipeline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Y111"/>
  <sheetViews>
    <sheetView tabSelected="1" topLeftCell="A2" zoomScaleNormal="100" workbookViewId="0">
      <selection activeCell="K89" sqref="K89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59</v>
      </c>
      <c r="I1" s="34">
        <v>43984</v>
      </c>
      <c r="J1" s="35"/>
      <c r="K1" s="35"/>
      <c r="L1" s="35"/>
    </row>
    <row r="2" spans="1:12" x14ac:dyDescent="0.25">
      <c r="A2" t="s">
        <v>73</v>
      </c>
      <c r="H2" t="s">
        <v>60</v>
      </c>
      <c r="I2" s="36">
        <v>7.25</v>
      </c>
      <c r="J2" s="35"/>
      <c r="K2" s="35"/>
      <c r="L2" s="35"/>
    </row>
    <row r="3" spans="1:12" x14ac:dyDescent="0.25">
      <c r="A3" s="37" t="s">
        <v>61</v>
      </c>
      <c r="B3" s="57" t="s">
        <v>62</v>
      </c>
      <c r="C3" s="58"/>
      <c r="D3" s="58"/>
      <c r="E3" s="59"/>
      <c r="H3" t="s">
        <v>63</v>
      </c>
      <c r="I3" s="35" t="s">
        <v>62</v>
      </c>
      <c r="J3" s="35"/>
      <c r="K3" s="35"/>
      <c r="L3" s="35"/>
    </row>
    <row r="4" spans="1:12" x14ac:dyDescent="0.25">
      <c r="A4" s="37" t="s">
        <v>64</v>
      </c>
      <c r="B4" s="57" t="s">
        <v>65</v>
      </c>
      <c r="C4" s="58"/>
      <c r="D4" s="58"/>
      <c r="E4" s="59"/>
      <c r="H4" t="s">
        <v>66</v>
      </c>
      <c r="I4" s="35" t="s">
        <v>65</v>
      </c>
      <c r="J4" s="35"/>
      <c r="K4" s="35"/>
      <c r="L4" s="35"/>
    </row>
    <row r="5" spans="1:12" x14ac:dyDescent="0.25">
      <c r="A5" s="37" t="s">
        <v>67</v>
      </c>
      <c r="B5" s="57" t="s">
        <v>68</v>
      </c>
      <c r="C5" s="58"/>
      <c r="D5" s="58"/>
      <c r="E5" s="59"/>
      <c r="H5" t="s">
        <v>69</v>
      </c>
      <c r="I5" s="35" t="s">
        <v>68</v>
      </c>
      <c r="J5" s="35"/>
      <c r="K5" s="35"/>
      <c r="L5" s="35"/>
    </row>
    <row r="6" spans="1:12" x14ac:dyDescent="0.25">
      <c r="A6" s="38" t="s">
        <v>70</v>
      </c>
      <c r="B6" s="60" t="s">
        <v>71</v>
      </c>
      <c r="C6" s="61"/>
      <c r="D6" s="61"/>
      <c r="E6" s="62"/>
      <c r="H6" s="39" t="s">
        <v>72</v>
      </c>
      <c r="I6" s="40" t="s">
        <v>71</v>
      </c>
      <c r="J6" s="40"/>
      <c r="K6" s="40"/>
      <c r="L6" s="40"/>
    </row>
    <row r="7" spans="1:12" x14ac:dyDescent="0.25">
      <c r="A7" s="41"/>
      <c r="B7" s="63"/>
      <c r="C7" s="64"/>
      <c r="D7" s="64"/>
      <c r="E7" s="65"/>
      <c r="H7" s="39"/>
      <c r="I7" s="40"/>
      <c r="J7" s="40"/>
      <c r="K7" s="40"/>
      <c r="L7" s="40"/>
    </row>
    <row r="8" spans="1:12" x14ac:dyDescent="0.25">
      <c r="A8" s="42"/>
      <c r="B8" s="66"/>
      <c r="C8" s="67"/>
      <c r="D8" s="67"/>
      <c r="E8" s="68"/>
      <c r="H8" s="39"/>
      <c r="I8" s="40"/>
      <c r="J8" s="40"/>
      <c r="K8" s="40"/>
      <c r="L8" s="40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50</v>
      </c>
      <c r="D25" s="6" t="s">
        <v>22</v>
      </c>
    </row>
    <row r="26" spans="1:19" ht="18" x14ac:dyDescent="0.35">
      <c r="B26" s="9" t="s">
        <v>49</v>
      </c>
      <c r="C26" s="3">
        <v>0</v>
      </c>
      <c r="D26" s="6" t="s">
        <v>50</v>
      </c>
      <c r="F26" s="54" t="s">
        <v>78</v>
      </c>
      <c r="G26" s="55"/>
      <c r="H26" s="3">
        <v>0</v>
      </c>
    </row>
    <row r="27" spans="1:19" ht="15.75" customHeight="1" x14ac:dyDescent="0.3">
      <c r="B27" s="9" t="s">
        <v>23</v>
      </c>
      <c r="C27" s="3">
        <v>0</v>
      </c>
      <c r="D27" s="4" t="s">
        <v>24</v>
      </c>
      <c r="F27" s="54" t="s">
        <v>79</v>
      </c>
      <c r="G27" s="55"/>
      <c r="H27" s="3">
        <v>0</v>
      </c>
    </row>
    <row r="28" spans="1:19" ht="15" customHeight="1" x14ac:dyDescent="0.25">
      <c r="A28" s="49" t="s">
        <v>25</v>
      </c>
      <c r="B28" s="10"/>
      <c r="F28" s="54" t="s">
        <v>80</v>
      </c>
      <c r="G28" s="55"/>
      <c r="H28" s="3">
        <v>0</v>
      </c>
    </row>
    <row r="29" spans="1:19" ht="15" customHeight="1" x14ac:dyDescent="0.25">
      <c r="B29" s="9" t="s">
        <v>28</v>
      </c>
      <c r="C29" s="43">
        <f>Z40</f>
        <v>129.47254073648475</v>
      </c>
      <c r="D29" s="6" t="s">
        <v>12</v>
      </c>
      <c r="F29" s="54" t="s">
        <v>81</v>
      </c>
      <c r="G29" s="55"/>
      <c r="H29" s="3">
        <v>1</v>
      </c>
      <c r="O29" s="32" t="str" cm="1">
        <f t="array" ref="O29:S30">[1]!MF_calibr_pipeline(P0,P1_,T0,E47:F56,inclinometry,H47:I57,qliq_,fw_,Qgas_free,PVTstr_,calc_flow_direction_,Hydr_corr_,temp_model,H31:H32,,,,calibr_type)</f>
        <v>no solution</v>
      </c>
      <c r="P29" s="23" t="str">
        <v>calibr_grav</v>
      </c>
      <c r="Q29" s="23">
        <v>0</v>
      </c>
      <c r="R29" s="23">
        <v>0</v>
      </c>
      <c r="S29" s="24" t="str">
        <v>solve_equation_bisection: values at segment's ends must have a different sign</v>
      </c>
    </row>
    <row r="30" spans="1:19" x14ac:dyDescent="0.25">
      <c r="B30" s="9" t="s">
        <v>29</v>
      </c>
      <c r="C30" s="43">
        <v>180</v>
      </c>
      <c r="D30" s="6" t="s">
        <v>12</v>
      </c>
      <c r="F30" s="56" t="s">
        <v>82</v>
      </c>
      <c r="G30" s="56"/>
      <c r="O30" s="29">
        <v>0</v>
      </c>
      <c r="P30" s="33" t="str">
        <v>cal_type</v>
      </c>
      <c r="Q30" s="33" t="str">
        <v>y_solution</v>
      </c>
      <c r="R30" s="33" t="str">
        <v>iterations</v>
      </c>
      <c r="S30" s="31" t="str">
        <v>description</v>
      </c>
    </row>
    <row r="31" spans="1:19" ht="15" customHeight="1" x14ac:dyDescent="0.25">
      <c r="B31" s="9" t="s">
        <v>30</v>
      </c>
      <c r="C31" s="3">
        <v>50</v>
      </c>
      <c r="D31" s="6" t="s">
        <v>31</v>
      </c>
      <c r="F31" s="54" t="s">
        <v>83</v>
      </c>
      <c r="G31" s="55"/>
      <c r="H31" s="3">
        <v>1</v>
      </c>
    </row>
    <row r="32" spans="1:19" ht="15" customHeight="1" x14ac:dyDescent="0.25">
      <c r="B32" s="9" t="s">
        <v>32</v>
      </c>
      <c r="C32" s="3">
        <v>50</v>
      </c>
      <c r="D32" s="6" t="s">
        <v>31</v>
      </c>
      <c r="F32" s="54" t="s">
        <v>84</v>
      </c>
      <c r="G32" s="55"/>
      <c r="H32" s="3">
        <v>1</v>
      </c>
    </row>
    <row r="34" spans="1:31" ht="30" x14ac:dyDescent="0.25">
      <c r="B34" s="11" t="s">
        <v>33</v>
      </c>
      <c r="C34" s="12" t="str">
        <f>[1]!PVT_encode_string(gamma_gas_,gamma_oil_,gamma_wat_,Rsb_,Rp_,Pb_,Tres_,Bob_,muob_,PVT_corr_,Ksep,Psep,Tsep,gas_only_)</f>
        <v>{"gamma_gas":0.8,"gamma_oil":0.87,"gamma_wat":1,"rsb_m3m3":80,"rp_m3m3":150,"pb_atma":120,"t_res_C":100,"bob_m3m3":1.2,"muob_cP":1,"PVTcorr":0,"ksep_fr":0,"p_ksep_atma":50,"t_ksep_C":30,"gas_only":true}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6" spans="1:31" x14ac:dyDescent="0.25">
      <c r="A36" s="50" t="s">
        <v>34</v>
      </c>
      <c r="B36" s="51"/>
      <c r="C36" s="51"/>
      <c r="D36" s="51"/>
      <c r="F36" s="13" t="s">
        <v>53</v>
      </c>
      <c r="G36" s="14"/>
      <c r="H36" s="14"/>
      <c r="K36" t="s">
        <v>55</v>
      </c>
      <c r="W36" t="s">
        <v>56</v>
      </c>
    </row>
    <row r="37" spans="1:31" ht="18" x14ac:dyDescent="0.35">
      <c r="B37" s="6" t="s">
        <v>35</v>
      </c>
      <c r="C37" s="52">
        <v>3500</v>
      </c>
      <c r="D37" s="53" t="s">
        <v>26</v>
      </c>
      <c r="K37" s="32" cm="1">
        <f t="array" ref="K37:S59">[1]!MF_p_pipeline_atma(P0,T0,E47:F54,inclinometry,H47:I53,qliq_,fw_,Qgas_free,PVTstr_,calc_flow_direction_,Hydr_corr_,temp_model)</f>
        <v>180.00001912482699</v>
      </c>
      <c r="L37" s="23">
        <v>90</v>
      </c>
      <c r="M37" s="23">
        <v>129.47254073648475</v>
      </c>
      <c r="N37" s="23">
        <v>20</v>
      </c>
      <c r="O37" s="23">
        <v>180.00001912482699</v>
      </c>
      <c r="P37" s="23">
        <v>90</v>
      </c>
      <c r="Q37" s="23">
        <v>1</v>
      </c>
      <c r="R37" s="23">
        <v>1</v>
      </c>
      <c r="S37" s="24">
        <v>7500</v>
      </c>
      <c r="T37" s="14"/>
      <c r="U37" s="14"/>
      <c r="V37" s="14"/>
      <c r="W37" s="32" cm="1">
        <f t="array" ref="W37:AE59">[1]!MF_p_pipeline_atma(P1_,T0,E47:F54,inclinometry,H47:I53,qliq_,fw_,Qgas_free,PVTstr_,calc_flow_direction1_,Hydr_corr_,temp_model)</f>
        <v>129.47254073648475</v>
      </c>
      <c r="X37" s="23">
        <v>20</v>
      </c>
      <c r="Y37" s="23">
        <v>129.47254073648475</v>
      </c>
      <c r="Z37" s="23">
        <v>20</v>
      </c>
      <c r="AA37" s="23">
        <v>180</v>
      </c>
      <c r="AB37" s="23">
        <v>90</v>
      </c>
      <c r="AC37" s="23">
        <v>1</v>
      </c>
      <c r="AD37" s="23">
        <v>1</v>
      </c>
      <c r="AE37" s="24">
        <v>7500</v>
      </c>
    </row>
    <row r="38" spans="1:31" ht="18" customHeight="1" x14ac:dyDescent="0.35">
      <c r="B38" s="6" t="s">
        <v>36</v>
      </c>
      <c r="C38" s="52">
        <v>2500</v>
      </c>
      <c r="D38" s="53" t="s">
        <v>37</v>
      </c>
      <c r="F38" s="46"/>
      <c r="G38" s="47" t="s">
        <v>48</v>
      </c>
      <c r="H38" s="3">
        <v>1</v>
      </c>
      <c r="K38" s="25" t="str">
        <v>p_result_atma</v>
      </c>
      <c r="L38" s="26" t="str">
        <v>t_result_C</v>
      </c>
      <c r="M38" s="26" t="str">
        <v>p_1, atma</v>
      </c>
      <c r="N38" s="26" t="str">
        <v>t_1, C</v>
      </c>
      <c r="O38" s="26" t="str">
        <v>p_2, atma</v>
      </c>
      <c r="P38" s="26" t="str">
        <v>t_2, C</v>
      </c>
      <c r="Q38" s="26" t="str">
        <v>c_calibr_grav</v>
      </c>
      <c r="R38" s="26" t="str">
        <v>c_calibr_fric</v>
      </c>
      <c r="S38" s="27" t="str">
        <v>q_gas_sm3day</v>
      </c>
      <c r="T38" s="14"/>
      <c r="U38" s="14"/>
      <c r="V38" s="14"/>
      <c r="W38" s="25" t="str">
        <v>p_result_atma</v>
      </c>
      <c r="X38" s="26" t="str">
        <v>t_result_C</v>
      </c>
      <c r="Y38" s="26" t="str">
        <v>p_1, atma</v>
      </c>
      <c r="Z38" s="26" t="str">
        <v>t_1, C</v>
      </c>
      <c r="AA38" s="26" t="str">
        <v>p_2, atma</v>
      </c>
      <c r="AB38" s="26" t="str">
        <v>t_2, C</v>
      </c>
      <c r="AC38" s="26" t="str">
        <v>c_calibr_grav</v>
      </c>
      <c r="AD38" s="26" t="str">
        <v>c_calibr_fric</v>
      </c>
      <c r="AE38" s="27" t="str">
        <v>q_gas_sm3day</v>
      </c>
    </row>
    <row r="39" spans="1:31" ht="18" customHeight="1" x14ac:dyDescent="0.35">
      <c r="B39" s="6" t="s">
        <v>38</v>
      </c>
      <c r="C39" s="52">
        <v>140</v>
      </c>
      <c r="D39" s="53" t="s">
        <v>27</v>
      </c>
      <c r="F39" s="46"/>
      <c r="G39" s="47" t="s">
        <v>46</v>
      </c>
      <c r="H39" s="3">
        <v>1</v>
      </c>
      <c r="I39" s="3">
        <v>0</v>
      </c>
      <c r="K39" s="25" t="str">
        <v>num</v>
      </c>
      <c r="L39" s="26" t="str">
        <v>h,m</v>
      </c>
      <c r="M39" s="26" t="str">
        <v>hvert,m</v>
      </c>
      <c r="N39" s="26" t="str">
        <v>p,atma</v>
      </c>
      <c r="O39" s="26" t="str">
        <v>t,C</v>
      </c>
      <c r="P39" s="26" t="str">
        <v>Hl</v>
      </c>
      <c r="Q39" s="26" t="str">
        <v>fpat</v>
      </c>
      <c r="R39" s="26" t="str">
        <v>t_amb, C</v>
      </c>
      <c r="S39" s="27" t="str">
        <v>diam, m</v>
      </c>
      <c r="T39" s="44" t="s">
        <v>52</v>
      </c>
      <c r="U39" s="44" t="s">
        <v>57</v>
      </c>
      <c r="V39" s="44" t="s">
        <v>58</v>
      </c>
      <c r="W39" s="25" t="str">
        <v>num</v>
      </c>
      <c r="X39" s="26" t="str">
        <v>h,m</v>
      </c>
      <c r="Y39" s="26" t="str">
        <v>hvert,m</v>
      </c>
      <c r="Z39" s="26" t="str">
        <v>p,atma</v>
      </c>
      <c r="AA39" s="26" t="str">
        <v>t,C</v>
      </c>
      <c r="AB39" s="26" t="str">
        <v>Hl</v>
      </c>
      <c r="AC39" s="26" t="str">
        <v>fpat</v>
      </c>
      <c r="AD39" s="26" t="str">
        <v>t_amb, C</v>
      </c>
      <c r="AE39" s="27" t="str">
        <v>diam, m</v>
      </c>
    </row>
    <row r="40" spans="1:31" ht="18" customHeight="1" x14ac:dyDescent="0.35">
      <c r="B40" s="6" t="s">
        <v>39</v>
      </c>
      <c r="C40" s="52">
        <v>65</v>
      </c>
      <c r="D40" s="53" t="s">
        <v>27</v>
      </c>
      <c r="F40" s="46"/>
      <c r="G40" s="47" t="s">
        <v>47</v>
      </c>
      <c r="H40" s="3">
        <v>0</v>
      </c>
      <c r="I40" s="3">
        <v>0</v>
      </c>
      <c r="K40" s="25">
        <v>1</v>
      </c>
      <c r="L40" s="28">
        <v>0</v>
      </c>
      <c r="M40" s="28">
        <v>0</v>
      </c>
      <c r="N40" s="28">
        <v>129.47254073648475</v>
      </c>
      <c r="O40" s="28">
        <v>20</v>
      </c>
      <c r="P40" s="28">
        <v>0</v>
      </c>
      <c r="Q40" s="28">
        <v>101</v>
      </c>
      <c r="R40" s="28">
        <v>20</v>
      </c>
      <c r="S40" s="27">
        <v>6.2E-2</v>
      </c>
      <c r="T40" s="45">
        <f t="shared" ref="T40:T59" si="0">L40-M40</f>
        <v>0</v>
      </c>
      <c r="U40" s="44">
        <f t="shared" ref="U40:U59" si="1">-S40/2</f>
        <v>-3.1E-2</v>
      </c>
      <c r="V40" s="44">
        <f>-U40</f>
        <v>3.1E-2</v>
      </c>
      <c r="W40" s="25">
        <v>1</v>
      </c>
      <c r="X40" s="28">
        <v>0</v>
      </c>
      <c r="Y40" s="28">
        <v>0</v>
      </c>
      <c r="Z40" s="28">
        <v>129.47254073648475</v>
      </c>
      <c r="AA40" s="28">
        <v>20</v>
      </c>
      <c r="AB40" s="28">
        <v>0</v>
      </c>
      <c r="AC40" s="28">
        <v>101</v>
      </c>
      <c r="AD40" s="28">
        <v>20</v>
      </c>
      <c r="AE40" s="27">
        <v>6.2E-2</v>
      </c>
    </row>
    <row r="41" spans="1:31" ht="18" customHeight="1" x14ac:dyDescent="0.35">
      <c r="B41" s="6" t="s">
        <v>40</v>
      </c>
      <c r="C41" s="52">
        <v>12</v>
      </c>
      <c r="D41" s="53" t="s">
        <v>27</v>
      </c>
      <c r="F41" s="46"/>
      <c r="G41" s="48" t="s">
        <v>85</v>
      </c>
      <c r="H41" s="5">
        <f>calc_along_coord*10+flow_along_coord</f>
        <v>10</v>
      </c>
      <c r="I41" s="5">
        <f>calc_along_coord1*10+flow_along_coord1</f>
        <v>0</v>
      </c>
      <c r="K41" s="25">
        <v>2</v>
      </c>
      <c r="L41" s="28">
        <v>184.21052631578948</v>
      </c>
      <c r="M41" s="28">
        <v>184.21052631578948</v>
      </c>
      <c r="N41" s="28">
        <v>133.31823753253161</v>
      </c>
      <c r="O41" s="28">
        <v>21.842105263157894</v>
      </c>
      <c r="P41" s="28">
        <v>0</v>
      </c>
      <c r="Q41" s="28">
        <v>101</v>
      </c>
      <c r="R41" s="28">
        <v>21.842105263157894</v>
      </c>
      <c r="S41" s="27">
        <v>6.2E-2</v>
      </c>
      <c r="T41" s="45">
        <f t="shared" si="0"/>
        <v>0</v>
      </c>
      <c r="U41" s="44">
        <f t="shared" si="1"/>
        <v>-3.1E-2</v>
      </c>
      <c r="V41" s="44">
        <f t="shared" ref="V41:V59" si="2">-U41</f>
        <v>3.1E-2</v>
      </c>
      <c r="W41" s="25">
        <v>2</v>
      </c>
      <c r="X41" s="28">
        <v>184.21052631578948</v>
      </c>
      <c r="Y41" s="28">
        <v>184.21052631578948</v>
      </c>
      <c r="Z41" s="28">
        <v>133.31823753253562</v>
      </c>
      <c r="AA41" s="28">
        <v>21.842105263157894</v>
      </c>
      <c r="AB41" s="28">
        <v>0</v>
      </c>
      <c r="AC41" s="28">
        <v>101</v>
      </c>
      <c r="AD41" s="28">
        <v>21.842105263157894</v>
      </c>
      <c r="AE41" s="27">
        <v>6.2E-2</v>
      </c>
    </row>
    <row r="42" spans="1:31" x14ac:dyDescent="0.25">
      <c r="G42" s="10"/>
      <c r="K42" s="25">
        <v>3</v>
      </c>
      <c r="L42" s="28">
        <v>368.42105263157896</v>
      </c>
      <c r="M42" s="28">
        <v>368.42105263157896</v>
      </c>
      <c r="N42" s="28">
        <v>137.19645289214202</v>
      </c>
      <c r="O42" s="28">
        <v>23.684210526315791</v>
      </c>
      <c r="P42" s="28">
        <v>0</v>
      </c>
      <c r="Q42" s="28">
        <v>101</v>
      </c>
      <c r="R42" s="28">
        <v>23.684210526315791</v>
      </c>
      <c r="S42" s="27">
        <v>6.2E-2</v>
      </c>
      <c r="T42" s="45">
        <f t="shared" si="0"/>
        <v>0</v>
      </c>
      <c r="U42" s="44">
        <f t="shared" si="1"/>
        <v>-3.1E-2</v>
      </c>
      <c r="V42" s="44">
        <f t="shared" si="2"/>
        <v>3.1E-2</v>
      </c>
      <c r="W42" s="25">
        <v>3</v>
      </c>
      <c r="X42" s="28">
        <v>368.42105263157896</v>
      </c>
      <c r="Y42" s="28">
        <v>368.42105263157896</v>
      </c>
      <c r="Z42" s="28">
        <v>137.19645289215225</v>
      </c>
      <c r="AA42" s="28">
        <v>23.684210526315791</v>
      </c>
      <c r="AB42" s="28">
        <v>0</v>
      </c>
      <c r="AC42" s="28">
        <v>101</v>
      </c>
      <c r="AD42" s="28">
        <v>23.684210526315791</v>
      </c>
      <c r="AE42" s="27">
        <v>6.2E-2</v>
      </c>
    </row>
    <row r="43" spans="1:31" x14ac:dyDescent="0.25">
      <c r="G43" s="10"/>
      <c r="K43" s="25">
        <v>4</v>
      </c>
      <c r="L43" s="28">
        <v>552.63157894736844</v>
      </c>
      <c r="M43" s="28">
        <v>552.63157894736844</v>
      </c>
      <c r="N43" s="28">
        <v>141.1049710005893</v>
      </c>
      <c r="O43" s="28">
        <v>25.526315789473685</v>
      </c>
      <c r="P43" s="28">
        <v>0</v>
      </c>
      <c r="Q43" s="28">
        <v>101</v>
      </c>
      <c r="R43" s="28">
        <v>25.526315789473685</v>
      </c>
      <c r="S43" s="27">
        <v>6.2E-2</v>
      </c>
      <c r="T43" s="45">
        <f t="shared" si="0"/>
        <v>0</v>
      </c>
      <c r="U43" s="44">
        <f t="shared" si="1"/>
        <v>-3.1E-2</v>
      </c>
      <c r="V43" s="44">
        <f t="shared" si="2"/>
        <v>3.1E-2</v>
      </c>
      <c r="W43" s="25">
        <v>4</v>
      </c>
      <c r="X43" s="28">
        <v>552.63157894736844</v>
      </c>
      <c r="Y43" s="28">
        <v>552.63157894736844</v>
      </c>
      <c r="Z43" s="28">
        <v>141.1049710006063</v>
      </c>
      <c r="AA43" s="28">
        <v>25.526315789473685</v>
      </c>
      <c r="AB43" s="28">
        <v>0</v>
      </c>
      <c r="AC43" s="28">
        <v>101</v>
      </c>
      <c r="AD43" s="28">
        <v>25.526315789473685</v>
      </c>
      <c r="AE43" s="27">
        <v>6.2E-2</v>
      </c>
    </row>
    <row r="44" spans="1:31" x14ac:dyDescent="0.25">
      <c r="B44" s="51" t="s">
        <v>41</v>
      </c>
      <c r="C44" s="51"/>
      <c r="E44" t="s">
        <v>54</v>
      </c>
      <c r="G44" s="10"/>
      <c r="H44" t="s">
        <v>51</v>
      </c>
      <c r="I44" s="10"/>
      <c r="K44" s="25">
        <v>5</v>
      </c>
      <c r="L44" s="28">
        <v>736.84210526315792</v>
      </c>
      <c r="M44" s="28">
        <v>736.84210526315792</v>
      </c>
      <c r="N44" s="28">
        <v>145.04178174301308</v>
      </c>
      <c r="O44" s="28">
        <v>27.368421052631579</v>
      </c>
      <c r="P44" s="28">
        <v>0</v>
      </c>
      <c r="Q44" s="28">
        <v>101</v>
      </c>
      <c r="R44" s="28">
        <v>27.368421052631579</v>
      </c>
      <c r="S44" s="27">
        <v>6.2E-2</v>
      </c>
      <c r="T44" s="45">
        <f t="shared" si="0"/>
        <v>0</v>
      </c>
      <c r="U44" s="44">
        <f t="shared" si="1"/>
        <v>-3.1E-2</v>
      </c>
      <c r="V44" s="44">
        <f t="shared" si="2"/>
        <v>3.1E-2</v>
      </c>
      <c r="W44" s="25">
        <v>5</v>
      </c>
      <c r="X44" s="28">
        <v>736.84210526315792</v>
      </c>
      <c r="Y44" s="28">
        <v>736.84210526315792</v>
      </c>
      <c r="Z44" s="28">
        <v>145.04178174303701</v>
      </c>
      <c r="AA44" s="28">
        <v>27.368421052631579</v>
      </c>
      <c r="AB44" s="28">
        <v>0</v>
      </c>
      <c r="AC44" s="28">
        <v>101</v>
      </c>
      <c r="AD44" s="28">
        <v>27.368421052631579</v>
      </c>
      <c r="AE44" s="27">
        <v>6.2E-2</v>
      </c>
    </row>
    <row r="45" spans="1:31" ht="18" x14ac:dyDescent="0.35">
      <c r="B45" s="17" t="s">
        <v>42</v>
      </c>
      <c r="C45" s="17" t="s">
        <v>43</v>
      </c>
      <c r="E45" s="17" t="s">
        <v>43</v>
      </c>
      <c r="F45" s="17" t="s">
        <v>44</v>
      </c>
      <c r="G45" s="10"/>
      <c r="H45" s="17" t="s">
        <v>42</v>
      </c>
      <c r="I45" s="15" t="s">
        <v>45</v>
      </c>
      <c r="K45" s="25">
        <v>6</v>
      </c>
      <c r="L45" s="28">
        <v>921.0526315789474</v>
      </c>
      <c r="M45" s="28">
        <v>921.0526315789474</v>
      </c>
      <c r="N45" s="28">
        <v>148.9989651252005</v>
      </c>
      <c r="O45" s="28">
        <v>29.210526315789473</v>
      </c>
      <c r="P45" s="28">
        <v>0</v>
      </c>
      <c r="Q45" s="28">
        <v>101</v>
      </c>
      <c r="R45" s="28">
        <v>29.210526315789473</v>
      </c>
      <c r="S45" s="27">
        <v>6.2E-2</v>
      </c>
      <c r="T45" s="45">
        <f t="shared" si="0"/>
        <v>0</v>
      </c>
      <c r="U45" s="44">
        <f t="shared" si="1"/>
        <v>-3.1E-2</v>
      </c>
      <c r="V45" s="44">
        <f t="shared" si="2"/>
        <v>3.1E-2</v>
      </c>
      <c r="W45" s="25">
        <v>6</v>
      </c>
      <c r="X45" s="28">
        <v>921.0526315789474</v>
      </c>
      <c r="Y45" s="28">
        <v>921.0526315789474</v>
      </c>
      <c r="Z45" s="28">
        <v>148.99896512426224</v>
      </c>
      <c r="AA45" s="28">
        <v>29.210526315789473</v>
      </c>
      <c r="AB45" s="28">
        <v>0</v>
      </c>
      <c r="AC45" s="28">
        <v>101</v>
      </c>
      <c r="AD45" s="28">
        <v>29.210526315789473</v>
      </c>
      <c r="AE45" s="27">
        <v>6.2E-2</v>
      </c>
    </row>
    <row r="46" spans="1:31" x14ac:dyDescent="0.25">
      <c r="B46" s="17" t="s">
        <v>26</v>
      </c>
      <c r="C46" s="17" t="s">
        <v>26</v>
      </c>
      <c r="E46" s="17" t="s">
        <v>26</v>
      </c>
      <c r="F46" s="17" t="s">
        <v>37</v>
      </c>
      <c r="G46" s="10"/>
      <c r="H46" s="17" t="s">
        <v>26</v>
      </c>
      <c r="I46" s="17" t="s">
        <v>27</v>
      </c>
      <c r="K46" s="25">
        <v>7</v>
      </c>
      <c r="L46" s="28">
        <v>1105.2631578947369</v>
      </c>
      <c r="M46" s="28">
        <v>1101</v>
      </c>
      <c r="N46" s="28">
        <v>152.8594568469706</v>
      </c>
      <c r="O46" s="28">
        <v>31.01</v>
      </c>
      <c r="P46" s="28">
        <v>0</v>
      </c>
      <c r="Q46" s="28">
        <v>101</v>
      </c>
      <c r="R46" s="28">
        <v>31.01</v>
      </c>
      <c r="S46" s="27">
        <v>6.2E-2</v>
      </c>
      <c r="T46" s="45">
        <f t="shared" si="0"/>
        <v>4.263157894736878</v>
      </c>
      <c r="U46" s="44">
        <f t="shared" si="1"/>
        <v>-3.1E-2</v>
      </c>
      <c r="V46" s="44">
        <f t="shared" si="2"/>
        <v>3.1E-2</v>
      </c>
      <c r="W46" s="25">
        <v>7</v>
      </c>
      <c r="X46" s="28">
        <v>1105.2631578947369</v>
      </c>
      <c r="Y46" s="28">
        <v>1101</v>
      </c>
      <c r="Z46" s="28">
        <v>152.85945684232871</v>
      </c>
      <c r="AA46" s="28">
        <v>31.01</v>
      </c>
      <c r="AB46" s="28">
        <v>0</v>
      </c>
      <c r="AC46" s="28">
        <v>101</v>
      </c>
      <c r="AD46" s="28">
        <v>31.01</v>
      </c>
      <c r="AE46" s="27">
        <v>6.2E-2</v>
      </c>
    </row>
    <row r="47" spans="1:31" x14ac:dyDescent="0.25">
      <c r="B47" s="16">
        <v>0</v>
      </c>
      <c r="C47" s="16">
        <v>0</v>
      </c>
      <c r="E47" s="18">
        <v>0</v>
      </c>
      <c r="F47" s="18">
        <v>20</v>
      </c>
      <c r="G47" s="10"/>
      <c r="H47" s="18">
        <v>0</v>
      </c>
      <c r="I47" s="19">
        <v>62</v>
      </c>
      <c r="K47" s="25">
        <v>8</v>
      </c>
      <c r="L47" s="28">
        <v>1289.4736842105262</v>
      </c>
      <c r="M47" s="28">
        <v>1274.2105263157894</v>
      </c>
      <c r="N47" s="28">
        <v>156.59061599589361</v>
      </c>
      <c r="O47" s="28">
        <v>32.742105263157896</v>
      </c>
      <c r="P47" s="28">
        <v>0</v>
      </c>
      <c r="Q47" s="28">
        <v>101</v>
      </c>
      <c r="R47" s="28">
        <v>32.742105263157896</v>
      </c>
      <c r="S47" s="27">
        <v>6.2E-2</v>
      </c>
      <c r="T47" s="45">
        <f t="shared" si="0"/>
        <v>15.263157894736878</v>
      </c>
      <c r="U47" s="44">
        <f t="shared" si="1"/>
        <v>-3.1E-2</v>
      </c>
      <c r="V47" s="44">
        <f t="shared" si="2"/>
        <v>3.1E-2</v>
      </c>
      <c r="W47" s="25">
        <v>8</v>
      </c>
      <c r="X47" s="28">
        <v>1289.4736842105262</v>
      </c>
      <c r="Y47" s="28">
        <v>1274.2105263157894</v>
      </c>
      <c r="Z47" s="28">
        <v>156.59061599105405</v>
      </c>
      <c r="AA47" s="28">
        <v>32.742105263157896</v>
      </c>
      <c r="AB47" s="28">
        <v>0</v>
      </c>
      <c r="AC47" s="28">
        <v>101</v>
      </c>
      <c r="AD47" s="28">
        <v>32.742105263157896</v>
      </c>
      <c r="AE47" s="27">
        <v>6.2E-2</v>
      </c>
    </row>
    <row r="48" spans="1:31" x14ac:dyDescent="0.25">
      <c r="B48" s="16">
        <v>1000</v>
      </c>
      <c r="C48" s="16">
        <v>1000</v>
      </c>
      <c r="E48" s="18">
        <v>1500</v>
      </c>
      <c r="F48" s="18">
        <v>35</v>
      </c>
      <c r="G48" s="10"/>
      <c r="H48" s="18">
        <v>2500</v>
      </c>
      <c r="I48" s="19">
        <v>125</v>
      </c>
      <c r="K48" s="25">
        <v>9</v>
      </c>
      <c r="L48" s="28">
        <v>1473.6842105263158</v>
      </c>
      <c r="M48" s="28">
        <v>1440.578947368421</v>
      </c>
      <c r="N48" s="28">
        <v>160.19022956780259</v>
      </c>
      <c r="O48" s="28">
        <v>34.405789473684209</v>
      </c>
      <c r="P48" s="28">
        <v>0</v>
      </c>
      <c r="Q48" s="28">
        <v>101</v>
      </c>
      <c r="R48" s="28">
        <v>34.405789473684209</v>
      </c>
      <c r="S48" s="27">
        <v>6.2E-2</v>
      </c>
      <c r="T48" s="45">
        <f t="shared" si="0"/>
        <v>33.105263157894797</v>
      </c>
      <c r="U48" s="44">
        <f t="shared" si="1"/>
        <v>-3.1E-2</v>
      </c>
      <c r="V48" s="44">
        <f t="shared" si="2"/>
        <v>3.1E-2</v>
      </c>
      <c r="W48" s="25">
        <v>9</v>
      </c>
      <c r="X48" s="28">
        <v>1473.6842105263158</v>
      </c>
      <c r="Y48" s="28">
        <v>1440.578947368421</v>
      </c>
      <c r="Z48" s="28">
        <v>160.19022956282484</v>
      </c>
      <c r="AA48" s="28">
        <v>34.405789473684209</v>
      </c>
      <c r="AB48" s="28">
        <v>0</v>
      </c>
      <c r="AC48" s="28">
        <v>101</v>
      </c>
      <c r="AD48" s="28">
        <v>34.405789473684209</v>
      </c>
      <c r="AE48" s="27">
        <v>6.2E-2</v>
      </c>
    </row>
    <row r="49" spans="2:31" x14ac:dyDescent="0.25">
      <c r="B49" s="16">
        <v>1100</v>
      </c>
      <c r="C49" s="16">
        <v>1096</v>
      </c>
      <c r="E49" s="18">
        <v>2500</v>
      </c>
      <c r="F49" s="18">
        <v>90</v>
      </c>
      <c r="G49" s="10"/>
      <c r="H49" s="18">
        <v>4000</v>
      </c>
      <c r="I49" s="19">
        <v>125</v>
      </c>
      <c r="K49" s="25">
        <v>10</v>
      </c>
      <c r="L49" s="28">
        <v>1657.8947368421054</v>
      </c>
      <c r="M49" s="28">
        <v>1600.2105263157896</v>
      </c>
      <c r="N49" s="28">
        <v>163.61425059856657</v>
      </c>
      <c r="O49" s="28">
        <v>40.511578947368434</v>
      </c>
      <c r="P49" s="28">
        <v>0</v>
      </c>
      <c r="Q49" s="28">
        <v>101</v>
      </c>
      <c r="R49" s="28">
        <v>40.511578947368434</v>
      </c>
      <c r="S49" s="27">
        <v>6.2E-2</v>
      </c>
      <c r="T49" s="45">
        <f t="shared" si="0"/>
        <v>57.684210526315837</v>
      </c>
      <c r="U49" s="44">
        <f t="shared" si="1"/>
        <v>-3.1E-2</v>
      </c>
      <c r="V49" s="44">
        <f t="shared" si="2"/>
        <v>3.1E-2</v>
      </c>
      <c r="W49" s="25">
        <v>10</v>
      </c>
      <c r="X49" s="28">
        <v>1657.8947368421054</v>
      </c>
      <c r="Y49" s="28">
        <v>1600.2105263157896</v>
      </c>
      <c r="Z49" s="28">
        <v>163.61423508078147</v>
      </c>
      <c r="AA49" s="28">
        <v>40.511578947368434</v>
      </c>
      <c r="AB49" s="28">
        <v>0</v>
      </c>
      <c r="AC49" s="28">
        <v>101</v>
      </c>
      <c r="AD49" s="28">
        <v>40.511578947368434</v>
      </c>
      <c r="AE49" s="27">
        <v>6.2E-2</v>
      </c>
    </row>
    <row r="50" spans="2:31" x14ac:dyDescent="0.25">
      <c r="B50" s="16">
        <v>1200</v>
      </c>
      <c r="C50" s="16">
        <v>1191</v>
      </c>
      <c r="E50" s="18"/>
      <c r="F50" s="18"/>
      <c r="G50" s="10"/>
      <c r="H50" s="18"/>
      <c r="I50" s="18"/>
      <c r="K50" s="25">
        <v>11</v>
      </c>
      <c r="L50" s="28">
        <v>1842.1052631578948</v>
      </c>
      <c r="M50" s="28">
        <v>1753.1052631578948</v>
      </c>
      <c r="N50" s="28">
        <v>166.75760480259441</v>
      </c>
      <c r="O50" s="28">
        <v>48.920789473684216</v>
      </c>
      <c r="P50" s="28">
        <v>0</v>
      </c>
      <c r="Q50" s="28">
        <v>101</v>
      </c>
      <c r="R50" s="28">
        <v>48.920789473684216</v>
      </c>
      <c r="S50" s="27">
        <v>6.2E-2</v>
      </c>
      <c r="T50" s="45">
        <f t="shared" si="0"/>
        <v>89</v>
      </c>
      <c r="U50" s="44">
        <f t="shared" si="1"/>
        <v>-3.1E-2</v>
      </c>
      <c r="V50" s="44">
        <f t="shared" si="2"/>
        <v>3.1E-2</v>
      </c>
      <c r="W50" s="25">
        <v>11</v>
      </c>
      <c r="X50" s="28">
        <v>1842.1052631578948</v>
      </c>
      <c r="Y50" s="28">
        <v>1753.1052631578948</v>
      </c>
      <c r="Z50" s="28">
        <v>166.75758904351395</v>
      </c>
      <c r="AA50" s="28">
        <v>48.920789473684216</v>
      </c>
      <c r="AB50" s="28">
        <v>0</v>
      </c>
      <c r="AC50" s="28">
        <v>101</v>
      </c>
      <c r="AD50" s="28">
        <v>48.920789473684216</v>
      </c>
      <c r="AE50" s="27">
        <v>6.2E-2</v>
      </c>
    </row>
    <row r="51" spans="2:31" x14ac:dyDescent="0.25">
      <c r="B51" s="16">
        <v>1300</v>
      </c>
      <c r="C51" s="16">
        <v>1284</v>
      </c>
      <c r="E51" s="18"/>
      <c r="F51" s="18"/>
      <c r="G51" s="10"/>
      <c r="H51" s="18"/>
      <c r="I51" s="18"/>
      <c r="K51" s="25">
        <v>12</v>
      </c>
      <c r="L51" s="28">
        <v>2026.3157894736842</v>
      </c>
      <c r="M51" s="28">
        <v>1899.2631578947369</v>
      </c>
      <c r="N51" s="28">
        <v>169.63675463589348</v>
      </c>
      <c r="O51" s="28">
        <v>56.959473684210522</v>
      </c>
      <c r="P51" s="28">
        <v>0</v>
      </c>
      <c r="Q51" s="28">
        <v>101</v>
      </c>
      <c r="R51" s="28">
        <v>56.959473684210522</v>
      </c>
      <c r="S51" s="27">
        <v>6.2E-2</v>
      </c>
      <c r="T51" s="45">
        <f t="shared" si="0"/>
        <v>127.05263157894728</v>
      </c>
      <c r="U51" s="44">
        <f t="shared" si="1"/>
        <v>-3.1E-2</v>
      </c>
      <c r="V51" s="44">
        <f t="shared" si="2"/>
        <v>3.1E-2</v>
      </c>
      <c r="W51" s="25">
        <v>12</v>
      </c>
      <c r="X51" s="28">
        <v>2026.3157894736842</v>
      </c>
      <c r="Y51" s="28">
        <v>1899.2631578947369</v>
      </c>
      <c r="Z51" s="28">
        <v>169.63673865102086</v>
      </c>
      <c r="AA51" s="28">
        <v>56.959473684210522</v>
      </c>
      <c r="AB51" s="28">
        <v>0</v>
      </c>
      <c r="AC51" s="28">
        <v>101</v>
      </c>
      <c r="AD51" s="28">
        <v>56.959473684210522</v>
      </c>
      <c r="AE51" s="27">
        <v>6.2E-2</v>
      </c>
    </row>
    <row r="52" spans="2:31" x14ac:dyDescent="0.25">
      <c r="B52" s="16">
        <v>1400</v>
      </c>
      <c r="C52" s="16">
        <v>1375</v>
      </c>
      <c r="E52" s="18"/>
      <c r="F52" s="18"/>
      <c r="G52" s="10"/>
      <c r="H52" s="18"/>
      <c r="I52" s="18"/>
      <c r="K52" s="25">
        <v>13</v>
      </c>
      <c r="L52" s="28">
        <v>2210.5263157894738</v>
      </c>
      <c r="M52" s="28">
        <v>2038.6842105263158</v>
      </c>
      <c r="N52" s="28">
        <v>172.28059481015541</v>
      </c>
      <c r="O52" s="28">
        <v>64.627631578947373</v>
      </c>
      <c r="P52" s="28">
        <v>0</v>
      </c>
      <c r="Q52" s="28">
        <v>101</v>
      </c>
      <c r="R52" s="28">
        <v>64.627631578947373</v>
      </c>
      <c r="S52" s="27">
        <v>6.2E-2</v>
      </c>
      <c r="T52" s="45">
        <f t="shared" si="0"/>
        <v>171.84210526315792</v>
      </c>
      <c r="U52" s="44">
        <f t="shared" si="1"/>
        <v>-3.1E-2</v>
      </c>
      <c r="V52" s="44">
        <f t="shared" si="2"/>
        <v>3.1E-2</v>
      </c>
      <c r="W52" s="25">
        <v>13</v>
      </c>
      <c r="X52" s="28">
        <v>2210.5263157894738</v>
      </c>
      <c r="Y52" s="28">
        <v>2038.6842105263158</v>
      </c>
      <c r="Z52" s="28">
        <v>172.28057861453493</v>
      </c>
      <c r="AA52" s="28">
        <v>64.627631578947373</v>
      </c>
      <c r="AB52" s="28">
        <v>0</v>
      </c>
      <c r="AC52" s="28">
        <v>101</v>
      </c>
      <c r="AD52" s="28">
        <v>64.627631578947373</v>
      </c>
      <c r="AE52" s="27">
        <v>6.2E-2</v>
      </c>
    </row>
    <row r="53" spans="2:31" x14ac:dyDescent="0.25">
      <c r="B53" s="16">
        <v>1500</v>
      </c>
      <c r="C53" s="16">
        <v>1464</v>
      </c>
      <c r="E53" s="18"/>
      <c r="F53" s="18"/>
      <c r="G53" s="10"/>
      <c r="H53" s="18"/>
      <c r="I53" s="18"/>
      <c r="K53" s="25">
        <v>14</v>
      </c>
      <c r="L53" s="28">
        <v>2394.7368421052633</v>
      </c>
      <c r="M53" s="28">
        <v>2171.2631578947371</v>
      </c>
      <c r="N53" s="28">
        <v>174.70935207880933</v>
      </c>
      <c r="O53" s="28">
        <v>71.91947368421053</v>
      </c>
      <c r="P53" s="28">
        <v>0</v>
      </c>
      <c r="Q53" s="28">
        <v>101</v>
      </c>
      <c r="R53" s="28">
        <v>71.91947368421053</v>
      </c>
      <c r="S53" s="27">
        <v>6.2E-2</v>
      </c>
      <c r="T53" s="45">
        <f t="shared" si="0"/>
        <v>223.47368421052624</v>
      </c>
      <c r="U53" s="44">
        <f t="shared" si="1"/>
        <v>-3.1E-2</v>
      </c>
      <c r="V53" s="44">
        <f t="shared" si="2"/>
        <v>3.1E-2</v>
      </c>
      <c r="W53" s="25">
        <v>14</v>
      </c>
      <c r="X53" s="28">
        <v>2394.7368421052633</v>
      </c>
      <c r="Y53" s="28">
        <v>2171.2631578947371</v>
      </c>
      <c r="Z53" s="28">
        <v>174.70933568711956</v>
      </c>
      <c r="AA53" s="28">
        <v>71.91947368421053</v>
      </c>
      <c r="AB53" s="28">
        <v>0</v>
      </c>
      <c r="AC53" s="28">
        <v>101</v>
      </c>
      <c r="AD53" s="28">
        <v>71.91947368421053</v>
      </c>
      <c r="AE53" s="27">
        <v>6.2E-2</v>
      </c>
    </row>
    <row r="54" spans="2:31" x14ac:dyDescent="0.25">
      <c r="B54" s="16">
        <v>1600</v>
      </c>
      <c r="C54" s="16">
        <v>1551</v>
      </c>
      <c r="E54" s="18"/>
      <c r="F54" s="18"/>
      <c r="G54" s="10"/>
      <c r="H54" s="18"/>
      <c r="I54" s="18"/>
      <c r="K54" s="25">
        <v>15</v>
      </c>
      <c r="L54" s="28">
        <v>2578.9473684210525</v>
      </c>
      <c r="M54" s="28">
        <v>2296.894736842105</v>
      </c>
      <c r="N54" s="28">
        <v>176.93997936515322</v>
      </c>
      <c r="O54" s="28">
        <v>78.829210526315777</v>
      </c>
      <c r="P54" s="28">
        <v>0</v>
      </c>
      <c r="Q54" s="28">
        <v>101</v>
      </c>
      <c r="R54" s="28">
        <v>78.829210526315777</v>
      </c>
      <c r="S54" s="27">
        <v>0.125</v>
      </c>
      <c r="T54" s="45">
        <f t="shared" si="0"/>
        <v>282.05263157894751</v>
      </c>
      <c r="U54" s="44">
        <f t="shared" si="1"/>
        <v>-6.25E-2</v>
      </c>
      <c r="V54" s="44">
        <f t="shared" si="2"/>
        <v>6.25E-2</v>
      </c>
      <c r="W54" s="25">
        <v>15</v>
      </c>
      <c r="X54" s="28">
        <v>2578.9473684210525</v>
      </c>
      <c r="Y54" s="28">
        <v>2296.894736842105</v>
      </c>
      <c r="Z54" s="28">
        <v>176.93996279162292</v>
      </c>
      <c r="AA54" s="28">
        <v>78.829210526315777</v>
      </c>
      <c r="AB54" s="28">
        <v>0</v>
      </c>
      <c r="AC54" s="28">
        <v>101</v>
      </c>
      <c r="AD54" s="28">
        <v>78.829210526315777</v>
      </c>
      <c r="AE54" s="27">
        <v>0.125</v>
      </c>
    </row>
    <row r="55" spans="2:31" x14ac:dyDescent="0.25">
      <c r="B55" s="16">
        <v>1700</v>
      </c>
      <c r="C55" s="16">
        <v>1636</v>
      </c>
      <c r="E55" s="18"/>
      <c r="F55" s="18"/>
      <c r="G55" s="10"/>
      <c r="H55" s="18"/>
      <c r="I55" s="18"/>
      <c r="K55" s="25">
        <v>16</v>
      </c>
      <c r="L55" s="28">
        <v>2763.1578947368421</v>
      </c>
      <c r="M55" s="28">
        <v>2415.7894736842104</v>
      </c>
      <c r="N55" s="28">
        <v>178.71998971966471</v>
      </c>
      <c r="O55" s="28">
        <v>85.368421052631589</v>
      </c>
      <c r="P55" s="28">
        <v>0</v>
      </c>
      <c r="Q55" s="28">
        <v>101</v>
      </c>
      <c r="R55" s="28">
        <v>85.368421052631589</v>
      </c>
      <c r="S55" s="27">
        <v>0.125</v>
      </c>
      <c r="T55" s="45">
        <f t="shared" si="0"/>
        <v>347.36842105263167</v>
      </c>
      <c r="U55" s="44">
        <f t="shared" si="1"/>
        <v>-6.25E-2</v>
      </c>
      <c r="V55" s="44">
        <f t="shared" si="2"/>
        <v>6.25E-2</v>
      </c>
      <c r="W55" s="25">
        <v>16</v>
      </c>
      <c r="X55" s="28">
        <v>2763.1578947368421</v>
      </c>
      <c r="Y55" s="28">
        <v>2415.7894736842104</v>
      </c>
      <c r="Z55" s="28">
        <v>178.71997155524181</v>
      </c>
      <c r="AA55" s="28">
        <v>85.368421052631589</v>
      </c>
      <c r="AB55" s="28">
        <v>0</v>
      </c>
      <c r="AC55" s="28">
        <v>101</v>
      </c>
      <c r="AD55" s="28">
        <v>85.368421052631589</v>
      </c>
      <c r="AE55" s="27">
        <v>0.125</v>
      </c>
    </row>
    <row r="56" spans="2:31" x14ac:dyDescent="0.25">
      <c r="B56" s="16">
        <v>1800</v>
      </c>
      <c r="C56" s="16">
        <v>1719</v>
      </c>
      <c r="E56" s="18"/>
      <c r="F56" s="18"/>
      <c r="G56" s="10"/>
      <c r="H56" s="18"/>
      <c r="I56" s="18"/>
      <c r="K56" s="25">
        <v>17</v>
      </c>
      <c r="L56" s="28">
        <v>2947.3684210526317</v>
      </c>
      <c r="M56" s="28">
        <v>2451.8421052631579</v>
      </c>
      <c r="N56" s="28">
        <v>179.17731587067354</v>
      </c>
      <c r="O56" s="28">
        <v>87.351315789473688</v>
      </c>
      <c r="P56" s="28">
        <v>0</v>
      </c>
      <c r="Q56" s="28">
        <v>101</v>
      </c>
      <c r="R56" s="28">
        <v>87.351315789473688</v>
      </c>
      <c r="S56" s="27">
        <v>0.125</v>
      </c>
      <c r="T56" s="45">
        <f t="shared" si="0"/>
        <v>495.52631578947376</v>
      </c>
      <c r="U56" s="44">
        <f t="shared" si="1"/>
        <v>-6.25E-2</v>
      </c>
      <c r="V56" s="44">
        <f t="shared" si="2"/>
        <v>6.25E-2</v>
      </c>
      <c r="W56" s="25">
        <v>17</v>
      </c>
      <c r="X56" s="28">
        <v>2947.3684210526317</v>
      </c>
      <c r="Y56" s="28">
        <v>2451.8421052631579</v>
      </c>
      <c r="Z56" s="28">
        <v>179.17729682323838</v>
      </c>
      <c r="AA56" s="28">
        <v>87.351315789473688</v>
      </c>
      <c r="AB56" s="28">
        <v>0</v>
      </c>
      <c r="AC56" s="28">
        <v>101</v>
      </c>
      <c r="AD56" s="28">
        <v>87.351315789473688</v>
      </c>
      <c r="AE56" s="27">
        <v>0.125</v>
      </c>
    </row>
    <row r="57" spans="2:31" x14ac:dyDescent="0.25">
      <c r="B57" s="16">
        <v>1900</v>
      </c>
      <c r="C57" s="16">
        <v>1800</v>
      </c>
      <c r="E57" s="18"/>
      <c r="F57" s="18"/>
      <c r="G57" s="10"/>
      <c r="H57" s="18"/>
      <c r="I57" s="18"/>
      <c r="K57" s="25">
        <v>18</v>
      </c>
      <c r="L57" s="28">
        <v>3131.5789473684213</v>
      </c>
      <c r="M57" s="28">
        <v>2467.8947368421054</v>
      </c>
      <c r="N57" s="28">
        <v>179.4524303342686</v>
      </c>
      <c r="O57" s="28">
        <v>88.234210526315792</v>
      </c>
      <c r="P57" s="28">
        <v>0</v>
      </c>
      <c r="Q57" s="28">
        <v>101</v>
      </c>
      <c r="R57" s="28">
        <v>88.234210526315792</v>
      </c>
      <c r="S57" s="27">
        <v>0.125</v>
      </c>
      <c r="T57" s="45">
        <f t="shared" si="0"/>
        <v>663.68421052631584</v>
      </c>
      <c r="U57" s="44">
        <f t="shared" si="1"/>
        <v>-6.25E-2</v>
      </c>
      <c r="V57" s="44">
        <f t="shared" si="2"/>
        <v>6.25E-2</v>
      </c>
      <c r="W57" s="25">
        <v>18</v>
      </c>
      <c r="X57" s="28">
        <v>3131.5789473684213</v>
      </c>
      <c r="Y57" s="28">
        <v>2467.8947368421054</v>
      </c>
      <c r="Z57" s="28">
        <v>179.45241126097088</v>
      </c>
      <c r="AA57" s="28">
        <v>88.234210526315792</v>
      </c>
      <c r="AB57" s="28">
        <v>0</v>
      </c>
      <c r="AC57" s="28">
        <v>101</v>
      </c>
      <c r="AD57" s="28">
        <v>88.234210526315792</v>
      </c>
      <c r="AE57" s="27">
        <v>0.125</v>
      </c>
    </row>
    <row r="58" spans="2:31" x14ac:dyDescent="0.25">
      <c r="B58" s="16">
        <v>2000</v>
      </c>
      <c r="C58" s="16">
        <v>1879</v>
      </c>
      <c r="E58" s="18"/>
      <c r="F58" s="18"/>
      <c r="G58" s="10"/>
      <c r="H58" s="18"/>
      <c r="I58" s="18"/>
      <c r="K58" s="25">
        <v>19</v>
      </c>
      <c r="L58" s="28">
        <v>3315.7894736842109</v>
      </c>
      <c r="M58" s="28">
        <v>2483.9473684210525</v>
      </c>
      <c r="N58" s="28">
        <v>179.72666189909253</v>
      </c>
      <c r="O58" s="28">
        <v>89.117105263157882</v>
      </c>
      <c r="P58" s="28">
        <v>0</v>
      </c>
      <c r="Q58" s="28">
        <v>101</v>
      </c>
      <c r="R58" s="28">
        <v>89.117105263157882</v>
      </c>
      <c r="S58" s="27">
        <v>0.125</v>
      </c>
      <c r="T58" s="45">
        <f t="shared" si="0"/>
        <v>831.84210526315837</v>
      </c>
      <c r="U58" s="44">
        <f t="shared" si="1"/>
        <v>-6.25E-2</v>
      </c>
      <c r="V58" s="44">
        <f t="shared" si="2"/>
        <v>6.25E-2</v>
      </c>
      <c r="W58" s="25">
        <v>19</v>
      </c>
      <c r="X58" s="28">
        <v>3315.7894736842109</v>
      </c>
      <c r="Y58" s="28">
        <v>2483.9473684210525</v>
      </c>
      <c r="Z58" s="28">
        <v>179.72664279999759</v>
      </c>
      <c r="AA58" s="28">
        <v>89.117105263157882</v>
      </c>
      <c r="AB58" s="28">
        <v>0</v>
      </c>
      <c r="AC58" s="28">
        <v>101</v>
      </c>
      <c r="AD58" s="28">
        <v>89.117105263157882</v>
      </c>
      <c r="AE58" s="27">
        <v>0.125</v>
      </c>
    </row>
    <row r="59" spans="2:31" x14ac:dyDescent="0.25">
      <c r="B59" s="16">
        <v>2100</v>
      </c>
      <c r="C59" s="16">
        <v>1956</v>
      </c>
      <c r="E59" s="18"/>
      <c r="F59" s="18"/>
      <c r="G59" s="10"/>
      <c r="H59" s="18"/>
      <c r="I59" s="18"/>
      <c r="K59" s="29">
        <v>20</v>
      </c>
      <c r="L59" s="30">
        <v>3500</v>
      </c>
      <c r="M59" s="30">
        <v>2500</v>
      </c>
      <c r="N59" s="30">
        <v>180.00001912482699</v>
      </c>
      <c r="O59" s="30">
        <v>90</v>
      </c>
      <c r="P59" s="30">
        <v>0</v>
      </c>
      <c r="Q59" s="30">
        <v>101</v>
      </c>
      <c r="R59" s="30">
        <v>90</v>
      </c>
      <c r="S59" s="31">
        <v>0.125</v>
      </c>
      <c r="T59" s="45">
        <f t="shared" si="0"/>
        <v>1000</v>
      </c>
      <c r="U59" s="44">
        <f t="shared" si="1"/>
        <v>-6.25E-2</v>
      </c>
      <c r="V59" s="44">
        <f t="shared" si="2"/>
        <v>6.25E-2</v>
      </c>
      <c r="W59" s="29">
        <v>20</v>
      </c>
      <c r="X59" s="30">
        <v>3500</v>
      </c>
      <c r="Y59" s="30">
        <v>2500</v>
      </c>
      <c r="Z59" s="30">
        <v>180</v>
      </c>
      <c r="AA59" s="30">
        <v>90</v>
      </c>
      <c r="AB59" s="30">
        <v>0</v>
      </c>
      <c r="AC59" s="30">
        <v>101</v>
      </c>
      <c r="AD59" s="30">
        <v>90</v>
      </c>
      <c r="AE59" s="31">
        <v>0.125</v>
      </c>
    </row>
    <row r="60" spans="2:31" x14ac:dyDescent="0.25">
      <c r="B60" s="16">
        <v>2200</v>
      </c>
      <c r="C60" s="16">
        <v>2031</v>
      </c>
      <c r="E60" s="18"/>
      <c r="F60" s="18"/>
      <c r="G60" s="10"/>
      <c r="H60" s="18"/>
      <c r="I60" s="18"/>
    </row>
    <row r="61" spans="2:31" x14ac:dyDescent="0.25">
      <c r="B61" s="16">
        <v>2300</v>
      </c>
      <c r="C61" s="16">
        <v>2104</v>
      </c>
      <c r="E61" s="18"/>
      <c r="F61" s="18"/>
      <c r="G61" s="10"/>
      <c r="H61" s="18"/>
      <c r="I61" s="18"/>
    </row>
    <row r="62" spans="2:31" x14ac:dyDescent="0.25">
      <c r="B62" s="16">
        <v>2400</v>
      </c>
      <c r="C62" s="16">
        <v>2175</v>
      </c>
      <c r="E62" s="18"/>
      <c r="F62" s="18"/>
      <c r="G62" s="10"/>
      <c r="H62" s="18"/>
      <c r="I62" s="18"/>
    </row>
    <row r="63" spans="2:31" x14ac:dyDescent="0.25">
      <c r="B63" s="16">
        <v>2500</v>
      </c>
      <c r="C63" s="16">
        <v>2244</v>
      </c>
      <c r="E63" s="18"/>
      <c r="F63" s="18"/>
      <c r="G63" s="10"/>
      <c r="H63" s="18"/>
      <c r="I63" s="18"/>
    </row>
    <row r="64" spans="2:31" x14ac:dyDescent="0.25">
      <c r="B64" s="16">
        <v>2600</v>
      </c>
      <c r="C64" s="16">
        <v>2311</v>
      </c>
      <c r="E64" s="18"/>
      <c r="F64" s="18"/>
      <c r="G64" s="10"/>
      <c r="H64" s="18"/>
      <c r="I64" s="18"/>
    </row>
    <row r="65" spans="2:16" x14ac:dyDescent="0.25">
      <c r="B65" s="16">
        <v>2700</v>
      </c>
      <c r="C65" s="16">
        <v>2376</v>
      </c>
      <c r="E65" s="18"/>
      <c r="F65" s="18"/>
      <c r="G65" s="10"/>
      <c r="H65" s="18"/>
      <c r="I65" s="18"/>
    </row>
    <row r="66" spans="2:16" x14ac:dyDescent="0.25">
      <c r="B66" s="16">
        <v>2800</v>
      </c>
      <c r="C66" s="16">
        <v>2439</v>
      </c>
      <c r="E66" s="18"/>
      <c r="F66" s="18"/>
      <c r="G66" s="10"/>
      <c r="H66" s="18"/>
      <c r="I66" s="18"/>
    </row>
    <row r="67" spans="2:16" x14ac:dyDescent="0.25">
      <c r="B67" s="16">
        <v>3500</v>
      </c>
      <c r="C67" s="16">
        <v>2500</v>
      </c>
      <c r="G67" s="10"/>
    </row>
    <row r="68" spans="2:16" x14ac:dyDescent="0.25">
      <c r="B68" s="16"/>
      <c r="C68" s="16"/>
      <c r="G68" s="10"/>
      <c r="P68" s="20"/>
    </row>
    <row r="69" spans="2:16" x14ac:dyDescent="0.25">
      <c r="B69" s="16"/>
      <c r="C69" s="16"/>
      <c r="G69" s="10"/>
    </row>
    <row r="89" spans="11:51" x14ac:dyDescent="0.25">
      <c r="K89" cm="1">
        <f t="array" ref="K89:AY111">[1]!MF_p_pipeline_atma(P1_,T0,E47:F54,inclinometry,H47:I53,qliq_,fw_,Qgas_free,PVTstr_,calc_flow_direction1_,Hydr_corr_,temp_model,,,2)</f>
        <v>129.47254073648475</v>
      </c>
      <c r="L89">
        <v>20</v>
      </c>
      <c r="M89">
        <v>129.47254073648475</v>
      </c>
      <c r="N89">
        <v>20</v>
      </c>
      <c r="O89">
        <v>180</v>
      </c>
      <c r="P89">
        <v>90</v>
      </c>
      <c r="Q89">
        <v>1</v>
      </c>
      <c r="R89">
        <v>1</v>
      </c>
      <c r="S89">
        <v>7500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</row>
    <row r="90" spans="11:51" x14ac:dyDescent="0.25">
      <c r="K90" t="str">
        <v>p_result_atma</v>
      </c>
      <c r="L90" t="str">
        <v>t_result_C</v>
      </c>
      <c r="M90" t="str">
        <v>p_1, atma</v>
      </c>
      <c r="N90" t="str">
        <v>t_1, C</v>
      </c>
      <c r="O90" t="str">
        <v>p_2, atma</v>
      </c>
      <c r="P90" t="str">
        <v>t_2, C</v>
      </c>
      <c r="Q90" t="str">
        <v>c_calibr_grav</v>
      </c>
      <c r="R90" t="str">
        <v>c_calibr_fric</v>
      </c>
      <c r="S90" t="str">
        <v>q_gas_sm3day</v>
      </c>
      <c r="T90" t="str">
        <v>q_gas_sm3day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</row>
    <row r="91" spans="11:51" x14ac:dyDescent="0.25">
      <c r="K91" t="str">
        <v>num</v>
      </c>
      <c r="L91" t="str">
        <v>h,m</v>
      </c>
      <c r="M91" t="str">
        <v>hvert,m</v>
      </c>
      <c r="N91" t="str">
        <v>p,atma</v>
      </c>
      <c r="O91" t="str">
        <v>t,C</v>
      </c>
      <c r="P91" t="str">
        <v>Hl</v>
      </c>
      <c r="Q91" t="str">
        <v>fpat</v>
      </c>
      <c r="R91" t="str">
        <v>t_amb, C</v>
      </c>
      <c r="S91" t="str">
        <v>diam, m</v>
      </c>
      <c r="T91" t="str">
        <v>c_Roughness</v>
      </c>
      <c r="U91" t="str">
        <v>c_Theta</v>
      </c>
      <c r="V91" t="str">
        <v>c_Tinit</v>
      </c>
      <c r="W91" t="str">
        <v>c_P</v>
      </c>
      <c r="X91" t="str">
        <v>c_T</v>
      </c>
      <c r="Y91" t="str">
        <v>c_Tamb</v>
      </c>
      <c r="Z91" t="str">
        <v>c_udl_m</v>
      </c>
      <c r="AA91" t="str">
        <v>c_dpdl_g</v>
      </c>
      <c r="AB91" t="str">
        <v>c_dpdl_f</v>
      </c>
      <c r="AC91" t="str">
        <v>c_dpdl_a</v>
      </c>
      <c r="AD91" t="str">
        <v>c_vsl</v>
      </c>
      <c r="AE91" t="str">
        <v>c_vsg</v>
      </c>
      <c r="AF91" t="str">
        <v>c_Hl</v>
      </c>
      <c r="AG91" t="str">
        <v>c_gasfrac</v>
      </c>
      <c r="AH91" t="str">
        <v>c_muo</v>
      </c>
      <c r="AI91" t="str">
        <v>c_muw</v>
      </c>
      <c r="AJ91" t="str">
        <v>c_mug</v>
      </c>
      <c r="AK91" t="str">
        <v>c_mumix</v>
      </c>
      <c r="AL91" t="str">
        <v>c_rhoo</v>
      </c>
      <c r="AM91" t="str">
        <v>c_rhow</v>
      </c>
      <c r="AN91" t="str">
        <v>c_rhol</v>
      </c>
      <c r="AO91" t="str">
        <v>c_rhog</v>
      </c>
      <c r="AP91" t="str">
        <v>c_rhomix</v>
      </c>
      <c r="AQ91" t="str">
        <v>c_qo</v>
      </c>
      <c r="AR91" t="str">
        <v>c_qw</v>
      </c>
      <c r="AS91" t="str">
        <v>c_qg</v>
      </c>
      <c r="AT91" t="str">
        <v>c_mo</v>
      </c>
      <c r="AU91" t="str">
        <v>c_mw</v>
      </c>
      <c r="AV91" t="str">
        <v>c_mg</v>
      </c>
      <c r="AW91" t="str">
        <v>c_vl</v>
      </c>
      <c r="AX91" t="str">
        <v>c_vg</v>
      </c>
      <c r="AY91" t="str">
        <v>c_Rs</v>
      </c>
    </row>
    <row r="92" spans="11:51" x14ac:dyDescent="0.25">
      <c r="K92">
        <v>1</v>
      </c>
      <c r="L92">
        <v>0</v>
      </c>
      <c r="M92">
        <v>0</v>
      </c>
      <c r="N92">
        <v>129.47254073648475</v>
      </c>
      <c r="O92">
        <v>20</v>
      </c>
      <c r="P92">
        <v>0</v>
      </c>
      <c r="Q92">
        <v>101</v>
      </c>
      <c r="R92">
        <v>20</v>
      </c>
      <c r="S92">
        <v>6.2E-2</v>
      </c>
      <c r="T92">
        <v>1E-4</v>
      </c>
      <c r="U92">
        <v>90</v>
      </c>
      <c r="V92">
        <v>50</v>
      </c>
      <c r="W92">
        <v>129.47254073648475</v>
      </c>
      <c r="X92">
        <v>20</v>
      </c>
      <c r="Y92">
        <v>20</v>
      </c>
      <c r="Z92">
        <v>0</v>
      </c>
      <c r="AA92">
        <v>2.0779554213500185E-2</v>
      </c>
      <c r="AB92">
        <v>0</v>
      </c>
      <c r="AC92">
        <v>0</v>
      </c>
      <c r="AD92">
        <v>0</v>
      </c>
      <c r="AE92">
        <v>6.1101485789267218E-2</v>
      </c>
      <c r="AF92">
        <v>0</v>
      </c>
      <c r="AG92">
        <v>0.22003799060876628</v>
      </c>
      <c r="AH92">
        <v>1.0846175360832291</v>
      </c>
      <c r="AI92">
        <v>1.0640045359654711</v>
      </c>
      <c r="AJ92">
        <v>2.3358563428466136E-2</v>
      </c>
      <c r="AK92">
        <v>0.86417926493260333</v>
      </c>
      <c r="AL92">
        <v>839.1706238540479</v>
      </c>
      <c r="AM92">
        <v>1000.3031382410506</v>
      </c>
      <c r="AN92">
        <v>839.1706238540479</v>
      </c>
      <c r="AO92">
        <v>214.62674115014332</v>
      </c>
      <c r="AP92">
        <v>701.74724285688376</v>
      </c>
      <c r="AQ92">
        <v>56.495590589507636</v>
      </c>
      <c r="AR92">
        <v>0</v>
      </c>
      <c r="AS92">
        <v>15.938181708713495</v>
      </c>
      <c r="AT92">
        <v>0.54872037037037036</v>
      </c>
      <c r="AU92">
        <v>0</v>
      </c>
      <c r="AV92">
        <v>3.959212962962963E-2</v>
      </c>
      <c r="AW92">
        <v>0</v>
      </c>
      <c r="AX92">
        <v>1.8446969570270249E-4</v>
      </c>
      <c r="AY92">
        <v>80</v>
      </c>
    </row>
    <row r="93" spans="11:51" x14ac:dyDescent="0.25">
      <c r="K93">
        <v>2</v>
      </c>
      <c r="L93">
        <v>184.21052631578948</v>
      </c>
      <c r="M93">
        <v>184.21052631578948</v>
      </c>
      <c r="N93">
        <v>133.31823753253562</v>
      </c>
      <c r="O93">
        <v>21.842105263157894</v>
      </c>
      <c r="P93">
        <v>0</v>
      </c>
      <c r="Q93">
        <v>101</v>
      </c>
      <c r="R93">
        <v>21.842105263157894</v>
      </c>
      <c r="S93">
        <v>6.2E-2</v>
      </c>
      <c r="T93">
        <v>1E-4</v>
      </c>
      <c r="U93">
        <v>90</v>
      </c>
      <c r="V93">
        <v>50</v>
      </c>
      <c r="W93">
        <v>133.31823753253562</v>
      </c>
      <c r="X93">
        <v>21.842105263157894</v>
      </c>
      <c r="Y93">
        <v>21.842105263157894</v>
      </c>
      <c r="Z93">
        <v>0</v>
      </c>
      <c r="AA93">
        <v>2.0964157652575224E-2</v>
      </c>
      <c r="AB93">
        <v>0</v>
      </c>
      <c r="AC93">
        <v>0</v>
      </c>
      <c r="AD93">
        <v>0</v>
      </c>
      <c r="AE93">
        <v>6.0563623019666377E-2</v>
      </c>
      <c r="AF93">
        <v>0</v>
      </c>
      <c r="AG93">
        <v>0.21837322405959966</v>
      </c>
      <c r="AH93">
        <v>1.0925069422501712</v>
      </c>
      <c r="AI93">
        <v>1.0112207528879313</v>
      </c>
      <c r="AJ93">
        <v>2.3605935375954755E-2</v>
      </c>
      <c r="AK93">
        <v>0.87238423211576344</v>
      </c>
      <c r="AL93">
        <v>838.42870758139338</v>
      </c>
      <c r="AM93">
        <v>999.70427809432169</v>
      </c>
      <c r="AN93">
        <v>838.42870758139338</v>
      </c>
      <c r="AO93">
        <v>216.53346321581901</v>
      </c>
      <c r="AP93">
        <v>702.62327211135198</v>
      </c>
      <c r="AQ93">
        <v>56.545584637925721</v>
      </c>
      <c r="AR93">
        <v>0</v>
      </c>
      <c r="AS93">
        <v>15.797881445217188</v>
      </c>
      <c r="AT93">
        <v>0.54872037037037036</v>
      </c>
      <c r="AU93">
        <v>0</v>
      </c>
      <c r="AV93">
        <v>3.959212962962963E-2</v>
      </c>
      <c r="AW93">
        <v>0</v>
      </c>
      <c r="AX93">
        <v>1.8284585006038415E-4</v>
      </c>
      <c r="AY93">
        <v>80</v>
      </c>
    </row>
    <row r="94" spans="11:51" x14ac:dyDescent="0.25">
      <c r="K94">
        <v>3</v>
      </c>
      <c r="L94">
        <v>368.42105263157896</v>
      </c>
      <c r="M94">
        <v>368.42105263157896</v>
      </c>
      <c r="N94">
        <v>137.19645289215225</v>
      </c>
      <c r="O94">
        <v>23.684210526315791</v>
      </c>
      <c r="P94">
        <v>0</v>
      </c>
      <c r="Q94">
        <v>101</v>
      </c>
      <c r="R94">
        <v>23.684210526315791</v>
      </c>
      <c r="S94">
        <v>6.2E-2</v>
      </c>
      <c r="T94">
        <v>1E-4</v>
      </c>
      <c r="U94">
        <v>90</v>
      </c>
      <c r="V94">
        <v>50</v>
      </c>
      <c r="W94">
        <v>137.19645289215225</v>
      </c>
      <c r="X94">
        <v>23.684210526315791</v>
      </c>
      <c r="Y94">
        <v>23.684210526315791</v>
      </c>
      <c r="Z94">
        <v>0</v>
      </c>
      <c r="AA94">
        <v>2.113592286068211E-2</v>
      </c>
      <c r="AB94">
        <v>0</v>
      </c>
      <c r="AC94">
        <v>0</v>
      </c>
      <c r="AD94">
        <v>0</v>
      </c>
      <c r="AE94">
        <v>6.0071504800265477E-2</v>
      </c>
      <c r="AF94">
        <v>0</v>
      </c>
      <c r="AG94">
        <v>0.21683454394956833</v>
      </c>
      <c r="AH94">
        <v>1.1006091048506998</v>
      </c>
      <c r="AI94">
        <v>0.96340531270625351</v>
      </c>
      <c r="AJ94">
        <v>2.3840474293653643E-2</v>
      </c>
      <c r="AK94">
        <v>0.88063086696478976</v>
      </c>
      <c r="AL94">
        <v>837.69231349391885</v>
      </c>
      <c r="AM94">
        <v>999.09747566397209</v>
      </c>
      <c r="AN94">
        <v>837.69231349391885</v>
      </c>
      <c r="AO94">
        <v>218.30758245245818</v>
      </c>
      <c r="AP94">
        <v>703.38807411056348</v>
      </c>
      <c r="AQ94">
        <v>56.595293469596001</v>
      </c>
      <c r="AR94">
        <v>0</v>
      </c>
      <c r="AS94">
        <v>15.669513542184005</v>
      </c>
      <c r="AT94">
        <v>0.54872037037037036</v>
      </c>
      <c r="AU94">
        <v>0</v>
      </c>
      <c r="AV94">
        <v>3.9592129629629637E-2</v>
      </c>
      <c r="AW94">
        <v>0</v>
      </c>
      <c r="AX94">
        <v>1.813601104419445E-4</v>
      </c>
      <c r="AY94">
        <v>80</v>
      </c>
    </row>
    <row r="95" spans="11:51" x14ac:dyDescent="0.25">
      <c r="K95">
        <v>4</v>
      </c>
      <c r="L95">
        <v>552.63157894736844</v>
      </c>
      <c r="M95">
        <v>552.63157894736844</v>
      </c>
      <c r="N95">
        <v>141.1049710006063</v>
      </c>
      <c r="O95">
        <v>25.526315789473685</v>
      </c>
      <c r="P95">
        <v>0</v>
      </c>
      <c r="Q95">
        <v>101</v>
      </c>
      <c r="R95">
        <v>25.526315789473685</v>
      </c>
      <c r="S95">
        <v>6.2E-2</v>
      </c>
      <c r="T95">
        <v>1E-4</v>
      </c>
      <c r="U95">
        <v>90</v>
      </c>
      <c r="V95">
        <v>50</v>
      </c>
      <c r="W95">
        <v>141.1049710006063</v>
      </c>
      <c r="X95">
        <v>25.526315789473685</v>
      </c>
      <c r="Y95">
        <v>25.526315789473685</v>
      </c>
      <c r="Z95">
        <v>0</v>
      </c>
      <c r="AA95">
        <v>2.1296025393494664E-2</v>
      </c>
      <c r="AB95">
        <v>0</v>
      </c>
      <c r="AC95">
        <v>0</v>
      </c>
      <c r="AD95">
        <v>0</v>
      </c>
      <c r="AE95">
        <v>5.9619884079908744E-2</v>
      </c>
      <c r="AF95">
        <v>0</v>
      </c>
      <c r="AG95">
        <v>0.2154081139612766</v>
      </c>
      <c r="AH95">
        <v>1.1089162219746467</v>
      </c>
      <c r="AI95">
        <v>0.91990758423345975</v>
      </c>
      <c r="AJ95">
        <v>2.4063246624646588E-2</v>
      </c>
      <c r="AK95">
        <v>0.88892736958374141</v>
      </c>
      <c r="AL95">
        <v>836.96094778993347</v>
      </c>
      <c r="AM95">
        <v>998.48278337947215</v>
      </c>
      <c r="AN95">
        <v>836.96094778993347</v>
      </c>
      <c r="AO95">
        <v>219.96124087623306</v>
      </c>
      <c r="AP95">
        <v>704.05396931344637</v>
      </c>
      <c r="AQ95">
        <v>56.644748799913671</v>
      </c>
      <c r="AR95">
        <v>0</v>
      </c>
      <c r="AS95">
        <v>15.551709318416174</v>
      </c>
      <c r="AT95">
        <v>0.54872037037037036</v>
      </c>
      <c r="AU95">
        <v>0</v>
      </c>
      <c r="AV95">
        <v>3.959212962962963E-2</v>
      </c>
      <c r="AW95">
        <v>0</v>
      </c>
      <c r="AX95">
        <v>1.7999663562981685E-4</v>
      </c>
      <c r="AY95">
        <v>80</v>
      </c>
    </row>
    <row r="96" spans="11:51" x14ac:dyDescent="0.25">
      <c r="K96">
        <v>5</v>
      </c>
      <c r="L96">
        <v>736.84210526315792</v>
      </c>
      <c r="M96">
        <v>736.84210526315792</v>
      </c>
      <c r="N96">
        <v>145.04178174303701</v>
      </c>
      <c r="O96">
        <v>27.368421052631579</v>
      </c>
      <c r="P96">
        <v>0</v>
      </c>
      <c r="Q96">
        <v>101</v>
      </c>
      <c r="R96">
        <v>27.368421052631579</v>
      </c>
      <c r="S96">
        <v>6.2E-2</v>
      </c>
      <c r="T96">
        <v>1E-4</v>
      </c>
      <c r="U96">
        <v>90</v>
      </c>
      <c r="V96">
        <v>50</v>
      </c>
      <c r="W96">
        <v>145.04178174303701</v>
      </c>
      <c r="X96">
        <v>27.368421052631579</v>
      </c>
      <c r="Y96">
        <v>27.368421052631579</v>
      </c>
      <c r="Z96">
        <v>0</v>
      </c>
      <c r="AA96">
        <v>2.1445583266507522E-2</v>
      </c>
      <c r="AB96">
        <v>0</v>
      </c>
      <c r="AC96">
        <v>0</v>
      </c>
      <c r="AD96">
        <v>0</v>
      </c>
      <c r="AE96">
        <v>5.9204057812790055E-2</v>
      </c>
      <c r="AF96">
        <v>0</v>
      </c>
      <c r="AG96">
        <v>0.21408139950359101</v>
      </c>
      <c r="AH96">
        <v>1.1174206286462993</v>
      </c>
      <c r="AI96">
        <v>0.88018377369463641</v>
      </c>
      <c r="AJ96">
        <v>2.4275309038791854E-2</v>
      </c>
      <c r="AK96">
        <v>0.89728084396884644</v>
      </c>
      <c r="AL96">
        <v>836.23416820108537</v>
      </c>
      <c r="AM96">
        <v>997.86025482955358</v>
      </c>
      <c r="AN96">
        <v>836.23416820108537</v>
      </c>
      <c r="AO96">
        <v>221.50598618541025</v>
      </c>
      <c r="AP96">
        <v>704.63210564226517</v>
      </c>
      <c r="AQ96">
        <v>56.693979081335712</v>
      </c>
      <c r="AR96">
        <v>0</v>
      </c>
      <c r="AS96">
        <v>15.443241995257269</v>
      </c>
      <c r="AT96">
        <v>0.54872037037037036</v>
      </c>
      <c r="AU96">
        <v>0</v>
      </c>
      <c r="AV96">
        <v>3.959212962962963E-2</v>
      </c>
      <c r="AW96">
        <v>0</v>
      </c>
      <c r="AX96">
        <v>1.7874122679695914E-4</v>
      </c>
      <c r="AY96">
        <v>80</v>
      </c>
    </row>
    <row r="97" spans="11:51" x14ac:dyDescent="0.25">
      <c r="K97">
        <v>6</v>
      </c>
      <c r="L97">
        <v>921.0526315789474</v>
      </c>
      <c r="M97">
        <v>921.0526315789474</v>
      </c>
      <c r="N97">
        <v>148.99896512426224</v>
      </c>
      <c r="O97">
        <v>29.210526315789473</v>
      </c>
      <c r="P97">
        <v>0</v>
      </c>
      <c r="Q97">
        <v>101</v>
      </c>
      <c r="R97">
        <v>29.210526315789473</v>
      </c>
      <c r="S97">
        <v>6.2E-2</v>
      </c>
      <c r="T97">
        <v>1E-4</v>
      </c>
      <c r="U97">
        <v>86.576799008776433</v>
      </c>
      <c r="V97">
        <v>50</v>
      </c>
      <c r="W97">
        <v>148.99896512426224</v>
      </c>
      <c r="X97">
        <v>29.210526315789473</v>
      </c>
      <c r="Y97">
        <v>29.210526315789473</v>
      </c>
      <c r="Z97">
        <v>0</v>
      </c>
      <c r="AA97">
        <v>2.1402692769368535E-2</v>
      </c>
      <c r="AB97">
        <v>0</v>
      </c>
      <c r="AC97">
        <v>0</v>
      </c>
      <c r="AD97">
        <v>0</v>
      </c>
      <c r="AE97">
        <v>5.8821793078299822E-2</v>
      </c>
      <c r="AF97">
        <v>0</v>
      </c>
      <c r="AG97">
        <v>0.21284863866370804</v>
      </c>
      <c r="AH97">
        <v>1.1260982579221277</v>
      </c>
      <c r="AI97">
        <v>0.8437725748906113</v>
      </c>
      <c r="AJ97">
        <v>2.4476815664347971E-2</v>
      </c>
      <c r="AK97">
        <v>0.90567722850649035</v>
      </c>
      <c r="AL97">
        <v>835.51122448210526</v>
      </c>
      <c r="AM97">
        <v>997.22980246197164</v>
      </c>
      <c r="AN97">
        <v>835.51122448210526</v>
      </c>
      <c r="AO97">
        <v>222.94518042516802</v>
      </c>
      <c r="AP97">
        <v>705.12726221439686</v>
      </c>
      <c r="AQ97">
        <v>56.743033905929927</v>
      </c>
      <c r="AR97">
        <v>0</v>
      </c>
      <c r="AS97">
        <v>15.34352912051391</v>
      </c>
      <c r="AT97">
        <v>0.54872037037037036</v>
      </c>
      <c r="AU97">
        <v>0</v>
      </c>
      <c r="AV97">
        <v>3.959212962962963E-2</v>
      </c>
      <c r="AW97">
        <v>0</v>
      </c>
      <c r="AX97">
        <v>1.7758714259854061E-4</v>
      </c>
      <c r="AY97">
        <v>80</v>
      </c>
    </row>
    <row r="98" spans="11:51" x14ac:dyDescent="0.25">
      <c r="K98">
        <v>7</v>
      </c>
      <c r="L98">
        <v>1105.2631578947369</v>
      </c>
      <c r="M98">
        <v>1101</v>
      </c>
      <c r="N98">
        <v>152.85945684232871</v>
      </c>
      <c r="O98">
        <v>31.01</v>
      </c>
      <c r="P98">
        <v>0</v>
      </c>
      <c r="Q98">
        <v>101</v>
      </c>
      <c r="R98">
        <v>31.01</v>
      </c>
      <c r="S98">
        <v>6.2E-2</v>
      </c>
      <c r="T98">
        <v>1E-4</v>
      </c>
      <c r="U98">
        <v>71.627742783524042</v>
      </c>
      <c r="V98">
        <v>50</v>
      </c>
      <c r="W98">
        <v>152.85945684232871</v>
      </c>
      <c r="X98">
        <v>31.01</v>
      </c>
      <c r="Y98">
        <v>31.01</v>
      </c>
      <c r="Z98">
        <v>4.2631578947368443</v>
      </c>
      <c r="AA98">
        <v>2.0601090212376064E-2</v>
      </c>
      <c r="AB98">
        <v>0</v>
      </c>
      <c r="AC98">
        <v>0</v>
      </c>
      <c r="AD98">
        <v>0</v>
      </c>
      <c r="AE98">
        <v>5.8484230967639134E-2</v>
      </c>
      <c r="AF98">
        <v>0</v>
      </c>
      <c r="AG98">
        <v>0.21174523565231779</v>
      </c>
      <c r="AH98">
        <v>1.1346711426887486</v>
      </c>
      <c r="AI98">
        <v>0.81101438076566423</v>
      </c>
      <c r="AJ98">
        <v>2.4661227474401779E-2</v>
      </c>
      <c r="AK98">
        <v>0.91384939343142102</v>
      </c>
      <c r="AL98">
        <v>834.80704382307124</v>
      </c>
      <c r="AM98">
        <v>996.60579940223374</v>
      </c>
      <c r="AN98">
        <v>834.80704382307124</v>
      </c>
      <c r="AO98">
        <v>224.23169410634554</v>
      </c>
      <c r="AP98">
        <v>705.52059443707867</v>
      </c>
      <c r="AQ98">
        <v>56.790896551160458</v>
      </c>
      <c r="AR98">
        <v>0</v>
      </c>
      <c r="AS98">
        <v>15.255476822141945</v>
      </c>
      <c r="AT98">
        <v>0.54872037037037036</v>
      </c>
      <c r="AU98">
        <v>0</v>
      </c>
      <c r="AV98">
        <v>3.9592129629629637E-2</v>
      </c>
      <c r="AW98">
        <v>0</v>
      </c>
      <c r="AX98">
        <v>1.7656801877479101E-4</v>
      </c>
      <c r="AY98">
        <v>80</v>
      </c>
    </row>
    <row r="99" spans="11:51" x14ac:dyDescent="0.25">
      <c r="K99">
        <v>8</v>
      </c>
      <c r="L99">
        <v>1289.4736842105262</v>
      </c>
      <c r="M99">
        <v>1274.2105263157894</v>
      </c>
      <c r="N99">
        <v>156.59061599105405</v>
      </c>
      <c r="O99">
        <v>32.742105263157896</v>
      </c>
      <c r="P99">
        <v>0</v>
      </c>
      <c r="Q99">
        <v>101</v>
      </c>
      <c r="R99">
        <v>32.742105263157896</v>
      </c>
      <c r="S99">
        <v>6.2E-2</v>
      </c>
      <c r="T99">
        <v>1E-4</v>
      </c>
      <c r="U99">
        <v>65.81371610291481</v>
      </c>
      <c r="V99">
        <v>50</v>
      </c>
      <c r="W99">
        <v>156.59061599105405</v>
      </c>
      <c r="X99">
        <v>32.742105263157896</v>
      </c>
      <c r="Y99">
        <v>32.742105263157896</v>
      </c>
      <c r="Z99">
        <v>15.263157894736839</v>
      </c>
      <c r="AA99">
        <v>1.9903710026039047E-2</v>
      </c>
      <c r="AB99">
        <v>0</v>
      </c>
      <c r="AC99">
        <v>0</v>
      </c>
      <c r="AD99">
        <v>0</v>
      </c>
      <c r="AE99">
        <v>5.8183090620522127E-2</v>
      </c>
      <c r="AF99">
        <v>0</v>
      </c>
      <c r="AG99">
        <v>0.21075031068089206</v>
      </c>
      <c r="AH99">
        <v>1.1430651588749943</v>
      </c>
      <c r="AI99">
        <v>0.78189975206738815</v>
      </c>
      <c r="AJ99">
        <v>2.4830922290606589E-2</v>
      </c>
      <c r="AK99">
        <v>0.92176184779415726</v>
      </c>
      <c r="AL99">
        <v>834.13218251003411</v>
      </c>
      <c r="AM99">
        <v>995.99782702724826</v>
      </c>
      <c r="AN99">
        <v>834.13218251003411</v>
      </c>
      <c r="AO99">
        <v>225.3923226443348</v>
      </c>
      <c r="AP99">
        <v>705.84001966291544</v>
      </c>
      <c r="AQ99">
        <v>56.836844128951</v>
      </c>
      <c r="AR99">
        <v>0</v>
      </c>
      <c r="AS99">
        <v>15.176925056825969</v>
      </c>
      <c r="AT99">
        <v>0.54872037037037036</v>
      </c>
      <c r="AU99">
        <v>0</v>
      </c>
      <c r="AV99">
        <v>3.9592129629629637E-2</v>
      </c>
      <c r="AW99">
        <v>0</v>
      </c>
      <c r="AX99">
        <v>1.7565885482437465E-4</v>
      </c>
      <c r="AY99">
        <v>80</v>
      </c>
    </row>
    <row r="100" spans="11:51" x14ac:dyDescent="0.25">
      <c r="K100">
        <v>9</v>
      </c>
      <c r="L100">
        <v>1473.6842105263158</v>
      </c>
      <c r="M100">
        <v>1440.578947368421</v>
      </c>
      <c r="N100">
        <v>160.19022956282484</v>
      </c>
      <c r="O100">
        <v>34.405789473684209</v>
      </c>
      <c r="P100">
        <v>0</v>
      </c>
      <c r="Q100">
        <v>101</v>
      </c>
      <c r="R100">
        <v>34.405789473684209</v>
      </c>
      <c r="S100">
        <v>6.2E-2</v>
      </c>
      <c r="T100">
        <v>1E-4</v>
      </c>
      <c r="U100">
        <v>61.094062495349064</v>
      </c>
      <c r="V100">
        <v>50</v>
      </c>
      <c r="W100">
        <v>160.19022956282484</v>
      </c>
      <c r="X100">
        <v>34.405789473684209</v>
      </c>
      <c r="Y100">
        <v>34.405789473684209</v>
      </c>
      <c r="Z100">
        <v>33.10526315789474</v>
      </c>
      <c r="AA100">
        <v>1.9189066693369564E-2</v>
      </c>
      <c r="AB100">
        <v>0</v>
      </c>
      <c r="AC100">
        <v>0</v>
      </c>
      <c r="AD100">
        <v>0</v>
      </c>
      <c r="AE100">
        <v>5.7912003631539762E-2</v>
      </c>
      <c r="AF100">
        <v>0</v>
      </c>
      <c r="AG100">
        <v>0.2098461471642985</v>
      </c>
      <c r="AH100">
        <v>1.1512589685678429</v>
      </c>
      <c r="AI100">
        <v>0.75589321109608243</v>
      </c>
      <c r="AJ100">
        <v>2.4987991324756542E-2</v>
      </c>
      <c r="AK100">
        <v>0.92941648049343506</v>
      </c>
      <c r="AL100">
        <v>833.48661338033639</v>
      </c>
      <c r="AM100">
        <v>995.40734031332204</v>
      </c>
      <c r="AN100">
        <v>833.48661338033639</v>
      </c>
      <c r="AO100">
        <v>226.44749247687045</v>
      </c>
      <c r="AP100">
        <v>706.101709966621</v>
      </c>
      <c r="AQ100">
        <v>56.880867445920188</v>
      </c>
      <c r="AR100">
        <v>0</v>
      </c>
      <c r="AS100">
        <v>15.106212640696345</v>
      </c>
      <c r="AT100">
        <v>0.54872037037037047</v>
      </c>
      <c r="AU100">
        <v>0</v>
      </c>
      <c r="AV100">
        <v>3.959212962962963E-2</v>
      </c>
      <c r="AW100">
        <v>0</v>
      </c>
      <c r="AX100">
        <v>1.7484042408213364E-4</v>
      </c>
      <c r="AY100">
        <v>80</v>
      </c>
    </row>
    <row r="101" spans="11:51" x14ac:dyDescent="0.25">
      <c r="K101">
        <v>10</v>
      </c>
      <c r="L101">
        <v>1657.8947368421054</v>
      </c>
      <c r="M101">
        <v>1600.2105263157896</v>
      </c>
      <c r="N101">
        <v>163.61423508078147</v>
      </c>
      <c r="O101">
        <v>40.511578947368434</v>
      </c>
      <c r="P101">
        <v>0</v>
      </c>
      <c r="Q101">
        <v>101</v>
      </c>
      <c r="R101">
        <v>40.511578947368434</v>
      </c>
      <c r="S101">
        <v>6.2E-2</v>
      </c>
      <c r="T101">
        <v>1E-4</v>
      </c>
      <c r="U101">
        <v>56.988393320950479</v>
      </c>
      <c r="V101">
        <v>50</v>
      </c>
      <c r="W101">
        <v>163.61423508078147</v>
      </c>
      <c r="X101">
        <v>40.511578947368434</v>
      </c>
      <c r="Y101">
        <v>40.511578947368434</v>
      </c>
      <c r="Z101">
        <v>57.684210526315816</v>
      </c>
      <c r="AA101">
        <v>1.7845345841040416E-2</v>
      </c>
      <c r="AB101">
        <v>0</v>
      </c>
      <c r="AC101">
        <v>0</v>
      </c>
      <c r="AD101">
        <v>0</v>
      </c>
      <c r="AE101">
        <v>5.9671077127228099E-2</v>
      </c>
      <c r="AF101">
        <v>0</v>
      </c>
      <c r="AG101">
        <v>0.21425228867047477</v>
      </c>
      <c r="AH101">
        <v>1.1538135448972551</v>
      </c>
      <c r="AI101">
        <v>0.67030545422980103</v>
      </c>
      <c r="AJ101">
        <v>2.435592553848033E-2</v>
      </c>
      <c r="AK101">
        <v>0.92574490237008655</v>
      </c>
      <c r="AL101">
        <v>830.57008673016242</v>
      </c>
      <c r="AM101">
        <v>992.9223742648893</v>
      </c>
      <c r="AN101">
        <v>830.57008673016242</v>
      </c>
      <c r="AO101">
        <v>219.80835510219595</v>
      </c>
      <c r="AP101">
        <v>699.70964629400839</v>
      </c>
      <c r="AQ101">
        <v>57.080706303674162</v>
      </c>
      <c r="AR101">
        <v>0</v>
      </c>
      <c r="AS101">
        <v>15.565062906792285</v>
      </c>
      <c r="AT101">
        <v>0.54872037037037036</v>
      </c>
      <c r="AU101">
        <v>0</v>
      </c>
      <c r="AV101">
        <v>3.959212962962963E-2</v>
      </c>
      <c r="AW101">
        <v>0</v>
      </c>
      <c r="AX101">
        <v>1.8015119105083664E-4</v>
      </c>
      <c r="AY101">
        <v>80</v>
      </c>
    </row>
    <row r="102" spans="11:51" x14ac:dyDescent="0.25">
      <c r="K102">
        <v>11</v>
      </c>
      <c r="L102">
        <v>1842.1052631578948</v>
      </c>
      <c r="M102">
        <v>1753.1052631578948</v>
      </c>
      <c r="N102">
        <v>166.75758904351395</v>
      </c>
      <c r="O102">
        <v>48.920789473684216</v>
      </c>
      <c r="P102">
        <v>0</v>
      </c>
      <c r="Q102">
        <v>101</v>
      </c>
      <c r="R102">
        <v>48.920789473684216</v>
      </c>
      <c r="S102">
        <v>6.2E-2</v>
      </c>
      <c r="T102">
        <v>1E-4</v>
      </c>
      <c r="U102">
        <v>53.291544080810475</v>
      </c>
      <c r="V102">
        <v>50</v>
      </c>
      <c r="W102">
        <v>166.75758904351395</v>
      </c>
      <c r="X102">
        <v>48.920789473684216</v>
      </c>
      <c r="Y102">
        <v>48.920789473684216</v>
      </c>
      <c r="Z102">
        <v>89.000000000000014</v>
      </c>
      <c r="AA102">
        <v>1.6309434836634676E-2</v>
      </c>
      <c r="AB102">
        <v>0</v>
      </c>
      <c r="AC102">
        <v>0</v>
      </c>
      <c r="AD102">
        <v>0</v>
      </c>
      <c r="AE102">
        <v>6.2418108550275686E-2</v>
      </c>
      <c r="AF102">
        <v>0</v>
      </c>
      <c r="AG102">
        <v>0.22107116311457567</v>
      </c>
      <c r="AH102">
        <v>1.1526746657835178</v>
      </c>
      <c r="AI102">
        <v>0.57705061501506416</v>
      </c>
      <c r="AJ102">
        <v>2.3495800350800809E-2</v>
      </c>
      <c r="AK102">
        <v>0.91615409972394035</v>
      </c>
      <c r="AL102">
        <v>826.45169850144418</v>
      </c>
      <c r="AM102">
        <v>989.28634523449989</v>
      </c>
      <c r="AN102">
        <v>826.45169850144418</v>
      </c>
      <c r="AO102">
        <v>210.12613796009853</v>
      </c>
      <c r="AP102">
        <v>690.19769240899063</v>
      </c>
      <c r="AQ102">
        <v>57.365144552712806</v>
      </c>
      <c r="AR102">
        <v>0</v>
      </c>
      <c r="AS102">
        <v>16.281619720665525</v>
      </c>
      <c r="AT102">
        <v>0.54872037037037036</v>
      </c>
      <c r="AU102">
        <v>0</v>
      </c>
      <c r="AV102">
        <v>3.959212962962963E-2</v>
      </c>
      <c r="AW102">
        <v>0</v>
      </c>
      <c r="AX102">
        <v>1.8844467269288803E-4</v>
      </c>
      <c r="AY102">
        <v>80</v>
      </c>
    </row>
    <row r="103" spans="11:51" x14ac:dyDescent="0.25">
      <c r="K103">
        <v>12</v>
      </c>
      <c r="L103">
        <v>2026.3157894736842</v>
      </c>
      <c r="M103">
        <v>1899.2631578947369</v>
      </c>
      <c r="N103">
        <v>169.63673865102086</v>
      </c>
      <c r="O103">
        <v>56.959473684210522</v>
      </c>
      <c r="P103">
        <v>0</v>
      </c>
      <c r="Q103">
        <v>101</v>
      </c>
      <c r="R103">
        <v>56.959473684210522</v>
      </c>
      <c r="S103">
        <v>6.2E-2</v>
      </c>
      <c r="T103">
        <v>1E-4</v>
      </c>
      <c r="U103">
        <v>49.889807020842873</v>
      </c>
      <c r="V103">
        <v>50</v>
      </c>
      <c r="W103">
        <v>169.63673865102086</v>
      </c>
      <c r="X103">
        <v>56.959473684210522</v>
      </c>
      <c r="Y103">
        <v>56.959473684210522</v>
      </c>
      <c r="Z103">
        <v>127.05263157894736</v>
      </c>
      <c r="AA103">
        <v>1.49513893124259E-2</v>
      </c>
      <c r="AB103">
        <v>0</v>
      </c>
      <c r="AC103">
        <v>0</v>
      </c>
      <c r="AD103">
        <v>0</v>
      </c>
      <c r="AE103">
        <v>6.4952531047226134E-2</v>
      </c>
      <c r="AF103">
        <v>0</v>
      </c>
      <c r="AG103">
        <v>0.22715840382078989</v>
      </c>
      <c r="AH103">
        <v>1.1509896613242485</v>
      </c>
      <c r="AI103">
        <v>0.50859183342768344</v>
      </c>
      <c r="AJ103">
        <v>2.2856419980257784E-2</v>
      </c>
      <c r="AK103">
        <v>0.90719788880629382</v>
      </c>
      <c r="AL103">
        <v>822.48929421704713</v>
      </c>
      <c r="AM103">
        <v>985.61050541121824</v>
      </c>
      <c r="AN103">
        <v>822.48929421704713</v>
      </c>
      <c r="AO103">
        <v>201.91717761651836</v>
      </c>
      <c r="AP103">
        <v>681.5199747845412</v>
      </c>
      <c r="AQ103">
        <v>57.641479503979411</v>
      </c>
      <c r="AR103">
        <v>0</v>
      </c>
      <c r="AS103">
        <v>16.942717986301201</v>
      </c>
      <c r="AT103">
        <v>0.54872037037037036</v>
      </c>
      <c r="AU103">
        <v>0</v>
      </c>
      <c r="AV103">
        <v>3.959212962962963E-2</v>
      </c>
      <c r="AW103">
        <v>0</v>
      </c>
      <c r="AX103">
        <v>1.9609627298959725E-4</v>
      </c>
      <c r="AY103">
        <v>80</v>
      </c>
    </row>
    <row r="104" spans="11:51" x14ac:dyDescent="0.25">
      <c r="K104">
        <v>13</v>
      </c>
      <c r="L104">
        <v>2210.5263157894738</v>
      </c>
      <c r="M104">
        <v>2038.6842105263158</v>
      </c>
      <c r="N104">
        <v>172.28057861453493</v>
      </c>
      <c r="O104">
        <v>64.627631578947373</v>
      </c>
      <c r="P104">
        <v>0</v>
      </c>
      <c r="Q104">
        <v>101</v>
      </c>
      <c r="R104">
        <v>64.627631578947373</v>
      </c>
      <c r="S104">
        <v>6.2E-2</v>
      </c>
      <c r="T104">
        <v>1E-4</v>
      </c>
      <c r="U104">
        <v>46.712554188266623</v>
      </c>
      <c r="V104">
        <v>50</v>
      </c>
      <c r="W104">
        <v>172.28057861453493</v>
      </c>
      <c r="X104">
        <v>64.627631578947373</v>
      </c>
      <c r="Y104">
        <v>64.627631578947373</v>
      </c>
      <c r="Z104">
        <v>171.84210526315792</v>
      </c>
      <c r="AA104">
        <v>1.3735029032355421E-2</v>
      </c>
      <c r="AB104">
        <v>0</v>
      </c>
      <c r="AC104">
        <v>0</v>
      </c>
      <c r="AD104">
        <v>0</v>
      </c>
      <c r="AE104">
        <v>6.7291384069039381E-2</v>
      </c>
      <c r="AF104">
        <v>0</v>
      </c>
      <c r="AG104">
        <v>0.23260258347788013</v>
      </c>
      <c r="AH104">
        <v>1.1488841364113789</v>
      </c>
      <c r="AI104">
        <v>0.45643870118690055</v>
      </c>
      <c r="AJ104">
        <v>2.2376427598091372E-2</v>
      </c>
      <c r="AK104">
        <v>0.89882271240710543</v>
      </c>
      <c r="AL104">
        <v>818.68449173559907</v>
      </c>
      <c r="AM104">
        <v>981.92606895125471</v>
      </c>
      <c r="AN104">
        <v>818.68449173559907</v>
      </c>
      <c r="AO104">
        <v>194.88970501348496</v>
      </c>
      <c r="AP104">
        <v>673.58784952303211</v>
      </c>
      <c r="AQ104">
        <v>57.909325547312704</v>
      </c>
      <c r="AR104">
        <v>0</v>
      </c>
      <c r="AS104">
        <v>17.552802405200573</v>
      </c>
      <c r="AT104">
        <v>0.54872037037037036</v>
      </c>
      <c r="AU104">
        <v>0</v>
      </c>
      <c r="AV104">
        <v>3.959212962962963E-2</v>
      </c>
      <c r="AW104">
        <v>0</v>
      </c>
      <c r="AX104">
        <v>2.0315743524537696E-4</v>
      </c>
      <c r="AY104">
        <v>80</v>
      </c>
    </row>
    <row r="105" spans="11:51" x14ac:dyDescent="0.25">
      <c r="K105">
        <v>14</v>
      </c>
      <c r="L105">
        <v>2394.7368421052633</v>
      </c>
      <c r="M105">
        <v>2171.2631578947371</v>
      </c>
      <c r="N105">
        <v>174.70933568711956</v>
      </c>
      <c r="O105">
        <v>71.91947368421053</v>
      </c>
      <c r="P105">
        <v>0</v>
      </c>
      <c r="Q105">
        <v>101</v>
      </c>
      <c r="R105">
        <v>71.91947368421053</v>
      </c>
      <c r="S105">
        <v>6.2E-2</v>
      </c>
      <c r="T105">
        <v>1E-4</v>
      </c>
      <c r="U105">
        <v>43.714572365792094</v>
      </c>
      <c r="V105">
        <v>50</v>
      </c>
      <c r="W105">
        <v>174.70933568711956</v>
      </c>
      <c r="X105">
        <v>71.91947368421053</v>
      </c>
      <c r="Y105">
        <v>71.91947368421053</v>
      </c>
      <c r="Z105">
        <v>223.47368421052636</v>
      </c>
      <c r="AA105">
        <v>1.2634600527810316E-2</v>
      </c>
      <c r="AB105">
        <v>0</v>
      </c>
      <c r="AC105">
        <v>0</v>
      </c>
      <c r="AD105">
        <v>0</v>
      </c>
      <c r="AE105">
        <v>6.9447093541002772E-2</v>
      </c>
      <c r="AF105">
        <v>0</v>
      </c>
      <c r="AG105">
        <v>0.23747102881931484</v>
      </c>
      <c r="AH105">
        <v>1.1464593341758746</v>
      </c>
      <c r="AI105">
        <v>0.41568735213697161</v>
      </c>
      <c r="AJ105">
        <v>2.201527343427663E-2</v>
      </c>
      <c r="AK105">
        <v>0.89099593696926094</v>
      </c>
      <c r="AL105">
        <v>815.04186859885044</v>
      </c>
      <c r="AM105">
        <v>978.26274293681922</v>
      </c>
      <c r="AN105">
        <v>815.04186859885044</v>
      </c>
      <c r="AO105">
        <v>188.83717953811578</v>
      </c>
      <c r="AP105">
        <v>666.33624245237252</v>
      </c>
      <c r="AQ105">
        <v>58.168120421193684</v>
      </c>
      <c r="AR105">
        <v>0</v>
      </c>
      <c r="AS105">
        <v>18.115114251328915</v>
      </c>
      <c r="AT105">
        <v>0.54872037037037036</v>
      </c>
      <c r="AU105">
        <v>0</v>
      </c>
      <c r="AV105">
        <v>3.959212962962963E-2</v>
      </c>
      <c r="AW105">
        <v>0</v>
      </c>
      <c r="AX105">
        <v>2.0966567420519576E-4</v>
      </c>
      <c r="AY105">
        <v>80</v>
      </c>
    </row>
    <row r="106" spans="11:51" x14ac:dyDescent="0.25">
      <c r="K106">
        <v>15</v>
      </c>
      <c r="L106">
        <v>2578.9473684210525</v>
      </c>
      <c r="M106">
        <v>2296.894736842105</v>
      </c>
      <c r="N106">
        <v>176.93996279162292</v>
      </c>
      <c r="O106">
        <v>78.829210526315777</v>
      </c>
      <c r="P106">
        <v>0</v>
      </c>
      <c r="Q106">
        <v>101</v>
      </c>
      <c r="R106">
        <v>78.829210526315777</v>
      </c>
      <c r="S106">
        <v>0.125</v>
      </c>
      <c r="T106">
        <v>1E-4</v>
      </c>
      <c r="U106">
        <v>40.86275196381839</v>
      </c>
      <c r="V106">
        <v>50</v>
      </c>
      <c r="W106">
        <v>176.93996279162292</v>
      </c>
      <c r="X106">
        <v>78.829210526315777</v>
      </c>
      <c r="Y106">
        <v>78.829210526315777</v>
      </c>
      <c r="Z106">
        <v>282.05263157894734</v>
      </c>
      <c r="AA106">
        <v>1.1629654192079406E-2</v>
      </c>
      <c r="AB106">
        <v>0</v>
      </c>
      <c r="AC106">
        <v>0</v>
      </c>
      <c r="AD106">
        <v>0</v>
      </c>
      <c r="AE106">
        <v>1.7573182928697906E-2</v>
      </c>
      <c r="AF106">
        <v>0</v>
      </c>
      <c r="AG106">
        <v>0.24182352278664232</v>
      </c>
      <c r="AH106">
        <v>1.1438048856908394</v>
      </c>
      <c r="AI106">
        <v>0.38316994069159555</v>
      </c>
      <c r="AJ106">
        <v>2.1743481338183639E-2</v>
      </c>
      <c r="AK106">
        <v>0.88369196385262261</v>
      </c>
      <c r="AL106">
        <v>811.56647936349157</v>
      </c>
      <c r="AM106">
        <v>974.64969689088673</v>
      </c>
      <c r="AN106">
        <v>811.56647936349157</v>
      </c>
      <c r="AO106">
        <v>183.59642116412303</v>
      </c>
      <c r="AP106">
        <v>659.70822172220153</v>
      </c>
      <c r="AQ106">
        <v>58.417249146473281</v>
      </c>
      <c r="AR106">
        <v>0</v>
      </c>
      <c r="AS106">
        <v>18.632626556283064</v>
      </c>
      <c r="AT106">
        <v>0.54872037037037036</v>
      </c>
      <c r="AU106">
        <v>0</v>
      </c>
      <c r="AV106">
        <v>3.9592129629629637E-2</v>
      </c>
      <c r="AW106">
        <v>0</v>
      </c>
      <c r="AX106">
        <v>2.1565539995697992E-4</v>
      </c>
      <c r="AY106">
        <v>80</v>
      </c>
    </row>
    <row r="107" spans="11:51" x14ac:dyDescent="0.25">
      <c r="K107">
        <v>16</v>
      </c>
      <c r="L107">
        <v>2763.1578947368421</v>
      </c>
      <c r="M107">
        <v>2415.7894736842104</v>
      </c>
      <c r="N107">
        <v>178.71997155524181</v>
      </c>
      <c r="O107">
        <v>85.368421052631589</v>
      </c>
      <c r="P107">
        <v>0</v>
      </c>
      <c r="Q107">
        <v>101</v>
      </c>
      <c r="R107">
        <v>85.368421052631589</v>
      </c>
      <c r="S107">
        <v>0.125</v>
      </c>
      <c r="T107">
        <v>1E-4</v>
      </c>
      <c r="U107">
        <v>17.544313917212538</v>
      </c>
      <c r="V107">
        <v>50</v>
      </c>
      <c r="W107">
        <v>178.71997155524181</v>
      </c>
      <c r="X107">
        <v>85.368421052631589</v>
      </c>
      <c r="Y107">
        <v>85.368421052631589</v>
      </c>
      <c r="Z107">
        <v>347.36842105263156</v>
      </c>
      <c r="AA107">
        <v>5.0033490512491688E-3</v>
      </c>
      <c r="AB107">
        <v>0</v>
      </c>
      <c r="AC107">
        <v>0</v>
      </c>
      <c r="AD107">
        <v>0</v>
      </c>
      <c r="AE107">
        <v>1.8047694358046203E-2</v>
      </c>
      <c r="AF107">
        <v>0</v>
      </c>
      <c r="AG107">
        <v>0.245975853086249</v>
      </c>
      <c r="AH107">
        <v>1.1402940429667534</v>
      </c>
      <c r="AI107">
        <v>0.35650192371043582</v>
      </c>
      <c r="AJ107">
        <v>2.1516377724185853E-2</v>
      </c>
      <c r="AK107">
        <v>0.87603468424051778</v>
      </c>
      <c r="AL107">
        <v>808.22876469982612</v>
      </c>
      <c r="AM107">
        <v>971.10238083283207</v>
      </c>
      <c r="AN107">
        <v>808.22876469982612</v>
      </c>
      <c r="AO107">
        <v>178.77250736870405</v>
      </c>
      <c r="AP107">
        <v>653.3972027700496</v>
      </c>
      <c r="AQ107">
        <v>58.658509669321127</v>
      </c>
      <c r="AR107">
        <v>0</v>
      </c>
      <c r="AS107">
        <v>19.135745103196751</v>
      </c>
      <c r="AT107">
        <v>0.54872037037037036</v>
      </c>
      <c r="AU107">
        <v>0</v>
      </c>
      <c r="AV107">
        <v>3.959212962962963E-2</v>
      </c>
      <c r="AW107">
        <v>0</v>
      </c>
      <c r="AX107">
        <v>2.2147853128699944E-4</v>
      </c>
      <c r="AY107">
        <v>80</v>
      </c>
    </row>
    <row r="108" spans="11:51" x14ac:dyDescent="0.25">
      <c r="K108">
        <v>17</v>
      </c>
      <c r="L108">
        <v>2947.3684210526317</v>
      </c>
      <c r="M108">
        <v>2451.8421052631579</v>
      </c>
      <c r="N108">
        <v>179.17729682323838</v>
      </c>
      <c r="O108">
        <v>87.351315789473688</v>
      </c>
      <c r="P108">
        <v>0</v>
      </c>
      <c r="Q108">
        <v>101</v>
      </c>
      <c r="R108">
        <v>87.351315789473688</v>
      </c>
      <c r="S108">
        <v>0.125</v>
      </c>
      <c r="T108">
        <v>1E-4</v>
      </c>
      <c r="U108">
        <v>4.999258889496943</v>
      </c>
      <c r="V108">
        <v>50</v>
      </c>
      <c r="W108">
        <v>179.17729682323838</v>
      </c>
      <c r="X108">
        <v>87.351315789473688</v>
      </c>
      <c r="Y108">
        <v>87.351315789473688</v>
      </c>
      <c r="Z108">
        <v>495.5263157894737</v>
      </c>
      <c r="AA108">
        <v>1.4958844069552794E-3</v>
      </c>
      <c r="AB108">
        <v>0</v>
      </c>
      <c r="AC108">
        <v>0</v>
      </c>
      <c r="AD108">
        <v>0</v>
      </c>
      <c r="AE108">
        <v>1.8196398910989647E-2</v>
      </c>
      <c r="AF108">
        <v>0</v>
      </c>
      <c r="AG108">
        <v>0.24726832383987232</v>
      </c>
      <c r="AH108">
        <v>1.138995703117657</v>
      </c>
      <c r="AI108">
        <v>0.34897954641687345</v>
      </c>
      <c r="AJ108">
        <v>2.1449436317506974E-2</v>
      </c>
      <c r="AK108">
        <v>0.87350383034623291</v>
      </c>
      <c r="AL108">
        <v>807.20554147977725</v>
      </c>
      <c r="AM108">
        <v>970.00554538742335</v>
      </c>
      <c r="AN108">
        <v>807.20554147977725</v>
      </c>
      <c r="AO108">
        <v>177.30208598506138</v>
      </c>
      <c r="AP108">
        <v>651.45036510857381</v>
      </c>
      <c r="AQ108">
        <v>58.73279932164634</v>
      </c>
      <c r="AR108">
        <v>0</v>
      </c>
      <c r="AS108">
        <v>19.293414684937087</v>
      </c>
      <c r="AT108">
        <v>0.54872037037037036</v>
      </c>
      <c r="AU108">
        <v>0</v>
      </c>
      <c r="AV108">
        <v>3.959212962962963E-2</v>
      </c>
      <c r="AW108">
        <v>0</v>
      </c>
      <c r="AX108">
        <v>2.2330341070529036E-4</v>
      </c>
      <c r="AY108">
        <v>80</v>
      </c>
    </row>
    <row r="109" spans="11:51" x14ac:dyDescent="0.25">
      <c r="K109">
        <v>18</v>
      </c>
      <c r="L109">
        <v>3131.5789473684213</v>
      </c>
      <c r="M109">
        <v>2467.8947368421054</v>
      </c>
      <c r="N109">
        <v>179.45241126097088</v>
      </c>
      <c r="O109">
        <v>88.234210526315792</v>
      </c>
      <c r="P109">
        <v>0</v>
      </c>
      <c r="Q109">
        <v>101</v>
      </c>
      <c r="R109">
        <v>88.234210526315792</v>
      </c>
      <c r="S109">
        <v>0.125</v>
      </c>
      <c r="T109">
        <v>1E-4</v>
      </c>
      <c r="U109">
        <v>4.999258889496943</v>
      </c>
      <c r="V109">
        <v>50</v>
      </c>
      <c r="W109">
        <v>179.45241126097088</v>
      </c>
      <c r="X109">
        <v>88.234210526315792</v>
      </c>
      <c r="Y109">
        <v>88.234210526315792</v>
      </c>
      <c r="Z109">
        <v>663.68421052631595</v>
      </c>
      <c r="AA109">
        <v>1.4910326974398695E-3</v>
      </c>
      <c r="AB109">
        <v>0</v>
      </c>
      <c r="AC109">
        <v>0</v>
      </c>
      <c r="AD109">
        <v>0</v>
      </c>
      <c r="AE109">
        <v>1.8255606562064864E-2</v>
      </c>
      <c r="AF109">
        <v>0</v>
      </c>
      <c r="AG109">
        <v>0.2477696409017168</v>
      </c>
      <c r="AH109">
        <v>1.1385980454959725</v>
      </c>
      <c r="AI109">
        <v>0.34579131502600996</v>
      </c>
      <c r="AJ109">
        <v>2.142717910356292E-2</v>
      </c>
      <c r="AK109">
        <v>0.87260620468735883</v>
      </c>
      <c r="AL109">
        <v>806.75606979405052</v>
      </c>
      <c r="AM109">
        <v>969.51434497537821</v>
      </c>
      <c r="AN109">
        <v>806.75606979405052</v>
      </c>
      <c r="AO109">
        <v>176.72702937395155</v>
      </c>
      <c r="AP109">
        <v>650.65399681718759</v>
      </c>
      <c r="AQ109">
        <v>58.765521219105423</v>
      </c>
      <c r="AR109">
        <v>0</v>
      </c>
      <c r="AS109">
        <v>19.356191818495383</v>
      </c>
      <c r="AT109">
        <v>0.54872037037037036</v>
      </c>
      <c r="AU109">
        <v>0</v>
      </c>
      <c r="AV109">
        <v>3.959212962962963E-2</v>
      </c>
      <c r="AW109">
        <v>0</v>
      </c>
      <c r="AX109">
        <v>2.240299978992521E-4</v>
      </c>
      <c r="AY109">
        <v>80</v>
      </c>
    </row>
    <row r="110" spans="11:51" x14ac:dyDescent="0.25">
      <c r="K110">
        <v>19</v>
      </c>
      <c r="L110">
        <v>3315.7894736842109</v>
      </c>
      <c r="M110">
        <v>2483.9473684210525</v>
      </c>
      <c r="N110">
        <v>179.72664279999759</v>
      </c>
      <c r="O110">
        <v>89.117105263157882</v>
      </c>
      <c r="P110">
        <v>0</v>
      </c>
      <c r="Q110">
        <v>101</v>
      </c>
      <c r="R110">
        <v>89.117105263157882</v>
      </c>
      <c r="S110">
        <v>0.125</v>
      </c>
      <c r="T110">
        <v>1E-4</v>
      </c>
      <c r="U110">
        <v>4.999258889496943</v>
      </c>
      <c r="V110">
        <v>50</v>
      </c>
      <c r="W110">
        <v>179.72664279999759</v>
      </c>
      <c r="X110">
        <v>89.117105263157882</v>
      </c>
      <c r="Y110">
        <v>89.117105263157882</v>
      </c>
      <c r="Z110">
        <v>831.84210526315837</v>
      </c>
      <c r="AA110">
        <v>1.4862285578095438E-3</v>
      </c>
      <c r="AB110">
        <v>0</v>
      </c>
      <c r="AC110">
        <v>0</v>
      </c>
      <c r="AD110">
        <v>0</v>
      </c>
      <c r="AE110">
        <v>1.8314611850297782E-2</v>
      </c>
      <c r="AF110">
        <v>0</v>
      </c>
      <c r="AG110">
        <v>0.24826747323916087</v>
      </c>
      <c r="AH110">
        <v>1.1381957206322628</v>
      </c>
      <c r="AI110">
        <v>0.34265835682345064</v>
      </c>
      <c r="AJ110">
        <v>2.1405632866695678E-2</v>
      </c>
      <c r="AK110">
        <v>0.87171006378277938</v>
      </c>
      <c r="AL110">
        <v>806.30619957070735</v>
      </c>
      <c r="AM110">
        <v>969.02109109827279</v>
      </c>
      <c r="AN110">
        <v>806.30619957070735</v>
      </c>
      <c r="AO110">
        <v>176.15761105936804</v>
      </c>
      <c r="AP110">
        <v>649.86079949667408</v>
      </c>
      <c r="AQ110">
        <v>58.798308390005957</v>
      </c>
      <c r="AR110">
        <v>0</v>
      </c>
      <c r="AS110">
        <v>19.418754389257359</v>
      </c>
      <c r="AT110">
        <v>0.54872037037037036</v>
      </c>
      <c r="AU110">
        <v>0</v>
      </c>
      <c r="AV110">
        <v>3.959212962962963E-2</v>
      </c>
      <c r="AW110">
        <v>0</v>
      </c>
      <c r="AX110">
        <v>2.2475410172751573E-4</v>
      </c>
      <c r="AY110">
        <v>80</v>
      </c>
    </row>
    <row r="111" spans="11:51" x14ac:dyDescent="0.25">
      <c r="K111">
        <v>20</v>
      </c>
      <c r="L111">
        <v>3500</v>
      </c>
      <c r="M111">
        <v>2500</v>
      </c>
      <c r="N111">
        <v>180</v>
      </c>
      <c r="O111">
        <v>90</v>
      </c>
      <c r="P111">
        <v>0</v>
      </c>
      <c r="Q111">
        <v>101</v>
      </c>
      <c r="R111">
        <v>90</v>
      </c>
      <c r="S111">
        <v>0.125</v>
      </c>
      <c r="T111">
        <v>1E-4</v>
      </c>
      <c r="U111">
        <v>4.999258889496943</v>
      </c>
      <c r="V111">
        <v>50</v>
      </c>
      <c r="W111">
        <v>180</v>
      </c>
      <c r="X111">
        <v>90</v>
      </c>
      <c r="Y111">
        <v>90</v>
      </c>
      <c r="Z111">
        <v>1000</v>
      </c>
      <c r="AA111">
        <v>1.4814712770157461E-3</v>
      </c>
      <c r="AB111">
        <v>0</v>
      </c>
      <c r="AC111">
        <v>0</v>
      </c>
      <c r="AD111">
        <v>0</v>
      </c>
      <c r="AE111">
        <v>1.8373416059367008E-2</v>
      </c>
      <c r="AF111">
        <v>0</v>
      </c>
      <c r="AG111">
        <v>0.24876184825959402</v>
      </c>
      <c r="AH111">
        <v>1.1377887661408326</v>
      </c>
      <c r="AI111">
        <v>0.33957928045648589</v>
      </c>
      <c r="AJ111">
        <v>2.1384783085463061E-2</v>
      </c>
      <c r="AK111">
        <v>0.87081539466712887</v>
      </c>
      <c r="AL111">
        <v>805.85592870751998</v>
      </c>
      <c r="AM111">
        <v>968.52579086689911</v>
      </c>
      <c r="AN111">
        <v>805.85592870751998</v>
      </c>
      <c r="AO111">
        <v>175.59374676314624</v>
      </c>
      <c r="AP111">
        <v>649.07074343891304</v>
      </c>
      <c r="AQ111">
        <v>58.831161143205954</v>
      </c>
      <c r="AR111">
        <v>0</v>
      </c>
      <c r="AS111">
        <v>19.481103758291422</v>
      </c>
      <c r="AT111">
        <v>0.54872037037037036</v>
      </c>
      <c r="AU111">
        <v>0</v>
      </c>
      <c r="AV111">
        <v>3.9592129629629637E-2</v>
      </c>
      <c r="AW111">
        <v>0</v>
      </c>
      <c r="AX111">
        <v>2.2547573794318775E-4</v>
      </c>
      <c r="AY111">
        <v>80</v>
      </c>
    </row>
  </sheetData>
  <mergeCells count="11"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49</vt:i4>
      </vt:variant>
    </vt:vector>
  </HeadingPairs>
  <TitlesOfParts>
    <vt:vector size="50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2020-06-02T10:15:49Z</dcterms:modified>
</cp:coreProperties>
</file>