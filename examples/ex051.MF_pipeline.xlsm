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D:\unifloc\unifloc_vba\examples\"/>
    </mc:Choice>
  </mc:AlternateContent>
  <xr:revisionPtr revIDLastSave="0" documentId="13_ncr:1_{F96049F7-654D-4E6A-89F1-C19138A1CE69}" xr6:coauthVersionLast="47" xr6:coauthVersionMax="47" xr10:uidLastSave="{00000000-0000-0000-0000-000000000000}"/>
  <bookViews>
    <workbookView xWindow="-35475" yWindow="1515" windowWidth="17280" windowHeight="9105" tabRatio="510" xr2:uid="{CBB18379-7E76-40C7-BC74-A5CF898F6A9B}"/>
  </bookViews>
  <sheets>
    <sheet name="exercise_pipeline" sheetId="3" r:id="rId1"/>
  </sheets>
  <externalReferences>
    <externalReference r:id="rId2"/>
  </externalReferences>
  <definedNames>
    <definedName name="Bob_" localSheetId="0">exercise_pipeline!$C$17</definedName>
    <definedName name="calc_along_coord" localSheetId="0">exercise_pipeline!$H$48</definedName>
    <definedName name="calc_along_coord1" localSheetId="0">exercise_pipeline!$I$48</definedName>
    <definedName name="calc_flow_direction_" localSheetId="0">exercise_pipeline!$H$50</definedName>
    <definedName name="calc_flow_direction1_" localSheetId="0">exercise_pipeline!$I$50</definedName>
    <definedName name="calibr_fric" localSheetId="0">exercise_pipeline!$H$32</definedName>
    <definedName name="calibr_grav" localSheetId="0">exercise_pipeline!$H$31</definedName>
    <definedName name="calibr_type" localSheetId="0">exercise_pipeline!$H$27</definedName>
    <definedName name="construction">exercise_pipeline!$C$38</definedName>
    <definedName name="feed">exercise_pipeline!$C$35</definedName>
    <definedName name="flow_along_coord" localSheetId="0">exercise_pipeline!$H$49</definedName>
    <definedName name="flow_along_coord1" localSheetId="0">exercise_pipeline!$I$49</definedName>
    <definedName name="fw_" localSheetId="0">exercise_pipeline!$C$23</definedName>
    <definedName name="gamma_gas_" localSheetId="0">exercise_pipeline!$C$13</definedName>
    <definedName name="gamma_oil_" localSheetId="0">exercise_pipeline!$C$11</definedName>
    <definedName name="gamma_wat_" localSheetId="0">exercise_pipeline!$C$12</definedName>
    <definedName name="gas_only_" localSheetId="0">exercise_pipeline!$H$28</definedName>
    <definedName name="H_from">exercise_pipeline!$P$41</definedName>
    <definedName name="H_to">exercise_pipeline!$P$42</definedName>
    <definedName name="hcor" localSheetId="0">exercise_pipeline!$H$46</definedName>
    <definedName name="Hydr_corr_" localSheetId="0">exercise_pipeline!$H$26</definedName>
    <definedName name="inclinometry" localSheetId="0">exercise_pipeline!$B$56:$C$78</definedName>
    <definedName name="input_0" localSheetId="0">exercise_pipeline!$C$11:$C$32</definedName>
    <definedName name="input_1" localSheetId="0">exercise_pipeline!$C$46:$C$50</definedName>
    <definedName name="input_2" localSheetId="0">exercise_pipeline!$H$29:$H$32</definedName>
    <definedName name="input_3" localSheetId="0">exercise_pipeline!$H$47:$H$49</definedName>
    <definedName name="input_5" localSheetId="0">exercise_pipeline!$B$56:$C$78</definedName>
    <definedName name="input_6" localSheetId="0">exercise_pipeline!$E$56:$F$75</definedName>
    <definedName name="input_7" localSheetId="0">exercise_pipeline!$H$56:$I$75</definedName>
    <definedName name="input_Course" localSheetId="0">exercise_pipeline!$I$3</definedName>
    <definedName name="input_Date" localSheetId="0">exercise_pipeline!$I$1</definedName>
    <definedName name="input_Group" localSheetId="0">exercise_pipeline!$I$4</definedName>
    <definedName name="input_Notes" localSheetId="0">exercise_pipeline!$I$6</definedName>
    <definedName name="input_Student_Name" localSheetId="0">exercise_pipeline!$I$5</definedName>
    <definedName name="input_Version" localSheetId="0">exercise_pipeline!$I$2</definedName>
    <definedName name="Ksep" localSheetId="0">exercise_pipeline!$P$21</definedName>
    <definedName name="muob_" localSheetId="0">exercise_pipeline!$C$18</definedName>
    <definedName name="P0" localSheetId="0">exercise_pipeline!$C$29</definedName>
    <definedName name="P1_" localSheetId="0">exercise_pipeline!$C$30</definedName>
    <definedName name="param">exercise_pipeline!$K$44</definedName>
    <definedName name="Pb_" localSheetId="0">exercise_pipeline!$C$15</definedName>
    <definedName name="Psep" localSheetId="0">exercise_pipeline!$P$22</definedName>
    <definedName name="PVT_corr_" localSheetId="0">exercise_pipeline!$H$25</definedName>
    <definedName name="PVTstr_" localSheetId="0">exercise_pipeline!$C$34</definedName>
    <definedName name="Qgas_free" localSheetId="0">exercise_pipeline!$C$24</definedName>
    <definedName name="qliq_" localSheetId="0">exercise_pipeline!$C$21</definedName>
    <definedName name="Rp_" localSheetId="0">exercise_pipeline!$C$22</definedName>
    <definedName name="Rsb_" localSheetId="0">exercise_pipeline!$C$14</definedName>
    <definedName name="t_model">exercise_pipeline!$C$37</definedName>
    <definedName name="T0" localSheetId="0">exercise_pipeline!$C$31</definedName>
    <definedName name="T1_" localSheetId="0">exercise_pipeline!$C$32</definedName>
    <definedName name="temp_model" localSheetId="0">exercise_pipeline!$H$47</definedName>
    <definedName name="tempm" localSheetId="0">exercise_pipeline!$H$47</definedName>
    <definedName name="Tres_" localSheetId="0">exercise_pipeline!$C$16</definedName>
    <definedName name="Tsep" localSheetId="0">exercise_pipeline!$P$23</definedName>
    <definedName name="znlf">exercise_pipeline!$H$29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22" i="3" l="1"/>
  <c r="I50" i="3"/>
  <c r="H50" i="3"/>
  <c r="E16" i="3"/>
  <c r="E15" i="3"/>
  <c r="E14" i="3"/>
  <c r="E13" i="3"/>
  <c r="E12" i="3"/>
  <c r="E11" i="3"/>
  <c r="AL27" i="3" a="1"/>
  <c r="C38" i="3" a="1"/>
  <c r="C34" i="3"/>
  <c r="C37" i="3" a="1"/>
  <c r="G1" i="3"/>
  <c r="K115" i="3" a="1"/>
  <c r="K44" i="3" a="1"/>
  <c r="AL27" i="3" l="1"/>
  <c r="C37" i="3"/>
  <c r="C38" i="3"/>
  <c r="K115" i="3"/>
  <c r="K44" i="3"/>
  <c r="K46" i="3" a="1"/>
  <c r="C35" i="3" a="1"/>
  <c r="J125" i="3" a="1"/>
  <c r="K46" i="3" l="1"/>
  <c r="J125" i="3"/>
  <c r="C35" i="3"/>
  <c r="K74" i="3" a="1"/>
  <c r="L95" i="3" a="1"/>
  <c r="L87" i="3" a="1"/>
  <c r="L91" i="3" a="1"/>
  <c r="L99" i="3" a="1"/>
  <c r="L102" i="3" a="1"/>
  <c r="L104" i="3" a="1"/>
  <c r="L92" i="3" a="1"/>
  <c r="L93" i="3" a="1"/>
  <c r="L105" i="3" a="1"/>
  <c r="L103" i="3" a="1"/>
  <c r="L85" i="3" a="1"/>
  <c r="L100" i="3" a="1"/>
  <c r="L89" i="3" a="1"/>
  <c r="L97" i="3" a="1"/>
  <c r="L96" i="3" a="1"/>
  <c r="L101" i="3" a="1"/>
  <c r="L98" i="3" a="1"/>
  <c r="L90" i="3" a="1"/>
  <c r="L94" i="3" a="1"/>
  <c r="K116" i="3" a="1"/>
  <c r="L88" i="3" a="1"/>
  <c r="L86" i="3" a="1"/>
  <c r="K74" i="3" l="1"/>
  <c r="K116" i="3"/>
  <c r="L85" i="3"/>
  <c r="L105" i="3"/>
  <c r="L104" i="3"/>
  <c r="L90" i="3"/>
  <c r="L103" i="3"/>
  <c r="L97" i="3"/>
  <c r="L102" i="3"/>
  <c r="L101" i="3"/>
  <c r="L95" i="3"/>
  <c r="L89" i="3"/>
  <c r="L91" i="3"/>
  <c r="L96" i="3"/>
  <c r="L100" i="3"/>
  <c r="L94" i="3"/>
  <c r="L88" i="3"/>
  <c r="L87" i="3"/>
  <c r="L99" i="3"/>
  <c r="L93" i="3"/>
  <c r="L98" i="3"/>
  <c r="L92" i="3"/>
  <c r="L86" i="3"/>
  <c r="S59" i="3"/>
  <c r="S60" i="3"/>
  <c r="S50" i="3"/>
  <c r="S64" i="3"/>
  <c r="S63" i="3"/>
  <c r="S52" i="3"/>
  <c r="S65" i="3"/>
  <c r="S56" i="3"/>
  <c r="S61" i="3"/>
  <c r="S62" i="3"/>
  <c r="S53" i="3"/>
  <c r="S67" i="3"/>
  <c r="S58" i="3"/>
  <c r="S51" i="3"/>
  <c r="S54" i="3"/>
  <c r="S68" i="3"/>
  <c r="S55" i="3"/>
  <c r="S57" i="3"/>
  <c r="S49" i="3"/>
  <c r="S66" i="3"/>
  <c r="R45" i="3"/>
  <c r="K119" i="3" a="1"/>
  <c r="M125" i="3" a="1"/>
  <c r="M125" i="3" l="1"/>
  <c r="K119" i="3"/>
  <c r="L125" i="3" a="1"/>
  <c r="K125" i="3" a="1"/>
  <c r="L125" i="3" l="1"/>
  <c r="K125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Ринат Хабибуллин</author>
  </authors>
  <commentList>
    <comment ref="C46" authorId="0" shapeId="0" xr:uid="{81930183-E6B5-4FC6-AE3A-67EC827D1E1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Измеренная глубина скважины до перфорации</t>
        </r>
      </text>
    </comment>
    <comment ref="C47" authorId="0" shapeId="0" xr:uid="{04F1681C-E4FC-4066-ADBF-ED684C47073D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Измеренная глубина спуска НКТ
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<sst xmlns="http://schemas.openxmlformats.org/spreadsheetml/2006/main" count="127" uniqueCount="103">
  <si>
    <t>Упражнения по работе с макросами Unifloc VBA</t>
  </si>
  <si>
    <t>версия</t>
  </si>
  <si>
    <t>Физико - химические свойства флюида   PVT</t>
  </si>
  <si>
    <r>
      <t>γ</t>
    </r>
    <r>
      <rPr>
        <vertAlign val="subscript"/>
        <sz val="11"/>
        <color theme="1"/>
        <rFont val="Calibri"/>
        <family val="2"/>
        <charset val="204"/>
      </rPr>
      <t>o</t>
    </r>
  </si>
  <si>
    <r>
      <t>кг/м</t>
    </r>
    <r>
      <rPr>
        <vertAlign val="superscript"/>
        <sz val="11"/>
        <rFont val="Calibri"/>
        <family val="2"/>
        <charset val="204"/>
        <scheme val="minor"/>
      </rPr>
      <t>3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</si>
  <si>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</si>
  <si>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</si>
  <si>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sb</t>
    </r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</si>
  <si>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1"/>
        <color theme="1"/>
        <rFont val="Calibri"/>
        <family val="2"/>
        <scheme val="minor"/>
      </rPr>
      <t>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</si>
  <si>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r>
      <t>м</t>
    </r>
    <r>
      <rPr>
        <vertAlign val="superscript"/>
        <sz val="11"/>
        <rFont val="Calibri"/>
        <family val="2"/>
        <charset val="204"/>
        <scheme val="minor"/>
      </rPr>
      <t>3</t>
    </r>
    <r>
      <rPr>
        <sz val="11"/>
        <color theme="1"/>
        <rFont val="Calibri"/>
        <family val="2"/>
        <scheme val="minor"/>
      </rPr>
      <t>/т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</si>
  <si>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p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</si>
  <si>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b cal</t>
    </r>
  </si>
  <si>
    <t>атмa</t>
  </si>
  <si>
    <t>МПа</t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</si>
  <si>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res</t>
    </r>
  </si>
  <si>
    <t>С</t>
  </si>
  <si>
    <t>Ф</t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</si>
  <si>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ob cal</t>
    </r>
  </si>
  <si>
    <r>
      <t>μ</t>
    </r>
    <r>
      <rPr>
        <vertAlign val="subscript"/>
        <sz val="11"/>
        <color theme="1"/>
        <rFont val="Calibri"/>
        <family val="2"/>
        <charset val="204"/>
      </rPr>
      <t>ob cal</t>
    </r>
  </si>
  <si>
    <t>сП</t>
  </si>
  <si>
    <t>Параметры потока флюида</t>
  </si>
  <si>
    <r>
      <t>Q</t>
    </r>
    <r>
      <rPr>
        <vertAlign val="subscript"/>
        <sz val="10"/>
        <rFont val="Arial Cyr"/>
        <charset val="204"/>
      </rPr>
      <t>l</t>
    </r>
  </si>
  <si>
    <r>
      <t>м</t>
    </r>
    <r>
      <rPr>
        <vertAlign val="superscript"/>
        <sz val="10"/>
        <rFont val="Arial Cyr"/>
        <charset val="204"/>
      </rPr>
      <t>3</t>
    </r>
    <r>
      <rPr>
        <sz val="11"/>
        <color theme="1"/>
        <rFont val="Calibri"/>
        <family val="2"/>
        <scheme val="minor"/>
      </rPr>
      <t>/сут</t>
    </r>
  </si>
  <si>
    <r>
      <t>f</t>
    </r>
    <r>
      <rPr>
        <vertAlign val="subscript"/>
        <sz val="10"/>
        <rFont val="Arial Cyr"/>
        <charset val="204"/>
      </rPr>
      <t>w</t>
    </r>
  </si>
  <si>
    <t>%</t>
  </si>
  <si>
    <t>Параметры трубы</t>
  </si>
  <si>
    <t>м</t>
  </si>
  <si>
    <t>мм</t>
  </si>
  <si>
    <t>P0</t>
  </si>
  <si>
    <t>P1</t>
  </si>
  <si>
    <t>T0</t>
  </si>
  <si>
    <t>°C</t>
  </si>
  <si>
    <t>T1</t>
  </si>
  <si>
    <t>PVT строка</t>
  </si>
  <si>
    <t>Конструкция</t>
  </si>
  <si>
    <r>
      <t>Н</t>
    </r>
    <r>
      <rPr>
        <vertAlign val="subscript"/>
        <sz val="11"/>
        <color theme="1"/>
        <rFont val="Calibri"/>
        <family val="2"/>
        <charset val="204"/>
        <scheme val="minor"/>
      </rPr>
      <t>perf</t>
    </r>
  </si>
  <si>
    <r>
      <t>H</t>
    </r>
    <r>
      <rPr>
        <vertAlign val="subscript"/>
        <sz val="11"/>
        <color theme="1"/>
        <rFont val="Calibri"/>
        <family val="2"/>
        <charset val="204"/>
        <scheme val="minor"/>
      </rPr>
      <t>tub</t>
    </r>
  </si>
  <si>
    <r>
      <rPr>
        <sz val="11"/>
        <color theme="1"/>
        <rFont val="Calibri"/>
        <family val="2"/>
        <charset val="204"/>
      </rPr>
      <t>°</t>
    </r>
    <r>
      <rPr>
        <sz val="11"/>
        <color theme="1"/>
        <rFont val="Calibri"/>
        <family val="2"/>
        <scheme val="minor"/>
      </rPr>
      <t>С</t>
    </r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</si>
  <si>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>cas</t>
    </r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</si>
  <si>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>tub</t>
    </r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</si>
  <si>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>choke</t>
    </r>
  </si>
  <si>
    <t xml:space="preserve">Инклинометрия </t>
  </si>
  <si>
    <r>
      <t>Н</t>
    </r>
    <r>
      <rPr>
        <vertAlign val="subscript"/>
        <sz val="11"/>
        <color theme="1"/>
        <rFont val="Calibri"/>
        <family val="2"/>
        <charset val="204"/>
        <scheme val="minor"/>
      </rPr>
      <t>mes</t>
    </r>
  </si>
  <si>
    <r>
      <t>Н</t>
    </r>
    <r>
      <rPr>
        <vertAlign val="subscript"/>
        <sz val="11"/>
        <color theme="1"/>
        <rFont val="Calibri"/>
        <family val="2"/>
        <charset val="204"/>
        <scheme val="minor"/>
      </rPr>
      <t>vert</t>
    </r>
  </si>
  <si>
    <t>T</t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</si>
  <si>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cas </t>
    </r>
  </si>
  <si>
    <t>calc_along_coord</t>
  </si>
  <si>
    <t>flow_along_coord</t>
  </si>
  <si>
    <t>temp model</t>
  </si>
  <si>
    <r>
      <t>Q</t>
    </r>
    <r>
      <rPr>
        <vertAlign val="subscript"/>
        <sz val="11"/>
        <color theme="1"/>
        <rFont val="Calibri"/>
        <family val="2"/>
        <charset val="204"/>
      </rPr>
      <t>gas free</t>
    </r>
  </si>
  <si>
    <r>
      <t>нм</t>
    </r>
    <r>
      <rPr>
        <vertAlign val="superscript"/>
        <sz val="10"/>
        <rFont val="Arial Cyr"/>
        <charset val="204"/>
      </rPr>
      <t>3</t>
    </r>
    <r>
      <rPr>
        <sz val="11"/>
        <color theme="1"/>
        <rFont val="Calibri"/>
        <family val="2"/>
        <scheme val="minor"/>
      </rPr>
      <t>/сут</t>
    </r>
  </si>
  <si>
    <t>Диаметры</t>
  </si>
  <si>
    <t>Настройки модели</t>
  </si>
  <si>
    <t xml:space="preserve">Температура </t>
  </si>
  <si>
    <t>input_Date</t>
  </si>
  <si>
    <t>input_Version</t>
  </si>
  <si>
    <t>Курс</t>
  </si>
  <si>
    <t>РГУ ИРДН 2020</t>
  </si>
  <si>
    <t>input_Course</t>
  </si>
  <si>
    <t>Группа</t>
  </si>
  <si>
    <t>РиЭНМ</t>
  </si>
  <si>
    <t>input_Group</t>
  </si>
  <si>
    <t>Имя</t>
  </si>
  <si>
    <t>Хабибуллин Ринат</t>
  </si>
  <si>
    <t>input_Student_Name</t>
  </si>
  <si>
    <t>Примечание</t>
  </si>
  <si>
    <t>Пример выполнения упражнения</t>
  </si>
  <si>
    <t>input_Notes</t>
  </si>
  <si>
    <t>Многофазный поток в трубопроводе</t>
  </si>
  <si>
    <t>Сепарация газа</t>
  </si>
  <si>
    <r>
      <t>K</t>
    </r>
    <r>
      <rPr>
        <vertAlign val="subscript"/>
        <sz val="11"/>
        <color theme="1"/>
        <rFont val="Calibri"/>
        <family val="2"/>
        <charset val="204"/>
      </rPr>
      <t>sep</t>
    </r>
  </si>
  <si>
    <r>
      <t>P</t>
    </r>
    <r>
      <rPr>
        <vertAlign val="subscript"/>
        <sz val="11"/>
        <color theme="1"/>
        <rFont val="Calibri"/>
        <family val="2"/>
        <charset val="204"/>
      </rPr>
      <t>sep</t>
    </r>
  </si>
  <si>
    <r>
      <t>T</t>
    </r>
    <r>
      <rPr>
        <vertAlign val="subscript"/>
        <sz val="11"/>
        <color theme="1"/>
        <rFont val="Calibri"/>
        <family val="2"/>
        <charset val="204"/>
      </rPr>
      <t>sep</t>
    </r>
  </si>
  <si>
    <t>Корреляция PVT</t>
  </si>
  <si>
    <t>Корреляция гидр</t>
  </si>
  <si>
    <t>калибровка тип</t>
  </si>
  <si>
    <t>Поправки</t>
  </si>
  <si>
    <t>Калибровка грав</t>
  </si>
  <si>
    <t>Калибровка трение</t>
  </si>
  <si>
    <t>Параметр расчета</t>
  </si>
  <si>
    <t>Барботаж</t>
  </si>
  <si>
    <t>Поток</t>
  </si>
  <si>
    <t>Температурная модель</t>
  </si>
  <si>
    <t xml:space="preserve">Конструкция </t>
  </si>
  <si>
    <t>гидро модель</t>
  </si>
  <si>
    <t>show_log</t>
  </si>
  <si>
    <t>num_value</t>
  </si>
  <si>
    <t>show_array</t>
  </si>
  <si>
    <t>Параметры расчета</t>
  </si>
  <si>
    <t>отклонение</t>
  </si>
  <si>
    <t>Q</t>
  </si>
  <si>
    <t>Границы расчета</t>
  </si>
  <si>
    <t xml:space="preserve">От </t>
  </si>
  <si>
    <t>До</t>
  </si>
  <si>
    <t>Pend</t>
  </si>
  <si>
    <t>Диапазон дебитов</t>
  </si>
  <si>
    <t>Расчет давлений</t>
  </si>
  <si>
    <t>Декодирование результатов расчета</t>
  </si>
  <si>
    <t>Вторая волна декодирования</t>
  </si>
  <si>
    <t>Давления</t>
  </si>
  <si>
    <t>Дебиты</t>
  </si>
  <si>
    <t>Температура</t>
  </si>
  <si>
    <t>feeds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</si>
</sst>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Calibri"/>
      <family val="2"/>
      <scheme val="minor"/>
    </font>
    <font>
      <b/>
      <sz val="10"/>
      <name val="Arial Cyr"/>
      <charset val="204"/>
    </font>
    <font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</font>
    <font>
      <vertAlign val="superscript"/>
      <sz val="11"/>
      <name val="Calibri"/>
      <family val="2"/>
      <charset val="204"/>
      <scheme val="minor"/>
    </font>
    <font>
      <vertAlign val="subscript"/>
      <sz val="11"/>
      <color theme="1"/>
      <name val="Calibri"/>
      <family val="2"/>
      <charset val="204"/>
      <scheme val="minor"/>
    </font>
    <font>
      <vertAlign val="superscript"/>
      <sz val="11"/>
      <color theme="1"/>
      <name val="Calibri"/>
      <family val="2"/>
      <charset val="204"/>
      <scheme val="minor"/>
    </font>
    <font>
      <vertAlign val="subscript"/>
      <sz val="10"/>
      <name val="Arial Cyr"/>
      <charset val="204"/>
    </font>
    <font>
      <vertAlign val="superscript"/>
      <sz val="10"/>
      <name val="Arial Cyr"/>
      <charset val="204"/>
    </font>
    <font>
      <b/>
      <sz val="11"/>
      <color theme="1"/>
      <name val="Calibri"/>
      <family val="2"/>
      <charset val="204"/>
      <scheme val="minor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</fonts>
  <fills count="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69">
    <xf numFmtId="0" fontId="0" fillId="0" borderId="0" xfId="0"/>
    <xf numFmtId="0" fontId="1" fillId="0" borderId="0" xfId="0" applyFont="1"/>
    <xf numFmtId="0" fontId="2" fillId="2" borderId="1" xfId="0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1" xfId="0" applyFill="1" applyBorder="1" applyAlignment="1">
      <alignment horizontal="center" wrapText="1"/>
    </xf>
    <xf numFmtId="1" fontId="0" fillId="5" borderId="1" xfId="0" applyNumberFormat="1" applyFill="1" applyBorder="1" applyAlignment="1">
      <alignment horizontal="center"/>
    </xf>
    <xf numFmtId="0" fontId="2" fillId="2" borderId="1" xfId="0" applyFont="1" applyFill="1" applyBorder="1" applyAlignment="1">
      <alignment horizontal="center" wrapText="1"/>
    </xf>
    <xf numFmtId="0" fontId="0" fillId="0" borderId="0" xfId="0" applyAlignment="1">
      <alignment wrapText="1"/>
    </xf>
    <xf numFmtId="0" fontId="0" fillId="4" borderId="1" xfId="0" applyFill="1" applyBorder="1" applyAlignment="1">
      <alignment horizontal="center" wrapText="1"/>
    </xf>
    <xf numFmtId="0" fontId="0" fillId="5" borderId="1" xfId="0" applyFill="1" applyBorder="1"/>
    <xf numFmtId="0" fontId="9" fillId="2" borderId="0" xfId="0" applyFont="1" applyFill="1"/>
    <xf numFmtId="0" fontId="0" fillId="2" borderId="0" xfId="0" applyFill="1"/>
    <xf numFmtId="0" fontId="0" fillId="2" borderId="0" xfId="0" applyFill="1" applyAlignment="1">
      <alignment horizontal="center"/>
    </xf>
    <xf numFmtId="0" fontId="0" fillId="6" borderId="0" xfId="0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5" borderId="3" xfId="0" applyFill="1" applyBorder="1"/>
    <xf numFmtId="0" fontId="0" fillId="5" borderId="2" xfId="0" applyFill="1" applyBorder="1"/>
    <xf numFmtId="0" fontId="0" fillId="7" borderId="0" xfId="0" applyFill="1" applyBorder="1"/>
    <xf numFmtId="1" fontId="0" fillId="7" borderId="0" xfId="0" applyNumberFormat="1" applyFill="1" applyBorder="1" applyAlignment="1">
      <alignment horizontal="center"/>
    </xf>
    <xf numFmtId="14" fontId="0" fillId="5" borderId="0" xfId="0" applyNumberFormat="1" applyFill="1" applyAlignment="1">
      <alignment horizontal="left" vertical="top"/>
    </xf>
    <xf numFmtId="0" fontId="0" fillId="5" borderId="0" xfId="0" applyFill="1"/>
    <xf numFmtId="0" fontId="0" fillId="5" borderId="0" xfId="0" applyFill="1" applyAlignment="1">
      <alignment horizontal="left" vertical="top"/>
    </xf>
    <xf numFmtId="0" fontId="2" fillId="2" borderId="1" xfId="0" applyFont="1" applyFill="1" applyBorder="1" applyAlignment="1">
      <alignment horizontal="left"/>
    </xf>
    <xf numFmtId="0" fontId="0" fillId="2" borderId="12" xfId="0" applyFill="1" applyBorder="1" applyAlignment="1">
      <alignment vertical="top"/>
    </xf>
    <xf numFmtId="0" fontId="0" fillId="2" borderId="0" xfId="0" applyFill="1" applyAlignment="1">
      <alignment vertical="top"/>
    </xf>
    <xf numFmtId="0" fontId="0" fillId="5" borderId="0" xfId="0" applyFill="1" applyAlignment="1">
      <alignment vertical="top"/>
    </xf>
    <xf numFmtId="0" fontId="0" fillId="2" borderId="14" xfId="0" applyFill="1" applyBorder="1" applyAlignment="1">
      <alignment vertical="top"/>
    </xf>
    <xf numFmtId="0" fontId="0" fillId="2" borderId="15" xfId="0" applyFill="1" applyBorder="1" applyAlignment="1">
      <alignment vertical="top"/>
    </xf>
    <xf numFmtId="1" fontId="0" fillId="3" borderId="1" xfId="0" applyNumberFormat="1" applyFill="1" applyBorder="1" applyAlignment="1">
      <alignment horizontal="center"/>
    </xf>
    <xf numFmtId="0" fontId="0" fillId="2" borderId="11" xfId="0" applyFill="1" applyBorder="1"/>
    <xf numFmtId="0" fontId="2" fillId="2" borderId="2" xfId="0" applyFont="1" applyFill="1" applyBorder="1" applyAlignment="1">
      <alignment horizontal="right"/>
    </xf>
    <xf numFmtId="0" fontId="0" fillId="2" borderId="2" xfId="0" applyFill="1" applyBorder="1" applyAlignment="1">
      <alignment horizontal="right"/>
    </xf>
    <xf numFmtId="0" fontId="9" fillId="0" borderId="0" xfId="0" applyFont="1"/>
    <xf numFmtId="0" fontId="9" fillId="0" borderId="0" xfId="0" applyFont="1" applyFill="1"/>
    <xf numFmtId="0" fontId="0" fillId="0" borderId="0" xfId="0" applyFill="1"/>
    <xf numFmtId="0" fontId="0" fillId="6" borderId="1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0" borderId="0" xfId="0" applyAlignment="1">
      <alignment horizontal="right"/>
    </xf>
    <xf numFmtId="1" fontId="0" fillId="0" borderId="0" xfId="0" applyNumberFormat="1" applyFill="1" applyBorder="1" applyAlignment="1">
      <alignment horizontal="center"/>
    </xf>
    <xf numFmtId="1" fontId="0" fillId="0" borderId="0" xfId="0" applyNumberFormat="1" applyAlignment="1">
      <alignment horizontal="center"/>
    </xf>
    <xf numFmtId="1" fontId="0" fillId="7" borderId="0" xfId="0" applyNumberFormat="1" applyFill="1" applyAlignment="1">
      <alignment horizontal="center"/>
    </xf>
    <xf numFmtId="1" fontId="0" fillId="7" borderId="0" xfId="0" applyNumberFormat="1" applyFill="1" applyBorder="1"/>
    <xf numFmtId="1" fontId="0" fillId="5" borderId="0" xfId="0" applyNumberFormat="1" applyFill="1"/>
    <xf numFmtId="0" fontId="0" fillId="6" borderId="0" xfId="0" applyFill="1" applyAlignment="1">
      <alignment horizontal="center"/>
    </xf>
    <xf numFmtId="0" fontId="0" fillId="6" borderId="0" xfId="0" applyFill="1" applyAlignment="1">
      <alignment horizontal="center" wrapText="1"/>
    </xf>
    <xf numFmtId="0" fontId="0" fillId="0" borderId="0" xfId="0" applyAlignment="1">
      <alignment horizontal="left"/>
    </xf>
    <xf numFmtId="1" fontId="0" fillId="0" borderId="0" xfId="0" applyNumberFormat="1" applyFill="1" applyBorder="1" applyAlignment="1">
      <alignment horizontal="left"/>
    </xf>
    <xf numFmtId="0" fontId="0" fillId="0" borderId="0" xfId="0" applyAlignment="1">
      <alignment horizontal="center"/>
    </xf>
    <xf numFmtId="2" fontId="0" fillId="0" borderId="0" xfId="0" applyNumberFormat="1" applyFill="1" applyBorder="1" applyAlignment="1">
      <alignment horizontal="center"/>
    </xf>
    <xf numFmtId="0" fontId="0" fillId="2" borderId="0" xfId="0" applyFill="1" applyAlignment="1">
      <alignment horizontal="right"/>
    </xf>
    <xf numFmtId="1" fontId="0" fillId="6" borderId="0" xfId="0" applyNumberFormat="1" applyFill="1" applyBorder="1" applyAlignment="1">
      <alignment horizontal="center"/>
    </xf>
    <xf numFmtId="0" fontId="2" fillId="2" borderId="11" xfId="0" applyFont="1" applyFill="1" applyBorder="1" applyAlignment="1">
      <alignment horizontal="center" wrapText="1"/>
    </xf>
    <xf numFmtId="0" fontId="2" fillId="2" borderId="2" xfId="0" applyFont="1" applyFill="1" applyBorder="1" applyAlignment="1">
      <alignment horizontal="center" wrapText="1"/>
    </xf>
    <xf numFmtId="0" fontId="0" fillId="0" borderId="0" xfId="0" applyAlignment="1">
      <alignment horizontal="center"/>
    </xf>
    <xf numFmtId="0" fontId="0" fillId="6" borderId="11" xfId="0" applyFill="1" applyBorder="1" applyAlignment="1">
      <alignment horizontal="left"/>
    </xf>
    <xf numFmtId="0" fontId="0" fillId="6" borderId="3" xfId="0" applyFill="1" applyBorder="1" applyAlignment="1">
      <alignment horizontal="left"/>
    </xf>
    <xf numFmtId="0" fontId="0" fillId="6" borderId="2" xfId="0" applyFill="1" applyBorder="1" applyAlignment="1">
      <alignment horizontal="left"/>
    </xf>
    <xf numFmtId="0" fontId="0" fillId="6" borderId="13" xfId="0" applyFill="1" applyBorder="1" applyAlignment="1">
      <alignment horizontal="left" vertical="top"/>
    </xf>
    <xf numFmtId="0" fontId="0" fillId="6" borderId="4" xfId="0" applyFill="1" applyBorder="1" applyAlignment="1">
      <alignment horizontal="left" vertical="top"/>
    </xf>
    <xf numFmtId="0" fontId="0" fillId="6" borderId="5" xfId="0" applyFill="1" applyBorder="1" applyAlignment="1">
      <alignment horizontal="left" vertical="top"/>
    </xf>
    <xf numFmtId="0" fontId="0" fillId="6" borderId="6" xfId="0" applyFill="1" applyBorder="1" applyAlignment="1">
      <alignment horizontal="left" vertical="top"/>
    </xf>
    <xf numFmtId="0" fontId="0" fillId="6" borderId="0" xfId="0" applyFill="1" applyAlignment="1">
      <alignment horizontal="left" vertical="top"/>
    </xf>
    <xf numFmtId="0" fontId="0" fillId="6" borderId="7" xfId="0" applyFill="1" applyBorder="1" applyAlignment="1">
      <alignment horizontal="left" vertical="top"/>
    </xf>
    <xf numFmtId="0" fontId="0" fillId="6" borderId="8" xfId="0" applyFill="1" applyBorder="1" applyAlignment="1">
      <alignment horizontal="left" vertical="top"/>
    </xf>
    <xf numFmtId="0" fontId="0" fillId="6" borderId="9" xfId="0" applyFill="1" applyBorder="1" applyAlignment="1">
      <alignment horizontal="left" vertical="top"/>
    </xf>
    <xf numFmtId="0" fontId="0" fillId="6" borderId="10" xfId="0" applyFill="1" applyBorder="1" applyAlignment="1">
      <alignment horizontal="left" vertical="top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Давление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exercise_pipeline!$M$48</c:f>
              <c:strCache>
                <c:ptCount val="1"/>
                <c:pt idx="0">
                  <c:v>p,atma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exercise_pipeline!$M$49:$M$68</c:f>
              <c:numCache>
                <c:formatCode>0</c:formatCode>
                <c:ptCount val="20"/>
                <c:pt idx="0">
                  <c:v>0.94037333048119498</c:v>
                </c:pt>
                <c:pt idx="1">
                  <c:v>0.94037333048119498</c:v>
                </c:pt>
                <c:pt idx="2">
                  <c:v>0.94037333048119498</c:v>
                </c:pt>
                <c:pt idx="3">
                  <c:v>1.1497555811193241</c:v>
                </c:pt>
                <c:pt idx="4">
                  <c:v>2.2292812829345658</c:v>
                </c:pt>
                <c:pt idx="5">
                  <c:v>3.3876764968350916</c:v>
                </c:pt>
                <c:pt idx="6">
                  <c:v>4.6885428604579316</c:v>
                </c:pt>
                <c:pt idx="7">
                  <c:v>6.1917861226546469</c:v>
                </c:pt>
                <c:pt idx="8">
                  <c:v>7.9046543210060145</c:v>
                </c:pt>
                <c:pt idx="9">
                  <c:v>9.9389402964635174</c:v>
                </c:pt>
                <c:pt idx="10">
                  <c:v>12.294638437004485</c:v>
                </c:pt>
                <c:pt idx="11">
                  <c:v>14.914044942267662</c:v>
                </c:pt>
                <c:pt idx="12">
                  <c:v>17.967704015734654</c:v>
                </c:pt>
                <c:pt idx="13">
                  <c:v>21.831995558849702</c:v>
                </c:pt>
                <c:pt idx="14">
                  <c:v>26.002057932906116</c:v>
                </c:pt>
                <c:pt idx="15">
                  <c:v>30.443838102186113</c:v>
                </c:pt>
                <c:pt idx="16">
                  <c:v>35.104369876827732</c:v>
                </c:pt>
                <c:pt idx="17">
                  <c:v>39.935004431062026</c:v>
                </c:pt>
                <c:pt idx="18">
                  <c:v>44.891210199463877</c:v>
                </c:pt>
                <c:pt idx="19">
                  <c:v>50</c:v>
                </c:pt>
              </c:numCache>
            </c:numRef>
          </c:xVal>
          <c:yVal>
            <c:numRef>
              <c:f>exercise_pipeline!$K$49:$K$68</c:f>
              <c:numCache>
                <c:formatCode>0</c:formatCode>
                <c:ptCount val="20"/>
                <c:pt idx="0">
                  <c:v>0</c:v>
                </c:pt>
                <c:pt idx="1">
                  <c:v>110.52631578947368</c:v>
                </c:pt>
                <c:pt idx="2">
                  <c:v>221.05263157894737</c:v>
                </c:pt>
                <c:pt idx="3">
                  <c:v>331.57894736842104</c:v>
                </c:pt>
                <c:pt idx="4">
                  <c:v>442.10526315789474</c:v>
                </c:pt>
                <c:pt idx="5">
                  <c:v>552.63157894736844</c:v>
                </c:pt>
                <c:pt idx="6">
                  <c:v>663.15789473684208</c:v>
                </c:pt>
                <c:pt idx="7">
                  <c:v>773.68421052631584</c:v>
                </c:pt>
                <c:pt idx="8">
                  <c:v>884.21052631578948</c:v>
                </c:pt>
                <c:pt idx="9">
                  <c:v>994.73684210526312</c:v>
                </c:pt>
                <c:pt idx="10">
                  <c:v>1105.2631578947369</c:v>
                </c:pt>
                <c:pt idx="11">
                  <c:v>1215.7894736842106</c:v>
                </c:pt>
                <c:pt idx="12">
                  <c:v>1326.3157894736842</c:v>
                </c:pt>
                <c:pt idx="13">
                  <c:v>1436.8421052631579</c:v>
                </c:pt>
                <c:pt idx="14">
                  <c:v>1547.3684210526317</c:v>
                </c:pt>
                <c:pt idx="15">
                  <c:v>1657.8947368421052</c:v>
                </c:pt>
                <c:pt idx="16">
                  <c:v>1768.421052631579</c:v>
                </c:pt>
                <c:pt idx="17">
                  <c:v>1878.9473684210527</c:v>
                </c:pt>
                <c:pt idx="18">
                  <c:v>1989.4736842105262</c:v>
                </c:pt>
                <c:pt idx="19">
                  <c:v>2100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E52-4867-9BA9-5C7289205E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3757615"/>
        <c:axId val="1849416287"/>
      </c:scatterChart>
      <c:valAx>
        <c:axId val="1583757615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849416287"/>
        <c:crosses val="autoZero"/>
        <c:crossBetween val="midCat"/>
      </c:valAx>
      <c:valAx>
        <c:axId val="1849416287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Измереная</a:t>
                </a:r>
                <a:r>
                  <a:rPr lang="ru-RU" baseline="0"/>
                  <a:t> глубина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8375761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5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Температура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1"/>
          <c:order val="0"/>
          <c:tx>
            <c:strRef>
              <c:f>exercise_pipeline!$N$48</c:f>
              <c:strCache>
                <c:ptCount val="1"/>
                <c:pt idx="0">
                  <c:v>t,C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exercise_pipeline!$N$49:$N$68</c:f>
              <c:numCache>
                <c:formatCode>0</c:formatCode>
                <c:ptCount val="20"/>
                <c:pt idx="0">
                  <c:v>20</c:v>
                </c:pt>
                <c:pt idx="1">
                  <c:v>20.552502293410711</c:v>
                </c:pt>
                <c:pt idx="2">
                  <c:v>21.105004586821423</c:v>
                </c:pt>
                <c:pt idx="3">
                  <c:v>21.65750688023213</c:v>
                </c:pt>
                <c:pt idx="4">
                  <c:v>22.210009173642842</c:v>
                </c:pt>
                <c:pt idx="5">
                  <c:v>22.762511467053553</c:v>
                </c:pt>
                <c:pt idx="6">
                  <c:v>23.315013760464264</c:v>
                </c:pt>
                <c:pt idx="7">
                  <c:v>23.867516053874972</c:v>
                </c:pt>
                <c:pt idx="8">
                  <c:v>24.420018347285684</c:v>
                </c:pt>
                <c:pt idx="9">
                  <c:v>24.972520640696391</c:v>
                </c:pt>
                <c:pt idx="10">
                  <c:v>29.376666666666669</c:v>
                </c:pt>
                <c:pt idx="11">
                  <c:v>33.912982456140362</c:v>
                </c:pt>
                <c:pt idx="12">
                  <c:v>38.344385964912277</c:v>
                </c:pt>
                <c:pt idx="13">
                  <c:v>42.670877192982459</c:v>
                </c:pt>
                <c:pt idx="14">
                  <c:v>46.89245614035088</c:v>
                </c:pt>
                <c:pt idx="15">
                  <c:v>51.00912280701754</c:v>
                </c:pt>
                <c:pt idx="16">
                  <c:v>55.020877192982454</c:v>
                </c:pt>
                <c:pt idx="17">
                  <c:v>58.92771929824562</c:v>
                </c:pt>
                <c:pt idx="18">
                  <c:v>62.729649122807018</c:v>
                </c:pt>
                <c:pt idx="19">
                  <c:v>66.426666666666677</c:v>
                </c:pt>
              </c:numCache>
            </c:numRef>
          </c:xVal>
          <c:yVal>
            <c:numRef>
              <c:f>exercise_pipeline!$K$49:$K$68</c:f>
              <c:numCache>
                <c:formatCode>0</c:formatCode>
                <c:ptCount val="20"/>
                <c:pt idx="0">
                  <c:v>0</c:v>
                </c:pt>
                <c:pt idx="1">
                  <c:v>110.52631578947368</c:v>
                </c:pt>
                <c:pt idx="2">
                  <c:v>221.05263157894737</c:v>
                </c:pt>
                <c:pt idx="3">
                  <c:v>331.57894736842104</c:v>
                </c:pt>
                <c:pt idx="4">
                  <c:v>442.10526315789474</c:v>
                </c:pt>
                <c:pt idx="5">
                  <c:v>552.63157894736844</c:v>
                </c:pt>
                <c:pt idx="6">
                  <c:v>663.15789473684208</c:v>
                </c:pt>
                <c:pt idx="7">
                  <c:v>773.68421052631584</c:v>
                </c:pt>
                <c:pt idx="8">
                  <c:v>884.21052631578948</c:v>
                </c:pt>
                <c:pt idx="9">
                  <c:v>994.73684210526312</c:v>
                </c:pt>
                <c:pt idx="10">
                  <c:v>1105.2631578947369</c:v>
                </c:pt>
                <c:pt idx="11">
                  <c:v>1215.7894736842106</c:v>
                </c:pt>
                <c:pt idx="12">
                  <c:v>1326.3157894736842</c:v>
                </c:pt>
                <c:pt idx="13">
                  <c:v>1436.8421052631579</c:v>
                </c:pt>
                <c:pt idx="14">
                  <c:v>1547.3684210526317</c:v>
                </c:pt>
                <c:pt idx="15">
                  <c:v>1657.8947368421052</c:v>
                </c:pt>
                <c:pt idx="16">
                  <c:v>1768.421052631579</c:v>
                </c:pt>
                <c:pt idx="17">
                  <c:v>1878.9473684210527</c:v>
                </c:pt>
                <c:pt idx="18">
                  <c:v>1989.4736842105262</c:v>
                </c:pt>
                <c:pt idx="19">
                  <c:v>2100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0C4-42F2-A47B-A1EA80C54F7F}"/>
            </c:ext>
          </c:extLst>
        </c:ser>
        <c:ser>
          <c:idx val="0"/>
          <c:order val="1"/>
          <c:tx>
            <c:strRef>
              <c:f>exercise_pipeline!$O$48</c:f>
              <c:strCache>
                <c:ptCount val="1"/>
                <c:pt idx="0">
                  <c:v>t_amb, C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exercise_pipeline!$O$49:$O$68</c:f>
              <c:numCache>
                <c:formatCode>0</c:formatCode>
                <c:ptCount val="20"/>
                <c:pt idx="0">
                  <c:v>20</c:v>
                </c:pt>
                <c:pt idx="1">
                  <c:v>20.552502293410711</c:v>
                </c:pt>
                <c:pt idx="2">
                  <c:v>21.105004586821423</c:v>
                </c:pt>
                <c:pt idx="3">
                  <c:v>21.65750688023213</c:v>
                </c:pt>
                <c:pt idx="4">
                  <c:v>22.210009173642842</c:v>
                </c:pt>
                <c:pt idx="5">
                  <c:v>22.762511467053553</c:v>
                </c:pt>
                <c:pt idx="6">
                  <c:v>23.315013760464264</c:v>
                </c:pt>
                <c:pt idx="7">
                  <c:v>23.867516053874972</c:v>
                </c:pt>
                <c:pt idx="8">
                  <c:v>24.420018347285684</c:v>
                </c:pt>
                <c:pt idx="9">
                  <c:v>24.972520640696391</c:v>
                </c:pt>
                <c:pt idx="10">
                  <c:v>29.376666666666669</c:v>
                </c:pt>
                <c:pt idx="11">
                  <c:v>33.912982456140362</c:v>
                </c:pt>
                <c:pt idx="12">
                  <c:v>38.344385964912277</c:v>
                </c:pt>
                <c:pt idx="13">
                  <c:v>42.670877192982459</c:v>
                </c:pt>
                <c:pt idx="14">
                  <c:v>46.89245614035088</c:v>
                </c:pt>
                <c:pt idx="15">
                  <c:v>51.00912280701754</c:v>
                </c:pt>
                <c:pt idx="16">
                  <c:v>55.020877192982454</c:v>
                </c:pt>
                <c:pt idx="17">
                  <c:v>58.92771929824562</c:v>
                </c:pt>
                <c:pt idx="18">
                  <c:v>62.729649122807018</c:v>
                </c:pt>
                <c:pt idx="19">
                  <c:v>66.426666666666677</c:v>
                </c:pt>
              </c:numCache>
            </c:numRef>
          </c:xVal>
          <c:yVal>
            <c:numRef>
              <c:f>exercise_pipeline!$K$49:$K$68</c:f>
              <c:numCache>
                <c:formatCode>0</c:formatCode>
                <c:ptCount val="20"/>
                <c:pt idx="0">
                  <c:v>0</c:v>
                </c:pt>
                <c:pt idx="1">
                  <c:v>110.52631578947368</c:v>
                </c:pt>
                <c:pt idx="2">
                  <c:v>221.05263157894737</c:v>
                </c:pt>
                <c:pt idx="3">
                  <c:v>331.57894736842104</c:v>
                </c:pt>
                <c:pt idx="4">
                  <c:v>442.10526315789474</c:v>
                </c:pt>
                <c:pt idx="5">
                  <c:v>552.63157894736844</c:v>
                </c:pt>
                <c:pt idx="6">
                  <c:v>663.15789473684208</c:v>
                </c:pt>
                <c:pt idx="7">
                  <c:v>773.68421052631584</c:v>
                </c:pt>
                <c:pt idx="8">
                  <c:v>884.21052631578948</c:v>
                </c:pt>
                <c:pt idx="9">
                  <c:v>994.73684210526312</c:v>
                </c:pt>
                <c:pt idx="10">
                  <c:v>1105.2631578947369</c:v>
                </c:pt>
                <c:pt idx="11">
                  <c:v>1215.7894736842106</c:v>
                </c:pt>
                <c:pt idx="12">
                  <c:v>1326.3157894736842</c:v>
                </c:pt>
                <c:pt idx="13">
                  <c:v>1436.8421052631579</c:v>
                </c:pt>
                <c:pt idx="14">
                  <c:v>1547.3684210526317</c:v>
                </c:pt>
                <c:pt idx="15">
                  <c:v>1657.8947368421052</c:v>
                </c:pt>
                <c:pt idx="16">
                  <c:v>1768.421052631579</c:v>
                </c:pt>
                <c:pt idx="17">
                  <c:v>1878.9473684210527</c:v>
                </c:pt>
                <c:pt idx="18">
                  <c:v>1989.4736842105262</c:v>
                </c:pt>
                <c:pt idx="19">
                  <c:v>2100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313-4D35-9D4E-5600DFDD12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3757615"/>
        <c:axId val="1849416287"/>
      </c:scatterChart>
      <c:valAx>
        <c:axId val="1583757615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Температура,</a:t>
                </a:r>
                <a:r>
                  <a:rPr lang="ru-RU" baseline="0"/>
                  <a:t> С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849416287"/>
        <c:crosses val="autoZero"/>
        <c:crossBetween val="midCat"/>
      </c:valAx>
      <c:valAx>
        <c:axId val="1849416287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Измеренная глубина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8375761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5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Траектория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exercise_pipeline!$S$48</c:f>
              <c:strCache>
                <c:ptCount val="1"/>
                <c:pt idx="0">
                  <c:v>отклонение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exercise_pipeline!$S$49:$S$68</c:f>
              <c:numCache>
                <c:formatCode>0</c:formatCode>
                <c:ptCount val="20"/>
                <c:pt idx="0">
                  <c:v>0</c:v>
                </c:pt>
                <c:pt idx="1">
                  <c:v>2.5857107331631823E-2</c:v>
                </c:pt>
                <c:pt idx="2">
                  <c:v>5.1714214663263647E-2</c:v>
                </c:pt>
                <c:pt idx="3">
                  <c:v>7.7571321994867048E-2</c:v>
                </c:pt>
                <c:pt idx="4">
                  <c:v>0.10342842932652729</c:v>
                </c:pt>
                <c:pt idx="5">
                  <c:v>0.1292855366581307</c:v>
                </c:pt>
                <c:pt idx="6">
                  <c:v>0.1551426439897341</c:v>
                </c:pt>
                <c:pt idx="7">
                  <c:v>0.18099975132145119</c:v>
                </c:pt>
                <c:pt idx="8">
                  <c:v>0.2068568586529409</c:v>
                </c:pt>
                <c:pt idx="9">
                  <c:v>0.23271396598465799</c:v>
                </c:pt>
                <c:pt idx="10">
                  <c:v>4.263157894736878</c:v>
                </c:pt>
                <c:pt idx="11">
                  <c:v>10.105263157894797</c:v>
                </c:pt>
                <c:pt idx="12">
                  <c:v>18.368421052631675</c:v>
                </c:pt>
                <c:pt idx="13">
                  <c:v>29.052631578947285</c:v>
                </c:pt>
                <c:pt idx="14">
                  <c:v>42.157894736842081</c:v>
                </c:pt>
                <c:pt idx="15">
                  <c:v>57.684210526315837</c:v>
                </c:pt>
                <c:pt idx="16">
                  <c:v>75.631578947368325</c:v>
                </c:pt>
                <c:pt idx="17">
                  <c:v>96</c:v>
                </c:pt>
                <c:pt idx="18">
                  <c:v>118.78947368421041</c:v>
                </c:pt>
                <c:pt idx="19">
                  <c:v>144</c:v>
                </c:pt>
              </c:numCache>
            </c:numRef>
          </c:xVal>
          <c:yVal>
            <c:numRef>
              <c:f>exercise_pipeline!$L$49:$L$68</c:f>
              <c:numCache>
                <c:formatCode>0</c:formatCode>
                <c:ptCount val="20"/>
                <c:pt idx="0">
                  <c:v>0</c:v>
                </c:pt>
                <c:pt idx="1">
                  <c:v>110.50045868214205</c:v>
                </c:pt>
                <c:pt idx="2">
                  <c:v>221.00091736428411</c:v>
                </c:pt>
                <c:pt idx="3">
                  <c:v>331.50137604642617</c:v>
                </c:pt>
                <c:pt idx="4">
                  <c:v>442.00183472856821</c:v>
                </c:pt>
                <c:pt idx="5">
                  <c:v>552.50229341071031</c:v>
                </c:pt>
                <c:pt idx="6">
                  <c:v>663.00275209285235</c:v>
                </c:pt>
                <c:pt idx="7">
                  <c:v>773.50321077499439</c:v>
                </c:pt>
                <c:pt idx="8">
                  <c:v>884.00366945713654</c:v>
                </c:pt>
                <c:pt idx="9">
                  <c:v>994.50412813927846</c:v>
                </c:pt>
                <c:pt idx="10">
                  <c:v>1101</c:v>
                </c:pt>
                <c:pt idx="11">
                  <c:v>1205.6842105263158</c:v>
                </c:pt>
                <c:pt idx="12">
                  <c:v>1307.9473684210525</c:v>
                </c:pt>
                <c:pt idx="13">
                  <c:v>1407.7894736842106</c:v>
                </c:pt>
                <c:pt idx="14">
                  <c:v>1505.2105263157896</c:v>
                </c:pt>
                <c:pt idx="15">
                  <c:v>1600.2105263157894</c:v>
                </c:pt>
                <c:pt idx="16">
                  <c:v>1692.7894736842106</c:v>
                </c:pt>
                <c:pt idx="17">
                  <c:v>1782.9473684210527</c:v>
                </c:pt>
                <c:pt idx="18">
                  <c:v>1870.6842105263158</c:v>
                </c:pt>
                <c:pt idx="19">
                  <c:v>1956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E52-4867-9BA9-5C7289205E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3757615"/>
        <c:axId val="1849416287"/>
      </c:scatterChart>
      <c:valAx>
        <c:axId val="1583757615"/>
        <c:scaling>
          <c:orientation val="minMax"/>
          <c:min val="0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Отклонение,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849416287"/>
        <c:crosses val="autoZero"/>
        <c:crossBetween val="midCat"/>
      </c:valAx>
      <c:valAx>
        <c:axId val="1849416287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Измереная</a:t>
                </a:r>
                <a:r>
                  <a:rPr lang="ru-RU" baseline="0"/>
                  <a:t> глубина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8375761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exercise_pipeline!$L$84</c:f>
              <c:strCache>
                <c:ptCount val="1"/>
                <c:pt idx="0">
                  <c:v>Pend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exercise_pipeline!$K$85:$K$105</c:f>
              <c:numCache>
                <c:formatCode>General</c:formatCode>
                <c:ptCount val="21"/>
                <c:pt idx="0">
                  <c:v>1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  <c:pt idx="13">
                  <c:v>130</c:v>
                </c:pt>
                <c:pt idx="14">
                  <c:v>140</c:v>
                </c:pt>
                <c:pt idx="15">
                  <c:v>150</c:v>
                </c:pt>
                <c:pt idx="16">
                  <c:v>160</c:v>
                </c:pt>
                <c:pt idx="17">
                  <c:v>170</c:v>
                </c:pt>
                <c:pt idx="18">
                  <c:v>180</c:v>
                </c:pt>
                <c:pt idx="19">
                  <c:v>190</c:v>
                </c:pt>
                <c:pt idx="20">
                  <c:v>200</c:v>
                </c:pt>
              </c:numCache>
            </c:numRef>
          </c:xVal>
          <c:yVal>
            <c:numRef>
              <c:f>exercise_pipeline!$L$85:$L$105</c:f>
              <c:numCache>
                <c:formatCode>0</c:formatCode>
                <c:ptCount val="21"/>
                <c:pt idx="0">
                  <c:v>207.33500000000001</c:v>
                </c:pt>
                <c:pt idx="1">
                  <c:v>206.38499999999999</c:v>
                </c:pt>
                <c:pt idx="2">
                  <c:v>205.63800000000001</c:v>
                </c:pt>
                <c:pt idx="3">
                  <c:v>205.11600000000001</c:v>
                </c:pt>
                <c:pt idx="4">
                  <c:v>204.74299999999999</c:v>
                </c:pt>
                <c:pt idx="5">
                  <c:v>204.47800000000001</c:v>
                </c:pt>
                <c:pt idx="6">
                  <c:v>204.29</c:v>
                </c:pt>
                <c:pt idx="7">
                  <c:v>204.21</c:v>
                </c:pt>
                <c:pt idx="8">
                  <c:v>204.17699999999999</c:v>
                </c:pt>
                <c:pt idx="9">
                  <c:v>204.22900000000001</c:v>
                </c:pt>
                <c:pt idx="10">
                  <c:v>204.27</c:v>
                </c:pt>
                <c:pt idx="11">
                  <c:v>204.38399999999999</c:v>
                </c:pt>
                <c:pt idx="12">
                  <c:v>204.50299999999999</c:v>
                </c:pt>
                <c:pt idx="13">
                  <c:v>204.64500000000001</c:v>
                </c:pt>
                <c:pt idx="14">
                  <c:v>204.815</c:v>
                </c:pt>
                <c:pt idx="15">
                  <c:v>205.02</c:v>
                </c:pt>
                <c:pt idx="16">
                  <c:v>205.24299999999999</c:v>
                </c:pt>
                <c:pt idx="17">
                  <c:v>205.48500000000001</c:v>
                </c:pt>
                <c:pt idx="18">
                  <c:v>205.74799999999999</c:v>
                </c:pt>
                <c:pt idx="19">
                  <c:v>206.03899999999999</c:v>
                </c:pt>
                <c:pt idx="20">
                  <c:v>206.34899999999999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6E9-45DC-96F3-7671D918CB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80278367"/>
        <c:axId val="880283359"/>
      </c:scatterChart>
      <c:valAx>
        <c:axId val="88027836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880283359"/>
        <c:crosses val="autoZero"/>
        <c:crossBetween val="midCat"/>
      </c:valAx>
      <c:valAx>
        <c:axId val="8802833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88027836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exercise_pipeline!$K$124</c:f>
              <c:strCache>
                <c:ptCount val="1"/>
                <c:pt idx="0">
                  <c:v>Давления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exercise_pipeline!$J$125:$J$138</c:f>
              <c:numCache>
                <c:formatCode>General</c:formatCode>
                <c:ptCount val="14"/>
                <c:pt idx="0">
                  <c:v>10</c:v>
                </c:pt>
                <c:pt idx="1">
                  <c:v>40</c:v>
                </c:pt>
                <c:pt idx="2">
                  <c:v>70</c:v>
                </c:pt>
                <c:pt idx="3">
                  <c:v>100</c:v>
                </c:pt>
                <c:pt idx="4">
                  <c:v>130</c:v>
                </c:pt>
                <c:pt idx="5">
                  <c:v>160</c:v>
                </c:pt>
                <c:pt idx="6">
                  <c:v>190</c:v>
                </c:pt>
                <c:pt idx="7">
                  <c:v>220</c:v>
                </c:pt>
                <c:pt idx="8">
                  <c:v>250</c:v>
                </c:pt>
                <c:pt idx="9">
                  <c:v>280</c:v>
                </c:pt>
                <c:pt idx="10">
                  <c:v>310</c:v>
                </c:pt>
                <c:pt idx="11">
                  <c:v>340</c:v>
                </c:pt>
                <c:pt idx="12">
                  <c:v>370</c:v>
                </c:pt>
                <c:pt idx="13">
                  <c:v>400</c:v>
                </c:pt>
              </c:numCache>
            </c:numRef>
          </c:xVal>
          <c:yVal>
            <c:numRef>
              <c:f>exercise_pipeline!$K$125:$K$138</c:f>
              <c:numCache>
                <c:formatCode>General</c:formatCode>
                <c:ptCount val="14"/>
                <c:pt idx="0">
                  <c:v>206.38499999999999</c:v>
                </c:pt>
                <c:pt idx="1">
                  <c:v>204.74299999999999</c:v>
                </c:pt>
                <c:pt idx="2">
                  <c:v>204.21</c:v>
                </c:pt>
                <c:pt idx="3">
                  <c:v>204.27</c:v>
                </c:pt>
                <c:pt idx="4">
                  <c:v>204.64500000000001</c:v>
                </c:pt>
                <c:pt idx="5">
                  <c:v>205.24299999999999</c:v>
                </c:pt>
                <c:pt idx="6">
                  <c:v>206.03899999999999</c:v>
                </c:pt>
                <c:pt idx="7">
                  <c:v>207.023</c:v>
                </c:pt>
                <c:pt idx="8">
                  <c:v>208.13300000000001</c:v>
                </c:pt>
                <c:pt idx="9">
                  <c:v>209.447</c:v>
                </c:pt>
                <c:pt idx="10">
                  <c:v>210.93100000000001</c:v>
                </c:pt>
                <c:pt idx="11">
                  <c:v>212.57400000000001</c:v>
                </c:pt>
                <c:pt idx="12">
                  <c:v>214.24799999999999</c:v>
                </c:pt>
                <c:pt idx="13">
                  <c:v>216.036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BA2-4921-9E56-BE43FFD92A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69758399"/>
        <c:axId val="769743423"/>
      </c:scatterChart>
      <c:valAx>
        <c:axId val="76975839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69743423"/>
        <c:crosses val="autoZero"/>
        <c:crossBetween val="midCat"/>
      </c:valAx>
      <c:valAx>
        <c:axId val="769743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6975839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475766</xdr:colOff>
      <xdr:row>47</xdr:row>
      <xdr:rowOff>106245</xdr:rowOff>
    </xdr:from>
    <xdr:to>
      <xdr:col>31</xdr:col>
      <xdr:colOff>155896</xdr:colOff>
      <xdr:row>70</xdr:row>
      <xdr:rowOff>53858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97C85775-032C-4665-921C-CE5498D19F2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31</xdr:col>
      <xdr:colOff>209685</xdr:colOff>
      <xdr:row>47</xdr:row>
      <xdr:rowOff>87195</xdr:rowOff>
    </xdr:from>
    <xdr:to>
      <xdr:col>36</xdr:col>
      <xdr:colOff>489219</xdr:colOff>
      <xdr:row>70</xdr:row>
      <xdr:rowOff>34808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A8DABDF7-5794-4DCD-820F-02908E6970B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381276</xdr:colOff>
      <xdr:row>3</xdr:row>
      <xdr:rowOff>42921</xdr:rowOff>
    </xdr:from>
    <xdr:to>
      <xdr:col>30</xdr:col>
      <xdr:colOff>329045</xdr:colOff>
      <xdr:row>27</xdr:row>
      <xdr:rowOff>0</xdr:rowOff>
    </xdr:to>
    <xdr:grpSp>
      <xdr:nvGrpSpPr>
        <xdr:cNvPr id="6" name="Группа 5">
          <a:extLst>
            <a:ext uri="{FF2B5EF4-FFF2-40B4-BE49-F238E27FC236}">
              <a16:creationId xmlns:a16="http://schemas.microsoft.com/office/drawing/2014/main" id="{3EB9ABB0-233D-4500-9312-2F9DC7F0FFD3}"/>
            </a:ext>
          </a:extLst>
        </xdr:cNvPr>
        <xdr:cNvGrpSpPr/>
      </xdr:nvGrpSpPr>
      <xdr:grpSpPr>
        <a:xfrm>
          <a:off x="16056705" y="614421"/>
          <a:ext cx="4234019" cy="5155008"/>
          <a:chOff x="15472544" y="1836882"/>
          <a:chExt cx="3439217" cy="4189945"/>
        </a:xfrm>
      </xdr:grpSpPr>
      <xdr:grpSp>
        <xdr:nvGrpSpPr>
          <xdr:cNvPr id="7" name="Группа 6">
            <a:extLst>
              <a:ext uri="{FF2B5EF4-FFF2-40B4-BE49-F238E27FC236}">
                <a16:creationId xmlns:a16="http://schemas.microsoft.com/office/drawing/2014/main" id="{9DFF414A-0180-4977-943E-D2A2D698F895}"/>
              </a:ext>
            </a:extLst>
          </xdr:cNvPr>
          <xdr:cNvGrpSpPr/>
        </xdr:nvGrpSpPr>
        <xdr:grpSpPr>
          <a:xfrm rot="16200000">
            <a:off x="17819477" y="4781762"/>
            <a:ext cx="252055" cy="1932512"/>
            <a:chOff x="5095875" y="1104900"/>
            <a:chExt cx="276225" cy="2038350"/>
          </a:xfrm>
        </xdr:grpSpPr>
        <xdr:sp macro="" textlink="">
          <xdr:nvSpPr>
            <xdr:cNvPr id="14" name="Цилиндр 13">
              <a:extLst>
                <a:ext uri="{FF2B5EF4-FFF2-40B4-BE49-F238E27FC236}">
                  <a16:creationId xmlns:a16="http://schemas.microsoft.com/office/drawing/2014/main" id="{9BF9083E-C685-4915-B5C1-44CD3213DC2E}"/>
                </a:ext>
              </a:extLst>
            </xdr:cNvPr>
            <xdr:cNvSpPr/>
          </xdr:nvSpPr>
          <xdr:spPr>
            <a:xfrm>
              <a:off x="5095875" y="1104900"/>
              <a:ext cx="276225" cy="2038350"/>
            </a:xfrm>
            <a:prstGeom prst="can">
              <a:avLst/>
            </a:prstGeom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  <xdr:sp macro="" textlink="">
          <xdr:nvSpPr>
            <xdr:cNvPr id="15" name="Стрелка: вверх 14">
              <a:extLst>
                <a:ext uri="{FF2B5EF4-FFF2-40B4-BE49-F238E27FC236}">
                  <a16:creationId xmlns:a16="http://schemas.microsoft.com/office/drawing/2014/main" id="{15BCCBF1-10F8-4C5E-A5D9-2E73F5798879}"/>
                </a:ext>
              </a:extLst>
            </xdr:cNvPr>
            <xdr:cNvSpPr/>
          </xdr:nvSpPr>
          <xdr:spPr>
            <a:xfrm>
              <a:off x="5172075" y="1819275"/>
              <a:ext cx="123825" cy="657225"/>
            </a:xfrm>
            <a:prstGeom prst="upArrow">
              <a:avLst/>
            </a:prstGeom>
          </xdr:spPr>
          <xdr:style>
            <a:lnRef idx="2">
              <a:schemeClr val="accent2">
                <a:shade val="50000"/>
              </a:schemeClr>
            </a:lnRef>
            <a:fillRef idx="1">
              <a:schemeClr val="accent2"/>
            </a:fillRef>
            <a:effectRef idx="0">
              <a:schemeClr val="accent2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</xdr:grpSp>
      <xdr:grpSp>
        <xdr:nvGrpSpPr>
          <xdr:cNvPr id="8" name="Группа 7">
            <a:extLst>
              <a:ext uri="{FF2B5EF4-FFF2-40B4-BE49-F238E27FC236}">
                <a16:creationId xmlns:a16="http://schemas.microsoft.com/office/drawing/2014/main" id="{7331D54A-578D-4946-8E49-E0E45CA75BBF}"/>
              </a:ext>
            </a:extLst>
          </xdr:cNvPr>
          <xdr:cNvGrpSpPr/>
        </xdr:nvGrpSpPr>
        <xdr:grpSpPr>
          <a:xfrm rot="19540499">
            <a:off x="16251804" y="3421402"/>
            <a:ext cx="288969" cy="2605425"/>
            <a:chOff x="5095875" y="1104900"/>
            <a:chExt cx="276225" cy="2038350"/>
          </a:xfrm>
        </xdr:grpSpPr>
        <xdr:sp macro="" textlink="">
          <xdr:nvSpPr>
            <xdr:cNvPr id="12" name="Цилиндр 11">
              <a:extLst>
                <a:ext uri="{FF2B5EF4-FFF2-40B4-BE49-F238E27FC236}">
                  <a16:creationId xmlns:a16="http://schemas.microsoft.com/office/drawing/2014/main" id="{D995FE3A-EA40-4353-A3A3-95D3F8F4A370}"/>
                </a:ext>
              </a:extLst>
            </xdr:cNvPr>
            <xdr:cNvSpPr/>
          </xdr:nvSpPr>
          <xdr:spPr>
            <a:xfrm>
              <a:off x="5095875" y="1104900"/>
              <a:ext cx="276225" cy="2038350"/>
            </a:xfrm>
            <a:prstGeom prst="can">
              <a:avLst/>
            </a:prstGeom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  <xdr:sp macro="" textlink="">
          <xdr:nvSpPr>
            <xdr:cNvPr id="13" name="Стрелка: вверх 12">
              <a:extLst>
                <a:ext uri="{FF2B5EF4-FFF2-40B4-BE49-F238E27FC236}">
                  <a16:creationId xmlns:a16="http://schemas.microsoft.com/office/drawing/2014/main" id="{F1625B2C-516E-4336-A8DD-2F43F1048A52}"/>
                </a:ext>
              </a:extLst>
            </xdr:cNvPr>
            <xdr:cNvSpPr/>
          </xdr:nvSpPr>
          <xdr:spPr>
            <a:xfrm>
              <a:off x="5172075" y="1819275"/>
              <a:ext cx="123825" cy="657225"/>
            </a:xfrm>
            <a:prstGeom prst="upArrow">
              <a:avLst/>
            </a:prstGeom>
          </xdr:spPr>
          <xdr:style>
            <a:lnRef idx="2">
              <a:schemeClr val="accent2">
                <a:shade val="50000"/>
              </a:schemeClr>
            </a:lnRef>
            <a:fillRef idx="1">
              <a:schemeClr val="accent2"/>
            </a:fillRef>
            <a:effectRef idx="0">
              <a:schemeClr val="accent2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</xdr:grpSp>
      <xdr:grpSp>
        <xdr:nvGrpSpPr>
          <xdr:cNvPr id="9" name="Группа 8">
            <a:extLst>
              <a:ext uri="{FF2B5EF4-FFF2-40B4-BE49-F238E27FC236}">
                <a16:creationId xmlns:a16="http://schemas.microsoft.com/office/drawing/2014/main" id="{63AE7315-65AC-4EED-AFAC-4B19CDAFFC95}"/>
              </a:ext>
            </a:extLst>
          </xdr:cNvPr>
          <xdr:cNvGrpSpPr/>
        </xdr:nvGrpSpPr>
        <xdr:grpSpPr>
          <a:xfrm>
            <a:off x="15472544" y="1836882"/>
            <a:ext cx="459146" cy="1922987"/>
            <a:chOff x="5095875" y="1104900"/>
            <a:chExt cx="276225" cy="2038350"/>
          </a:xfrm>
        </xdr:grpSpPr>
        <xdr:sp macro="" textlink="">
          <xdr:nvSpPr>
            <xdr:cNvPr id="10" name="Цилиндр 9">
              <a:extLst>
                <a:ext uri="{FF2B5EF4-FFF2-40B4-BE49-F238E27FC236}">
                  <a16:creationId xmlns:a16="http://schemas.microsoft.com/office/drawing/2014/main" id="{85410623-D217-4158-B6E1-2F745B378056}"/>
                </a:ext>
              </a:extLst>
            </xdr:cNvPr>
            <xdr:cNvSpPr/>
          </xdr:nvSpPr>
          <xdr:spPr>
            <a:xfrm>
              <a:off x="5095875" y="1104900"/>
              <a:ext cx="276225" cy="2038350"/>
            </a:xfrm>
            <a:prstGeom prst="can">
              <a:avLst/>
            </a:prstGeom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  <xdr:sp macro="" textlink="">
          <xdr:nvSpPr>
            <xdr:cNvPr id="11" name="Стрелка: вверх 10">
              <a:extLst>
                <a:ext uri="{FF2B5EF4-FFF2-40B4-BE49-F238E27FC236}">
                  <a16:creationId xmlns:a16="http://schemas.microsoft.com/office/drawing/2014/main" id="{92EDCAA3-4281-4BD4-9D67-91F54EB87D7F}"/>
                </a:ext>
              </a:extLst>
            </xdr:cNvPr>
            <xdr:cNvSpPr/>
          </xdr:nvSpPr>
          <xdr:spPr>
            <a:xfrm>
              <a:off x="5172075" y="1819275"/>
              <a:ext cx="123825" cy="657225"/>
            </a:xfrm>
            <a:prstGeom prst="upArrow">
              <a:avLst/>
            </a:prstGeom>
          </xdr:spPr>
          <xdr:style>
            <a:lnRef idx="2">
              <a:schemeClr val="accent2">
                <a:shade val="50000"/>
              </a:schemeClr>
            </a:lnRef>
            <a:fillRef idx="1">
              <a:schemeClr val="accent2"/>
            </a:fillRef>
            <a:effectRef idx="0">
              <a:schemeClr val="accent2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</xdr:grpSp>
    </xdr:grpSp>
    <xdr:clientData/>
  </xdr:twoCellAnchor>
  <xdr:twoCellAnchor>
    <xdr:from>
      <xdr:col>7</xdr:col>
      <xdr:colOff>11206</xdr:colOff>
      <xdr:row>0</xdr:row>
      <xdr:rowOff>56030</xdr:rowOff>
    </xdr:from>
    <xdr:to>
      <xdr:col>14</xdr:col>
      <xdr:colOff>381451</xdr:colOff>
      <xdr:row>14</xdr:row>
      <xdr:rowOff>78441</xdr:rowOff>
    </xdr:to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6841CCFE-B315-43A7-9739-EDE714EFABDE}"/>
            </a:ext>
          </a:extLst>
        </xdr:cNvPr>
        <xdr:cNvSpPr txBox="1"/>
      </xdr:nvSpPr>
      <xdr:spPr>
        <a:xfrm>
          <a:off x="4402231" y="56030"/>
          <a:ext cx="4723170" cy="2879911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Упражнение показывает расчет потока через трубопровод/скважину со сложной траекторией. Расчет может проводится в нескольких вариантах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относительно потока.</a:t>
          </a:r>
          <a:endParaRPr lang="ru-RU">
            <a:effectLst/>
          </a:endParaRP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Выполните следующие задания.</a:t>
          </a:r>
          <a:endParaRPr lang="ru-RU">
            <a:effectLst/>
          </a:endParaRPr>
        </a:p>
        <a:p>
          <a:pPr marL="0" indent="0">
            <a:buFont typeface="Arial" panose="020B0604020202020204" pitchFamily="34" charset="0"/>
            <a:buNone/>
          </a:pPr>
          <a:endParaRPr lang="en-US" sz="1100" baseline="0"/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 baseline="0"/>
            <a:t>Постройте зависимость распределение давления в трубе снизу вверх и сверху вниз</a:t>
          </a:r>
          <a:endParaRPr lang="en-US" sz="1100" baseline="0"/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 baseline="0"/>
            <a:t>Попробуйте подобрать параметры расчета так, чтобы кривые расчета в разных направлениях совпали</a:t>
          </a:r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 baseline="0"/>
            <a:t>Рассчитайте параметры для согласования расчетов с использованием функции калибровки расчета</a:t>
          </a:r>
        </a:p>
        <a:p>
          <a:pPr marL="171450" indent="-171450">
            <a:buFont typeface="Arial" panose="020B0604020202020204" pitchFamily="34" charset="0"/>
            <a:buChar char="•"/>
          </a:pPr>
          <a:endParaRPr lang="en-US" sz="1100"/>
        </a:p>
        <a:p>
          <a:r>
            <a:rPr lang="ru-RU" sz="1100"/>
            <a:t>Используйте</a:t>
          </a:r>
          <a:r>
            <a:rPr lang="ru-RU" sz="1100" baseline="0"/>
            <a:t> функции</a:t>
          </a:r>
        </a:p>
        <a:p>
          <a:endParaRPr lang="en-US" sz="1100">
            <a:latin typeface="Courier New" panose="02070309020205020404" pitchFamily="49" charset="0"/>
            <a:cs typeface="Courier New" panose="02070309020205020404" pitchFamily="49" charset="0"/>
          </a:endParaRPr>
        </a:p>
        <a:p>
          <a:r>
            <a:rPr lang="en-US" sz="1100">
              <a:latin typeface="Courier New" panose="02070309020205020404" pitchFamily="49" charset="0"/>
              <a:cs typeface="Courier New" panose="02070309020205020404" pitchFamily="49" charset="0"/>
            </a:rPr>
            <a:t>MF_pipe_p_atma</a:t>
          </a:r>
          <a:endParaRPr lang="ru-RU" sz="1100">
            <a:latin typeface="Courier New" panose="02070309020205020404" pitchFamily="49" charset="0"/>
            <a:cs typeface="Courier New" panose="02070309020205020404" pitchFamily="49" charset="0"/>
          </a:endParaRPr>
        </a:p>
        <a:p>
          <a:endParaRPr lang="ru-RU" sz="1100" baseline="0"/>
        </a:p>
        <a:p>
          <a:endParaRPr lang="ru-RU" sz="1100" baseline="0"/>
        </a:p>
        <a:p>
          <a:endParaRPr lang="ru-RU" sz="1100" baseline="0"/>
        </a:p>
      </xdr:txBody>
    </xdr:sp>
    <xdr:clientData/>
  </xdr:twoCellAnchor>
  <xdr:twoCellAnchor>
    <xdr:from>
      <xdr:col>4</xdr:col>
      <xdr:colOff>224118</xdr:colOff>
      <xdr:row>1</xdr:row>
      <xdr:rowOff>56030</xdr:rowOff>
    </xdr:from>
    <xdr:to>
      <xdr:col>6</xdr:col>
      <xdr:colOff>501829</xdr:colOff>
      <xdr:row>7</xdr:row>
      <xdr:rowOff>152741</xdr:rowOff>
    </xdr:to>
    <xdr:sp macro="" textlink="">
      <xdr:nvSpPr>
        <xdr:cNvPr id="18" name="Стрелка: влево 17">
          <a:extLst>
            <a:ext uri="{FF2B5EF4-FFF2-40B4-BE49-F238E27FC236}">
              <a16:creationId xmlns:a16="http://schemas.microsoft.com/office/drawing/2014/main" id="{66E080D6-41B4-4C12-A5FC-B2AA681F017B}"/>
            </a:ext>
          </a:extLst>
        </xdr:cNvPr>
        <xdr:cNvSpPr/>
      </xdr:nvSpPr>
      <xdr:spPr>
        <a:xfrm>
          <a:off x="2662518" y="246530"/>
          <a:ext cx="1496911" cy="1239711"/>
        </a:xfrm>
        <a:prstGeom prst="leftArrow">
          <a:avLst>
            <a:gd name="adj1" fmla="val 57273"/>
            <a:gd name="adj2" fmla="val 50000"/>
          </a:avLst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0. </a:t>
          </a:r>
          <a:r>
            <a:rPr lang="ru-RU" sz="1100"/>
            <a:t>Заполните,</a:t>
          </a:r>
          <a:r>
            <a:rPr lang="ru-RU" sz="1100" baseline="0"/>
            <a:t> если планируете отослать задание</a:t>
          </a:r>
          <a:endParaRPr lang="ru-RU" sz="1100"/>
        </a:p>
      </xdr:txBody>
    </xdr:sp>
    <xdr:clientData/>
  </xdr:twoCellAnchor>
  <xdr:twoCellAnchor>
    <xdr:from>
      <xdr:col>19</xdr:col>
      <xdr:colOff>179070</xdr:colOff>
      <xdr:row>47</xdr:row>
      <xdr:rowOff>93345</xdr:rowOff>
    </xdr:from>
    <xdr:to>
      <xdr:col>24</xdr:col>
      <xdr:colOff>78441</xdr:colOff>
      <xdr:row>70</xdr:row>
      <xdr:rowOff>87630</xdr:rowOff>
    </xdr:to>
    <xdr:graphicFrame macro="">
      <xdr:nvGraphicFramePr>
        <xdr:cNvPr id="19" name="Диаграмма 18">
          <a:extLst>
            <a:ext uri="{FF2B5EF4-FFF2-40B4-BE49-F238E27FC236}">
              <a16:creationId xmlns:a16="http://schemas.microsoft.com/office/drawing/2014/main" id="{3C6D5EEA-E38D-4C34-8EF5-06DFC23FD96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22411</xdr:colOff>
      <xdr:row>38</xdr:row>
      <xdr:rowOff>156882</xdr:rowOff>
    </xdr:from>
    <xdr:to>
      <xdr:col>8</xdr:col>
      <xdr:colOff>358589</xdr:colOff>
      <xdr:row>42</xdr:row>
      <xdr:rowOff>67235</xdr:rowOff>
    </xdr:to>
    <xdr:sp macro="" textlink="">
      <xdr:nvSpPr>
        <xdr:cNvPr id="17" name="Прямоугольник 16">
          <a:extLst>
            <a:ext uri="{FF2B5EF4-FFF2-40B4-BE49-F238E27FC236}">
              <a16:creationId xmlns:a16="http://schemas.microsoft.com/office/drawing/2014/main" id="{14F7BAB2-6CF2-4E92-BE26-4914484F3C54}"/>
            </a:ext>
          </a:extLst>
        </xdr:cNvPr>
        <xdr:cNvSpPr/>
      </xdr:nvSpPr>
      <xdr:spPr>
        <a:xfrm>
          <a:off x="627529" y="8101853"/>
          <a:ext cx="5322795" cy="649941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1.</a:t>
          </a:r>
          <a:r>
            <a:rPr lang="en-US" sz="1100" baseline="0"/>
            <a:t> </a:t>
          </a:r>
          <a:r>
            <a:rPr lang="ru-RU" sz="1100" baseline="0"/>
            <a:t>Пример единичного расчета</a:t>
          </a:r>
        </a:p>
        <a:p>
          <a:pPr algn="l"/>
          <a:endParaRPr lang="ru-RU" sz="1100" baseline="0"/>
        </a:p>
        <a:p>
          <a:pPr algn="l"/>
          <a:r>
            <a:rPr lang="ru-RU" sz="1100" baseline="0"/>
            <a:t>Расчет распределения давления и температуры в трубе</a:t>
          </a:r>
          <a:endParaRPr lang="ru-RU" sz="1100"/>
        </a:p>
      </xdr:txBody>
    </xdr:sp>
    <xdr:clientData/>
  </xdr:twoCellAnchor>
  <xdr:twoCellAnchor>
    <xdr:from>
      <xdr:col>1</xdr:col>
      <xdr:colOff>22412</xdr:colOff>
      <xdr:row>78</xdr:row>
      <xdr:rowOff>168088</xdr:rowOff>
    </xdr:from>
    <xdr:to>
      <xdr:col>8</xdr:col>
      <xdr:colOff>358590</xdr:colOff>
      <xdr:row>82</xdr:row>
      <xdr:rowOff>56029</xdr:rowOff>
    </xdr:to>
    <xdr:sp macro="" textlink="">
      <xdr:nvSpPr>
        <xdr:cNvPr id="20" name="Прямоугольник 19">
          <a:extLst>
            <a:ext uri="{FF2B5EF4-FFF2-40B4-BE49-F238E27FC236}">
              <a16:creationId xmlns:a16="http://schemas.microsoft.com/office/drawing/2014/main" id="{41C5E646-0BC9-44D0-B0C5-F0B4084490EF}"/>
            </a:ext>
          </a:extLst>
        </xdr:cNvPr>
        <xdr:cNvSpPr/>
      </xdr:nvSpPr>
      <xdr:spPr>
        <a:xfrm>
          <a:off x="627530" y="15912353"/>
          <a:ext cx="5322795" cy="649941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2</a:t>
          </a:r>
          <a:r>
            <a:rPr lang="en-US" sz="1100"/>
            <a:t>.</a:t>
          </a:r>
          <a:r>
            <a:rPr lang="en-US" sz="1100" baseline="0"/>
            <a:t> </a:t>
          </a:r>
          <a:r>
            <a:rPr lang="ru-RU" sz="1100" baseline="0"/>
            <a:t>Пример массового расчета</a:t>
          </a:r>
        </a:p>
        <a:p>
          <a:pPr algn="l"/>
          <a:endParaRPr lang="ru-RU" sz="1100" baseline="0"/>
        </a:p>
        <a:p>
          <a:pPr algn="l"/>
          <a:r>
            <a:rPr lang="ru-RU" sz="1100" baseline="0"/>
            <a:t>Построить кривую зависимости давления на конце трубы от дебита</a:t>
          </a:r>
          <a:endParaRPr lang="ru-RU" sz="1100"/>
        </a:p>
      </xdr:txBody>
    </xdr:sp>
    <xdr:clientData/>
  </xdr:twoCellAnchor>
  <xdr:twoCellAnchor>
    <xdr:from>
      <xdr:col>1</xdr:col>
      <xdr:colOff>22412</xdr:colOff>
      <xdr:row>108</xdr:row>
      <xdr:rowOff>56029</xdr:rowOff>
    </xdr:from>
    <xdr:to>
      <xdr:col>8</xdr:col>
      <xdr:colOff>358590</xdr:colOff>
      <xdr:row>113</xdr:row>
      <xdr:rowOff>89647</xdr:rowOff>
    </xdr:to>
    <xdr:sp macro="" textlink="">
      <xdr:nvSpPr>
        <xdr:cNvPr id="21" name="Прямоугольник 20">
          <a:extLst>
            <a:ext uri="{FF2B5EF4-FFF2-40B4-BE49-F238E27FC236}">
              <a16:creationId xmlns:a16="http://schemas.microsoft.com/office/drawing/2014/main" id="{949B7BB5-B0CA-48BC-9D10-20AB08254EDE}"/>
            </a:ext>
          </a:extLst>
        </xdr:cNvPr>
        <xdr:cNvSpPr/>
      </xdr:nvSpPr>
      <xdr:spPr>
        <a:xfrm>
          <a:off x="627530" y="21515294"/>
          <a:ext cx="5322795" cy="98611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3</a:t>
          </a:r>
          <a:r>
            <a:rPr lang="en-US" sz="1100"/>
            <a:t>.</a:t>
          </a:r>
          <a:r>
            <a:rPr lang="en-US" sz="1100" baseline="0"/>
            <a:t> </a:t>
          </a:r>
          <a:r>
            <a:rPr lang="ru-RU" sz="1100" baseline="0"/>
            <a:t>Пример массового расчета</a:t>
          </a:r>
        </a:p>
        <a:p>
          <a:pPr algn="l"/>
          <a:endParaRPr lang="ru-RU" sz="1100" baseline="0"/>
        </a:p>
        <a:p>
          <a:pPr algn="l"/>
          <a:r>
            <a:rPr lang="ru-RU" sz="1100" baseline="0"/>
            <a:t>Построить кривую зависимости давления на конце трубы от дебита</a:t>
          </a:r>
          <a:r>
            <a:rPr lang="en-US" sz="1100" baseline="0"/>
            <a:t> </a:t>
          </a:r>
          <a:r>
            <a:rPr lang="ru-RU" sz="1100" baseline="0"/>
            <a:t>с использованием векторных расчетов</a:t>
          </a:r>
          <a:endParaRPr lang="ru-RU" sz="1100"/>
        </a:p>
      </xdr:txBody>
    </xdr:sp>
    <xdr:clientData/>
  </xdr:twoCellAnchor>
  <xdr:twoCellAnchor>
    <xdr:from>
      <xdr:col>12</xdr:col>
      <xdr:colOff>240924</xdr:colOff>
      <xdr:row>84</xdr:row>
      <xdr:rowOff>57149</xdr:rowOff>
    </xdr:from>
    <xdr:to>
      <xdr:col>19</xdr:col>
      <xdr:colOff>145676</xdr:colOff>
      <xdr:row>104</xdr:row>
      <xdr:rowOff>190499</xdr:rowOff>
    </xdr:to>
    <xdr:graphicFrame macro="">
      <xdr:nvGraphicFramePr>
        <xdr:cNvPr id="22" name="Диаграмма 21">
          <a:extLst>
            <a:ext uri="{FF2B5EF4-FFF2-40B4-BE49-F238E27FC236}">
              <a16:creationId xmlns:a16="http://schemas.microsoft.com/office/drawing/2014/main" id="{6C6DD1C5-0EA2-4773-91CC-BD3FD03CAA1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12</xdr:col>
      <xdr:colOff>218513</xdr:colOff>
      <xdr:row>138</xdr:row>
      <xdr:rowOff>135590</xdr:rowOff>
    </xdr:from>
    <xdr:to>
      <xdr:col>19</xdr:col>
      <xdr:colOff>78441</xdr:colOff>
      <xdr:row>155</xdr:row>
      <xdr:rowOff>11206</xdr:rowOff>
    </xdr:to>
    <xdr:graphicFrame macro="">
      <xdr:nvGraphicFramePr>
        <xdr:cNvPr id="23" name="Диаграмма 22">
          <a:extLst>
            <a:ext uri="{FF2B5EF4-FFF2-40B4-BE49-F238E27FC236}">
              <a16:creationId xmlns:a16="http://schemas.microsoft.com/office/drawing/2014/main" id="{9B64F11A-C641-48D8-8352-1F7DD445B54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nifloc/unifloc_vba/UniflocVBA_7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"/>
    </sheetNames>
    <definedNames>
      <definedName name="decode_json"/>
      <definedName name="encode_arange"/>
      <definedName name="encode_feed"/>
      <definedName name="encode_json"/>
      <definedName name="encode_pipe"/>
      <definedName name="encode_PVT"/>
      <definedName name="encode_t_model"/>
      <definedName name="json_pipe_p_atma"/>
      <definedName name="MF_pipe_p_atma"/>
      <definedName name="unf_version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FD0406-DBBC-42A2-9F40-2DE47135AB45}">
  <sheetPr codeName="Worksheet____3"/>
  <dimension ref="A1:AS150"/>
  <sheetViews>
    <sheetView tabSelected="1" zoomScale="70" zoomScaleNormal="70" workbookViewId="0">
      <selection activeCell="AL27" sqref="AL27"/>
    </sheetView>
  </sheetViews>
  <sheetFormatPr defaultRowHeight="15" x14ac:dyDescent="0.25"/>
  <cols>
    <col min="2" max="2" width="15.7109375" customWidth="1"/>
    <col min="3" max="3" width="10.85546875" customWidth="1"/>
    <col min="7" max="7" width="11" customWidth="1"/>
    <col min="8" max="8" width="11" bestFit="1" customWidth="1"/>
    <col min="9" max="9" width="10.42578125" customWidth="1"/>
    <col min="11" max="11" width="12" customWidth="1"/>
    <col min="14" max="14" width="11" bestFit="1" customWidth="1"/>
    <col min="15" max="15" width="10.7109375" bestFit="1" customWidth="1"/>
    <col min="16" max="16" width="9.5703125" bestFit="1" customWidth="1"/>
    <col min="17" max="17" width="12.5703125" customWidth="1"/>
    <col min="18" max="20" width="9.28515625" bestFit="1" customWidth="1"/>
  </cols>
  <sheetData>
    <row r="1" spans="1:12" x14ac:dyDescent="0.25">
      <c r="A1" s="1" t="s">
        <v>0</v>
      </c>
      <c r="F1" t="s">
        <v>1</v>
      </c>
      <c r="G1" t="str">
        <f>[1]!unf_version()</f>
        <v>7.40</v>
      </c>
      <c r="H1" t="s">
        <v>54</v>
      </c>
      <c r="I1" s="22">
        <v>44988</v>
      </c>
      <c r="J1" s="23"/>
      <c r="K1" s="23"/>
      <c r="L1" s="23"/>
    </row>
    <row r="2" spans="1:12" x14ac:dyDescent="0.25">
      <c r="A2" t="s">
        <v>68</v>
      </c>
      <c r="H2" t="s">
        <v>55</v>
      </c>
      <c r="I2" s="24">
        <v>7.4</v>
      </c>
      <c r="J2" s="23"/>
      <c r="K2" s="23"/>
      <c r="L2" s="23"/>
    </row>
    <row r="3" spans="1:12" x14ac:dyDescent="0.25">
      <c r="A3" s="25" t="s">
        <v>56</v>
      </c>
      <c r="B3" s="57" t="s">
        <v>57</v>
      </c>
      <c r="C3" s="58"/>
      <c r="D3" s="58"/>
      <c r="E3" s="59"/>
      <c r="H3" t="s">
        <v>58</v>
      </c>
      <c r="I3" s="23" t="s">
        <v>57</v>
      </c>
      <c r="J3" s="23"/>
      <c r="K3" s="23"/>
      <c r="L3" s="23"/>
    </row>
    <row r="4" spans="1:12" x14ac:dyDescent="0.25">
      <c r="A4" s="25" t="s">
        <v>59</v>
      </c>
      <c r="B4" s="57" t="s">
        <v>60</v>
      </c>
      <c r="C4" s="58"/>
      <c r="D4" s="58"/>
      <c r="E4" s="59"/>
      <c r="H4" t="s">
        <v>61</v>
      </c>
      <c r="I4" s="23" t="s">
        <v>60</v>
      </c>
      <c r="J4" s="23"/>
      <c r="K4" s="23"/>
      <c r="L4" s="23"/>
    </row>
    <row r="5" spans="1:12" x14ac:dyDescent="0.25">
      <c r="A5" s="25" t="s">
        <v>62</v>
      </c>
      <c r="B5" s="57" t="s">
        <v>63</v>
      </c>
      <c r="C5" s="58"/>
      <c r="D5" s="58"/>
      <c r="E5" s="59"/>
      <c r="H5" t="s">
        <v>64</v>
      </c>
      <c r="I5" s="23" t="s">
        <v>63</v>
      </c>
      <c r="J5" s="23"/>
      <c r="K5" s="23"/>
      <c r="L5" s="23"/>
    </row>
    <row r="6" spans="1:12" x14ac:dyDescent="0.25">
      <c r="A6" s="26" t="s">
        <v>65</v>
      </c>
      <c r="B6" s="60" t="s">
        <v>66</v>
      </c>
      <c r="C6" s="61"/>
      <c r="D6" s="61"/>
      <c r="E6" s="62"/>
      <c r="H6" s="27" t="s">
        <v>67</v>
      </c>
      <c r="I6" s="28" t="s">
        <v>66</v>
      </c>
      <c r="J6" s="28"/>
      <c r="K6" s="28"/>
      <c r="L6" s="28"/>
    </row>
    <row r="7" spans="1:12" x14ac:dyDescent="0.25">
      <c r="A7" s="29"/>
      <c r="B7" s="63"/>
      <c r="C7" s="64"/>
      <c r="D7" s="64"/>
      <c r="E7" s="65"/>
      <c r="H7" s="27"/>
      <c r="I7" s="28"/>
      <c r="J7" s="28"/>
      <c r="K7" s="28"/>
      <c r="L7" s="28"/>
    </row>
    <row r="8" spans="1:12" x14ac:dyDescent="0.25">
      <c r="A8" s="30"/>
      <c r="B8" s="66"/>
      <c r="C8" s="67"/>
      <c r="D8" s="67"/>
      <c r="E8" s="68"/>
      <c r="H8" s="27"/>
      <c r="I8" s="28"/>
      <c r="J8" s="28"/>
      <c r="K8" s="28"/>
      <c r="L8" s="28"/>
    </row>
    <row r="10" spans="1:12" x14ac:dyDescent="0.25">
      <c r="A10" s="1" t="s">
        <v>2</v>
      </c>
    </row>
    <row r="11" spans="1:12" ht="18.75" x14ac:dyDescent="0.35">
      <c r="B11" s="2" t="s">
        <v>3</v>
      </c>
      <c r="C11" s="3">
        <v>0.87</v>
      </c>
      <c r="D11" s="4"/>
      <c r="E11" s="5">
        <f>gamma_oil_*1000</f>
        <v>870</v>
      </c>
      <c r="F11" s="6" t="s">
        <v>4</v>
      </c>
    </row>
    <row r="12" spans="1:12" ht="18.75" x14ac:dyDescent="0.35">
      <c r="B12" s="6" t="s">
        <v>5</v>
      </c>
      <c r="C12" s="3">
        <v>1</v>
      </c>
      <c r="D12" s="4"/>
      <c r="E12" s="5">
        <f>gamma_wat_*1000</f>
        <v>1000</v>
      </c>
      <c r="F12" s="6" t="s">
        <v>4</v>
      </c>
    </row>
    <row r="13" spans="1:12" ht="18.75" x14ac:dyDescent="0.35">
      <c r="B13" s="6" t="s">
        <v>6</v>
      </c>
      <c r="C13" s="3">
        <v>0.8</v>
      </c>
      <c r="D13" s="4"/>
      <c r="E13" s="5">
        <f>gamma_gas_*1.22</f>
        <v>0.97599999999999998</v>
      </c>
      <c r="F13" s="6" t="s">
        <v>4</v>
      </c>
    </row>
    <row r="14" spans="1:12" ht="18.75" x14ac:dyDescent="0.35">
      <c r="B14" s="7" t="s">
        <v>7</v>
      </c>
      <c r="C14" s="3">
        <v>80</v>
      </c>
      <c r="D14" s="6" t="s">
        <v>8</v>
      </c>
      <c r="E14" s="8">
        <f>Rsb_/gamma_oil_</f>
        <v>91.954022988505741</v>
      </c>
      <c r="F14" s="6" t="s">
        <v>9</v>
      </c>
    </row>
    <row r="15" spans="1:12" ht="18" x14ac:dyDescent="0.35">
      <c r="B15" s="6" t="s">
        <v>11</v>
      </c>
      <c r="C15" s="3">
        <v>120</v>
      </c>
      <c r="D15" s="4" t="s">
        <v>12</v>
      </c>
      <c r="E15" s="8">
        <f>Pb_*1.01325</f>
        <v>121.59</v>
      </c>
      <c r="F15" s="4" t="s">
        <v>13</v>
      </c>
    </row>
    <row r="16" spans="1:12" ht="18" x14ac:dyDescent="0.35">
      <c r="B16" s="6" t="s">
        <v>14</v>
      </c>
      <c r="C16" s="3">
        <v>100</v>
      </c>
      <c r="D16" s="4" t="s">
        <v>15</v>
      </c>
      <c r="E16" s="8">
        <f>Tres_*9/5+32</f>
        <v>212</v>
      </c>
      <c r="F16" s="4" t="s">
        <v>16</v>
      </c>
    </row>
    <row r="17" spans="1:45" ht="18.75" x14ac:dyDescent="0.35">
      <c r="B17" s="7" t="s">
        <v>17</v>
      </c>
      <c r="C17" s="3">
        <v>1.2</v>
      </c>
      <c r="D17" s="6" t="s">
        <v>8</v>
      </c>
    </row>
    <row r="18" spans="1:45" ht="18" x14ac:dyDescent="0.35">
      <c r="B18" s="9" t="s">
        <v>18</v>
      </c>
      <c r="C18" s="3">
        <v>1</v>
      </c>
      <c r="D18" s="4" t="s">
        <v>19</v>
      </c>
    </row>
    <row r="20" spans="1:45" x14ac:dyDescent="0.25">
      <c r="A20" s="1" t="s">
        <v>20</v>
      </c>
      <c r="N20" s="1" t="s">
        <v>69</v>
      </c>
    </row>
    <row r="21" spans="1:45" ht="18" x14ac:dyDescent="0.35">
      <c r="B21" s="9" t="s">
        <v>21</v>
      </c>
      <c r="C21" s="3">
        <v>40</v>
      </c>
      <c r="D21" s="6" t="s">
        <v>22</v>
      </c>
      <c r="O21" s="9" t="s">
        <v>70</v>
      </c>
      <c r="P21" s="3">
        <v>0</v>
      </c>
      <c r="Q21" s="6"/>
    </row>
    <row r="22" spans="1:45" ht="18.75" x14ac:dyDescent="0.35">
      <c r="B22" s="7" t="s">
        <v>10</v>
      </c>
      <c r="C22" s="3">
        <v>80</v>
      </c>
      <c r="D22" s="6" t="s">
        <v>8</v>
      </c>
      <c r="E22" s="8">
        <f>Rp_/gamma_oil_</f>
        <v>91.954022988505741</v>
      </c>
      <c r="F22" s="6" t="s">
        <v>9</v>
      </c>
      <c r="O22" s="9" t="s">
        <v>71</v>
      </c>
      <c r="P22" s="3">
        <v>50</v>
      </c>
      <c r="Q22" s="4" t="s">
        <v>12</v>
      </c>
    </row>
    <row r="23" spans="1:45" ht="18" x14ac:dyDescent="0.35">
      <c r="B23" s="9" t="s">
        <v>23</v>
      </c>
      <c r="C23" s="3">
        <v>0</v>
      </c>
      <c r="D23" s="4" t="s">
        <v>24</v>
      </c>
      <c r="O23" s="9" t="s">
        <v>72</v>
      </c>
      <c r="P23" s="3">
        <v>30</v>
      </c>
      <c r="Q23" s="4" t="s">
        <v>15</v>
      </c>
    </row>
    <row r="24" spans="1:45" ht="18" x14ac:dyDescent="0.35">
      <c r="B24" s="9" t="s">
        <v>49</v>
      </c>
      <c r="C24" s="3">
        <v>0</v>
      </c>
      <c r="D24" s="6" t="s">
        <v>50</v>
      </c>
    </row>
    <row r="25" spans="1:45" x14ac:dyDescent="0.25">
      <c r="F25" s="54" t="s">
        <v>73</v>
      </c>
      <c r="G25" s="55"/>
      <c r="H25" s="3">
        <v>0</v>
      </c>
    </row>
    <row r="26" spans="1:45" ht="18" customHeight="1" x14ac:dyDescent="0.25">
      <c r="F26" s="54" t="s">
        <v>74</v>
      </c>
      <c r="G26" s="55"/>
      <c r="H26" s="3">
        <v>0</v>
      </c>
    </row>
    <row r="27" spans="1:45" ht="15.75" customHeight="1" x14ac:dyDescent="0.25">
      <c r="F27" s="54" t="s">
        <v>75</v>
      </c>
      <c r="G27" s="55"/>
      <c r="H27" s="3">
        <v>0</v>
      </c>
      <c r="AL27" cm="1">
        <f t="array" ref="AL27:AS49">[1]!MF_pipe_p_atma(P0,T0,construction,feed,t_model,calc_along_coord,flow_along_coord,hcor,calibr_grav,calibr_fric,param,H_from,H_from,znlf)</f>
        <v>0.94</v>
      </c>
      <c r="AM27">
        <v>0.94</v>
      </c>
      <c r="AN27">
        <v>20</v>
      </c>
      <c r="AO27">
        <v>50</v>
      </c>
      <c r="AP27">
        <v>66.427000000000007</v>
      </c>
      <c r="AQ27">
        <v>1</v>
      </c>
      <c r="AR27">
        <v>1</v>
      </c>
      <c r="AS27" t="str">
        <v>["set show_log=1 in param to show calc log"]</v>
      </c>
    </row>
    <row r="28" spans="1:45" ht="15" customHeight="1" x14ac:dyDescent="0.25">
      <c r="A28" s="35" t="s">
        <v>25</v>
      </c>
      <c r="B28" s="10"/>
      <c r="AL28" t="str">
        <v>p_result_atma</v>
      </c>
      <c r="AM28" t="str">
        <v>p_1, atma</v>
      </c>
      <c r="AN28" t="str">
        <v>t_1, C</v>
      </c>
      <c r="AO28" t="str">
        <v>p_2, atma</v>
      </c>
      <c r="AP28" t="str">
        <v>t_2, C</v>
      </c>
      <c r="AQ28" t="str">
        <v>calibr_grav</v>
      </c>
      <c r="AR28" t="str">
        <v>calibr_fric</v>
      </c>
      <c r="AS28" t="str">
        <v>log</v>
      </c>
    </row>
    <row r="29" spans="1:45" ht="15" customHeight="1" x14ac:dyDescent="0.25">
      <c r="B29" s="9" t="s">
        <v>28</v>
      </c>
      <c r="C29" s="31">
        <v>50</v>
      </c>
      <c r="D29" s="6" t="s">
        <v>12</v>
      </c>
      <c r="F29" s="54" t="s">
        <v>80</v>
      </c>
      <c r="G29" s="55"/>
      <c r="H29" s="3">
        <v>0</v>
      </c>
      <c r="AL29" t="str">
        <v>h,m</v>
      </c>
      <c r="AM29" t="str">
        <v>hvert,m</v>
      </c>
      <c r="AN29" t="str">
        <v>p,atma</v>
      </c>
      <c r="AO29" t="str">
        <v>t,C</v>
      </c>
      <c r="AP29" t="str">
        <v>t_amb, C</v>
      </c>
      <c r="AQ29" t="str">
        <v>Hl, %</v>
      </c>
      <c r="AR29" t="str">
        <v>fpat</v>
      </c>
      <c r="AS29" t="str">
        <v>diam, mm</v>
      </c>
    </row>
    <row r="30" spans="1:45" x14ac:dyDescent="0.25">
      <c r="B30" s="9" t="s">
        <v>29</v>
      </c>
      <c r="C30" s="31">
        <v>180</v>
      </c>
      <c r="D30" s="6" t="s">
        <v>12</v>
      </c>
      <c r="F30" s="56" t="s">
        <v>76</v>
      </c>
      <c r="G30" s="56"/>
      <c r="AL30">
        <v>0</v>
      </c>
      <c r="AM30">
        <v>0</v>
      </c>
      <c r="AN30">
        <v>0.94037333048119498</v>
      </c>
      <c r="AO30">
        <v>20</v>
      </c>
      <c r="AP30">
        <v>20</v>
      </c>
      <c r="AQ30">
        <v>0</v>
      </c>
      <c r="AR30">
        <v>101</v>
      </c>
      <c r="AS30">
        <v>62</v>
      </c>
    </row>
    <row r="31" spans="1:45" ht="15" customHeight="1" x14ac:dyDescent="0.25">
      <c r="B31" s="9" t="s">
        <v>30</v>
      </c>
      <c r="C31" s="3">
        <v>100</v>
      </c>
      <c r="D31" s="6" t="s">
        <v>31</v>
      </c>
      <c r="F31" s="54" t="s">
        <v>77</v>
      </c>
      <c r="G31" s="55"/>
      <c r="H31" s="3">
        <v>1</v>
      </c>
      <c r="AL31">
        <v>110.52631578947368</v>
      </c>
      <c r="AM31">
        <v>110.50045868214205</v>
      </c>
      <c r="AN31">
        <v>0.94037333048119498</v>
      </c>
      <c r="AO31">
        <v>20.552502293410711</v>
      </c>
      <c r="AP31">
        <v>20.552502293410711</v>
      </c>
      <c r="AQ31">
        <v>0</v>
      </c>
      <c r="AR31">
        <v>101</v>
      </c>
      <c r="AS31">
        <v>62</v>
      </c>
    </row>
    <row r="32" spans="1:45" ht="15" customHeight="1" x14ac:dyDescent="0.25">
      <c r="B32" s="9" t="s">
        <v>32</v>
      </c>
      <c r="C32" s="3">
        <v>50</v>
      </c>
      <c r="D32" s="6" t="s">
        <v>31</v>
      </c>
      <c r="F32" s="54" t="s">
        <v>78</v>
      </c>
      <c r="G32" s="55"/>
      <c r="H32" s="3">
        <v>1</v>
      </c>
      <c r="AL32">
        <v>221.05263157894737</v>
      </c>
      <c r="AM32">
        <v>221.00091736428411</v>
      </c>
      <c r="AN32">
        <v>0.94037333048119498</v>
      </c>
      <c r="AO32">
        <v>21.105004586821423</v>
      </c>
      <c r="AP32">
        <v>21.105004586821423</v>
      </c>
      <c r="AQ32">
        <v>0</v>
      </c>
      <c r="AR32">
        <v>101</v>
      </c>
      <c r="AS32">
        <v>62</v>
      </c>
    </row>
    <row r="33" spans="1:45" x14ac:dyDescent="0.25">
      <c r="AL33">
        <v>331.57894736842104</v>
      </c>
      <c r="AM33">
        <v>331.50137604642617</v>
      </c>
      <c r="AN33">
        <v>1.1497555811193241</v>
      </c>
      <c r="AO33">
        <v>21.65750688023213</v>
      </c>
      <c r="AP33">
        <v>21.65750688023213</v>
      </c>
      <c r="AQ33">
        <v>12.610054138305815</v>
      </c>
      <c r="AR33">
        <v>103</v>
      </c>
      <c r="AS33">
        <v>62</v>
      </c>
    </row>
    <row r="34" spans="1:45" x14ac:dyDescent="0.25">
      <c r="B34" s="11" t="s">
        <v>33</v>
      </c>
      <c r="C34" s="12" t="str">
        <f>[1]!encode_PVT(gamma_gas_,gamma_oil_,gamma_wat_,Rsb_,Pb_,Tres_,Bob_,muob_,PVT_corr_)</f>
        <v>{"gamma_gas":0.8,"gamma_oil":0.87,"gamma_wat":1,"rsb_m3m3":80,"pb_atma":120,"t_res_C":100,"bob_m3m3":1.2,"muob_cP":1,"PVT_corr_set":0}</v>
      </c>
      <c r="D34" s="12"/>
      <c r="E34" s="12"/>
      <c r="F34" s="12"/>
      <c r="G34" s="12"/>
      <c r="H34" s="12"/>
      <c r="I34" s="18"/>
      <c r="J34" s="18"/>
      <c r="K34" s="18"/>
      <c r="L34" s="18"/>
      <c r="M34" s="18"/>
      <c r="N34" s="18"/>
      <c r="O34" s="18"/>
      <c r="P34" s="18"/>
      <c r="Q34" s="18"/>
      <c r="R34" s="18"/>
      <c r="S34" s="18"/>
      <c r="T34" s="18"/>
      <c r="U34" s="18"/>
      <c r="V34" s="18"/>
      <c r="W34" s="18"/>
      <c r="X34" s="18"/>
      <c r="Y34" s="19"/>
      <c r="AL34">
        <v>442.10526315789474</v>
      </c>
      <c r="AM34">
        <v>442.00183472856821</v>
      </c>
      <c r="AN34">
        <v>2.2292812829345658</v>
      </c>
      <c r="AO34">
        <v>22.210009173642842</v>
      </c>
      <c r="AP34">
        <v>22.210009173642842</v>
      </c>
      <c r="AQ34">
        <v>14.993772004928434</v>
      </c>
      <c r="AR34">
        <v>103</v>
      </c>
      <c r="AS34">
        <v>62</v>
      </c>
    </row>
    <row r="35" spans="1:45" x14ac:dyDescent="0.25">
      <c r="B35" s="11" t="s">
        <v>81</v>
      </c>
      <c r="C35" s="12" t="str" cm="1">
        <f t="array" ref="C35">[1]!encode_feed(qliq_,fw_,Rp_,Qgas_free,PVTstr_)</f>
        <v>{"gamma_gas":0.8,"gamma_oil":0.87,"gamma_wat":1,"rsb_m3m3":80,"pb_atma":120,"t_res_C":100,"bob_m3m3":1.2,"muob_cP":1,"PVT_corr_set":0,"q_liq_sm3day":40,"fw_perc":0,"rp_m3m3":80}</v>
      </c>
      <c r="D35" s="12"/>
      <c r="E35" s="12"/>
      <c r="F35" s="12"/>
      <c r="G35" s="12"/>
      <c r="H35" s="12"/>
      <c r="I35" s="18"/>
      <c r="J35" s="18"/>
      <c r="K35" s="18"/>
      <c r="L35" s="18"/>
      <c r="M35" s="18"/>
      <c r="N35" s="18"/>
      <c r="O35" s="18"/>
      <c r="P35" s="18"/>
      <c r="Q35" s="18"/>
      <c r="R35" s="18"/>
      <c r="S35" s="18"/>
      <c r="T35" s="18"/>
      <c r="U35" s="18"/>
      <c r="V35" s="18"/>
      <c r="W35" s="18"/>
      <c r="X35" s="18"/>
      <c r="Y35" s="19"/>
      <c r="AL35">
        <v>552.63157894736844</v>
      </c>
      <c r="AM35">
        <v>552.50229341071031</v>
      </c>
      <c r="AN35">
        <v>3.3876764968350916</v>
      </c>
      <c r="AO35">
        <v>22.762511467053553</v>
      </c>
      <c r="AP35">
        <v>22.762511467053553</v>
      </c>
      <c r="AQ35">
        <v>17.275171926445307</v>
      </c>
      <c r="AR35">
        <v>103</v>
      </c>
      <c r="AS35">
        <v>62</v>
      </c>
    </row>
    <row r="36" spans="1:45" x14ac:dyDescent="0.25">
      <c r="AL36">
        <v>663.15789473684208</v>
      </c>
      <c r="AM36">
        <v>663.00275209285235</v>
      </c>
      <c r="AN36">
        <v>4.6885428604579316</v>
      </c>
      <c r="AO36">
        <v>23.315013760464264</v>
      </c>
      <c r="AP36">
        <v>23.315013760464264</v>
      </c>
      <c r="AQ36">
        <v>19.750884499102696</v>
      </c>
      <c r="AR36">
        <v>103</v>
      </c>
      <c r="AS36">
        <v>62</v>
      </c>
    </row>
    <row r="37" spans="1:45" ht="30" x14ac:dyDescent="0.25">
      <c r="B37" s="11" t="s">
        <v>82</v>
      </c>
      <c r="C37" s="12" t="str" cm="1">
        <f t="array" ref="C37">[1]!encode_t_model(temp_model,E56:F58,T0,T1_)</f>
        <v>{"t_model":1,"t_list_C":{"hvert_m":[0,1000,2500],"t_C":[20,25,90]}}</v>
      </c>
      <c r="D37" s="12"/>
      <c r="E37" s="12"/>
      <c r="F37" s="12"/>
      <c r="G37" s="12"/>
      <c r="H37" s="12"/>
      <c r="I37" s="18"/>
      <c r="J37" s="18"/>
      <c r="K37" s="18"/>
      <c r="L37" s="18"/>
      <c r="M37" s="18"/>
      <c r="N37" s="18"/>
      <c r="O37" s="18"/>
      <c r="P37" s="18"/>
      <c r="Q37" s="18"/>
      <c r="R37" s="18"/>
      <c r="S37" s="18"/>
      <c r="T37" s="18"/>
      <c r="U37" s="18"/>
      <c r="V37" s="18"/>
      <c r="W37" s="18"/>
      <c r="X37" s="18"/>
      <c r="Y37" s="19"/>
      <c r="AL37">
        <v>773.68421052631584</v>
      </c>
      <c r="AM37">
        <v>773.50321077499439</v>
      </c>
      <c r="AN37">
        <v>6.1917861226546469</v>
      </c>
      <c r="AO37">
        <v>23.867516053874972</v>
      </c>
      <c r="AP37">
        <v>23.867516053874972</v>
      </c>
      <c r="AQ37">
        <v>22.535100613454194</v>
      </c>
      <c r="AR37">
        <v>103</v>
      </c>
      <c r="AS37">
        <v>62</v>
      </c>
    </row>
    <row r="38" spans="1:45" x14ac:dyDescent="0.25">
      <c r="B38" s="11" t="s">
        <v>83</v>
      </c>
      <c r="C38" s="12" t="str" cm="1">
        <f t="array" ref="C38">[1]!encode_pipe(B56:C68,H56:I58)</f>
        <v>{"h_list_m":{"hmes_m":[0,1000.234,1100,1200,1300,1400,1500,1600,1700,1800,1900,2000,2100],"hvert_m":[0,1000,1096,1191,1284,1375,1464,1551,1636,1719,1800,1879,1956]},"diam_list_mm":{"hmes_m":[0,2100],"diam_int_mm":[62,125]}}</v>
      </c>
      <c r="D38" s="12"/>
      <c r="E38" s="12"/>
      <c r="F38" s="12"/>
      <c r="G38" s="12"/>
      <c r="H38" s="12"/>
      <c r="I38" s="18"/>
      <c r="J38" s="18"/>
      <c r="K38" s="18"/>
      <c r="L38" s="18"/>
      <c r="M38" s="18"/>
      <c r="N38" s="18"/>
      <c r="O38" s="18"/>
      <c r="P38" s="18"/>
      <c r="Q38" s="18"/>
      <c r="R38" s="18"/>
      <c r="S38" s="18"/>
      <c r="T38" s="18"/>
      <c r="U38" s="18"/>
      <c r="V38" s="18"/>
      <c r="W38" s="18"/>
      <c r="X38" s="18"/>
      <c r="Y38" s="19"/>
      <c r="AL38">
        <v>884.21052631578948</v>
      </c>
      <c r="AM38">
        <v>884.00366945713654</v>
      </c>
      <c r="AN38">
        <v>7.9046543210060145</v>
      </c>
      <c r="AO38">
        <v>24.420018347285684</v>
      </c>
      <c r="AP38">
        <v>24.420018347285684</v>
      </c>
      <c r="AQ38">
        <v>25.557325082507077</v>
      </c>
      <c r="AR38">
        <v>103</v>
      </c>
      <c r="AS38">
        <v>62</v>
      </c>
    </row>
    <row r="39" spans="1:45" x14ac:dyDescent="0.25">
      <c r="AL39">
        <v>994.73684210526312</v>
      </c>
      <c r="AM39">
        <v>994.50412813927846</v>
      </c>
      <c r="AN39">
        <v>9.9389402964635174</v>
      </c>
      <c r="AO39">
        <v>24.972520640696391</v>
      </c>
      <c r="AP39">
        <v>24.972520640696391</v>
      </c>
      <c r="AQ39">
        <v>29.029758857862319</v>
      </c>
      <c r="AR39">
        <v>103</v>
      </c>
      <c r="AS39">
        <v>62</v>
      </c>
    </row>
    <row r="40" spans="1:45" ht="14.45" customHeight="1" x14ac:dyDescent="0.25">
      <c r="I40" s="40"/>
      <c r="K40" s="36" t="s">
        <v>88</v>
      </c>
      <c r="O40" s="36" t="s">
        <v>91</v>
      </c>
      <c r="AL40">
        <v>1105.2631578947369</v>
      </c>
      <c r="AM40">
        <v>1101</v>
      </c>
      <c r="AN40">
        <v>12.294638437004485</v>
      </c>
      <c r="AO40">
        <v>29.376666666666669</v>
      </c>
      <c r="AP40">
        <v>29.376666666666669</v>
      </c>
      <c r="AQ40">
        <v>32.61079651745915</v>
      </c>
      <c r="AR40">
        <v>103</v>
      </c>
      <c r="AS40">
        <v>62</v>
      </c>
    </row>
    <row r="41" spans="1:45" ht="14.45" customHeight="1" x14ac:dyDescent="0.25">
      <c r="I41" s="40"/>
      <c r="K41" s="6" t="s">
        <v>85</v>
      </c>
      <c r="L41" s="38">
        <v>0</v>
      </c>
      <c r="O41" s="6" t="s">
        <v>92</v>
      </c>
      <c r="P41" s="38">
        <v>0</v>
      </c>
      <c r="AL41">
        <v>1215.7894736842106</v>
      </c>
      <c r="AM41">
        <v>1205.6842105263158</v>
      </c>
      <c r="AN41">
        <v>14.914044942267662</v>
      </c>
      <c r="AO41">
        <v>33.912982456140362</v>
      </c>
      <c r="AP41">
        <v>33.912982456140362</v>
      </c>
      <c r="AQ41">
        <v>36.314774063504544</v>
      </c>
      <c r="AR41">
        <v>103</v>
      </c>
      <c r="AS41">
        <v>62</v>
      </c>
    </row>
    <row r="42" spans="1:45" x14ac:dyDescent="0.25">
      <c r="K42" s="6" t="s">
        <v>86</v>
      </c>
      <c r="L42" s="38">
        <v>5</v>
      </c>
      <c r="O42" s="6" t="s">
        <v>93</v>
      </c>
      <c r="P42" s="38">
        <v>0</v>
      </c>
      <c r="AL42">
        <v>1326.3157894736842</v>
      </c>
      <c r="AM42">
        <v>1307.9473684210525</v>
      </c>
      <c r="AN42">
        <v>17.967704015734654</v>
      </c>
      <c r="AO42">
        <v>38.344385964912277</v>
      </c>
      <c r="AP42">
        <v>38.344385964912277</v>
      </c>
      <c r="AQ42">
        <v>48.069323781233884</v>
      </c>
      <c r="AR42">
        <v>103</v>
      </c>
      <c r="AS42">
        <v>62</v>
      </c>
    </row>
    <row r="43" spans="1:45" x14ac:dyDescent="0.25">
      <c r="K43" s="6" t="s">
        <v>87</v>
      </c>
      <c r="L43" s="38">
        <v>1</v>
      </c>
      <c r="AL43">
        <v>1436.8421052631579</v>
      </c>
      <c r="AM43">
        <v>1407.7894736842106</v>
      </c>
      <c r="AN43">
        <v>21.831995558849702</v>
      </c>
      <c r="AO43">
        <v>42.670877192982459</v>
      </c>
      <c r="AP43">
        <v>42.670877192982459</v>
      </c>
      <c r="AQ43">
        <v>52.753015349951305</v>
      </c>
      <c r="AR43">
        <v>103</v>
      </c>
      <c r="AS43">
        <v>62</v>
      </c>
    </row>
    <row r="44" spans="1:45" x14ac:dyDescent="0.25">
      <c r="K44" s="23" t="str" cm="1">
        <f t="array" ref="K44">[1]!encode_json(K41:L43)</f>
        <v>{"show_log":0,"num_value":5,"show_array":1}</v>
      </c>
      <c r="L44" s="23"/>
      <c r="M44" s="23"/>
      <c r="N44" s="23"/>
      <c r="O44" s="23"/>
      <c r="P44" s="23"/>
      <c r="Q44" s="23"/>
      <c r="R44" s="23"/>
      <c r="AL44">
        <v>1547.3684210526317</v>
      </c>
      <c r="AM44">
        <v>1505.2105263157896</v>
      </c>
      <c r="AN44">
        <v>26.002057932906116</v>
      </c>
      <c r="AO44">
        <v>46.89245614035088</v>
      </c>
      <c r="AP44">
        <v>46.89245614035088</v>
      </c>
      <c r="AQ44">
        <v>57.296883610929783</v>
      </c>
      <c r="AR44">
        <v>103</v>
      </c>
      <c r="AS44">
        <v>62</v>
      </c>
    </row>
    <row r="45" spans="1:45" x14ac:dyDescent="0.25">
      <c r="A45" s="36" t="s">
        <v>34</v>
      </c>
      <c r="B45" s="37"/>
      <c r="C45" s="37"/>
      <c r="D45" s="37"/>
      <c r="F45" s="13" t="s">
        <v>52</v>
      </c>
      <c r="G45" s="14"/>
      <c r="H45" s="14"/>
      <c r="R45">
        <f>LEN(R46)</f>
        <v>44</v>
      </c>
      <c r="AL45">
        <v>1657.8947368421052</v>
      </c>
      <c r="AM45">
        <v>1600.2105263157894</v>
      </c>
      <c r="AN45">
        <v>30.443838102186113</v>
      </c>
      <c r="AO45">
        <v>51.00912280701754</v>
      </c>
      <c r="AP45">
        <v>51.00912280701754</v>
      </c>
      <c r="AQ45">
        <v>61.628373242239611</v>
      </c>
      <c r="AR45">
        <v>103</v>
      </c>
      <c r="AS45">
        <v>62</v>
      </c>
    </row>
    <row r="46" spans="1:45" ht="18" x14ac:dyDescent="0.35">
      <c r="B46" s="6" t="s">
        <v>35</v>
      </c>
      <c r="C46" s="38">
        <v>3500</v>
      </c>
      <c r="D46" s="39" t="s">
        <v>26</v>
      </c>
      <c r="F46" s="32"/>
      <c r="G46" s="33" t="s">
        <v>84</v>
      </c>
      <c r="H46" s="3">
        <v>1</v>
      </c>
      <c r="K46" s="44" cm="1">
        <f t="array" ref="K46:R68">[1]!MF_pipe_p_atma(P0,T0,construction,feed,t_model,calc_along_coord,flow_along_coord,hcor,calibr_grav,calibr_fric,param,H_from,H_from,znlf)</f>
        <v>0.94</v>
      </c>
      <c r="L46" s="20">
        <v>0.94</v>
      </c>
      <c r="M46" s="20">
        <v>20</v>
      </c>
      <c r="N46" s="44">
        <v>50</v>
      </c>
      <c r="O46" s="20">
        <v>66.427000000000007</v>
      </c>
      <c r="P46" s="20">
        <v>1</v>
      </c>
      <c r="Q46" s="20">
        <v>1</v>
      </c>
      <c r="R46" s="20" t="str">
        <v>["set show_log=1 in param to show calc log"]</v>
      </c>
      <c r="AL46">
        <v>1768.421052631579</v>
      </c>
      <c r="AM46">
        <v>1692.7894736842106</v>
      </c>
      <c r="AN46">
        <v>35.104369876827732</v>
      </c>
      <c r="AO46">
        <v>55.020877192982454</v>
      </c>
      <c r="AP46">
        <v>55.020877192982454</v>
      </c>
      <c r="AQ46">
        <v>65.694668836280513</v>
      </c>
      <c r="AR46">
        <v>103</v>
      </c>
      <c r="AS46">
        <v>62</v>
      </c>
    </row>
    <row r="47" spans="1:45" ht="18" customHeight="1" x14ac:dyDescent="0.35">
      <c r="B47" s="6" t="s">
        <v>36</v>
      </c>
      <c r="C47" s="38">
        <v>2500</v>
      </c>
      <c r="D47" s="39" t="s">
        <v>37</v>
      </c>
      <c r="F47" s="32"/>
      <c r="G47" s="33" t="s">
        <v>48</v>
      </c>
      <c r="H47" s="3">
        <v>1</v>
      </c>
      <c r="K47" s="20" t="str">
        <v>p_result_atma</v>
      </c>
      <c r="L47" s="20" t="str">
        <v>p_1, atma</v>
      </c>
      <c r="M47" s="20" t="str">
        <v>t_1, C</v>
      </c>
      <c r="N47" s="20" t="str">
        <v>p_2, atma</v>
      </c>
      <c r="O47" s="20" t="str">
        <v>t_2, C</v>
      </c>
      <c r="P47" s="20" t="str">
        <v>calibr_grav</v>
      </c>
      <c r="Q47" s="20" t="str">
        <v>calibr_fric</v>
      </c>
      <c r="R47" s="20" t="str">
        <v>log</v>
      </c>
      <c r="AL47">
        <v>1878.9473684210527</v>
      </c>
      <c r="AM47">
        <v>1782.9473684210527</v>
      </c>
      <c r="AN47">
        <v>39.935004431062026</v>
      </c>
      <c r="AO47">
        <v>58.92771929824562</v>
      </c>
      <c r="AP47">
        <v>58.92771929824562</v>
      </c>
      <c r="AQ47">
        <v>69.462878508063426</v>
      </c>
      <c r="AR47">
        <v>103</v>
      </c>
      <c r="AS47">
        <v>62</v>
      </c>
    </row>
    <row r="48" spans="1:45" ht="18" customHeight="1" x14ac:dyDescent="0.35">
      <c r="B48" s="6" t="s">
        <v>38</v>
      </c>
      <c r="C48" s="38">
        <v>140</v>
      </c>
      <c r="D48" s="39" t="s">
        <v>27</v>
      </c>
      <c r="F48" s="32"/>
      <c r="G48" s="33" t="s">
        <v>46</v>
      </c>
      <c r="H48" s="3">
        <v>0</v>
      </c>
      <c r="I48" s="3">
        <v>0</v>
      </c>
      <c r="K48" s="20" t="str">
        <v>h,m</v>
      </c>
      <c r="L48" s="20" t="str">
        <v>hvert,m</v>
      </c>
      <c r="M48" s="20" t="str">
        <v>p,atma</v>
      </c>
      <c r="N48" s="20" t="str">
        <v>t,C</v>
      </c>
      <c r="O48" s="20" t="str">
        <v>t_amb, C</v>
      </c>
      <c r="P48" s="20" t="str">
        <v>Hl, %</v>
      </c>
      <c r="Q48" s="20" t="str">
        <v>fpat</v>
      </c>
      <c r="R48" s="20" t="str">
        <v>diam, mm</v>
      </c>
      <c r="S48" s="23" t="s">
        <v>89</v>
      </c>
      <c r="AL48">
        <v>1989.4736842105262</v>
      </c>
      <c r="AM48">
        <v>1870.6842105263158</v>
      </c>
      <c r="AN48">
        <v>44.891210199463877</v>
      </c>
      <c r="AO48">
        <v>62.729649122807018</v>
      </c>
      <c r="AP48">
        <v>62.729649122807018</v>
      </c>
      <c r="AQ48">
        <v>72.919006808978622</v>
      </c>
      <c r="AR48">
        <v>103</v>
      </c>
      <c r="AS48">
        <v>62</v>
      </c>
    </row>
    <row r="49" spans="2:45" ht="18" customHeight="1" x14ac:dyDescent="0.35">
      <c r="B49" s="6" t="s">
        <v>39</v>
      </c>
      <c r="C49" s="38">
        <v>65</v>
      </c>
      <c r="D49" s="39" t="s">
        <v>27</v>
      </c>
      <c r="F49" s="32"/>
      <c r="G49" s="33" t="s">
        <v>47</v>
      </c>
      <c r="H49" s="3">
        <v>0</v>
      </c>
      <c r="I49" s="3">
        <v>0</v>
      </c>
      <c r="K49" s="21">
        <v>0</v>
      </c>
      <c r="L49" s="21">
        <v>0</v>
      </c>
      <c r="M49" s="21">
        <v>0.94037333048119498</v>
      </c>
      <c r="N49" s="21">
        <v>20</v>
      </c>
      <c r="O49" s="21">
        <v>20</v>
      </c>
      <c r="P49" s="21">
        <v>0</v>
      </c>
      <c r="Q49" s="21">
        <v>101</v>
      </c>
      <c r="R49" s="21">
        <v>62</v>
      </c>
      <c r="S49" s="45">
        <f>K49-L49</f>
        <v>0</v>
      </c>
      <c r="AL49">
        <v>2100</v>
      </c>
      <c r="AM49">
        <v>1956</v>
      </c>
      <c r="AN49">
        <v>50</v>
      </c>
      <c r="AO49">
        <v>66.426666666666677</v>
      </c>
      <c r="AP49">
        <v>66.426666666666677</v>
      </c>
      <c r="AQ49">
        <v>88.75706535842248</v>
      </c>
      <c r="AR49">
        <v>102</v>
      </c>
      <c r="AS49">
        <v>125</v>
      </c>
    </row>
    <row r="50" spans="2:45" ht="18" customHeight="1" x14ac:dyDescent="0.35">
      <c r="B50" s="6" t="s">
        <v>40</v>
      </c>
      <c r="C50" s="38">
        <v>12</v>
      </c>
      <c r="D50" s="39" t="s">
        <v>27</v>
      </c>
      <c r="F50" s="32"/>
      <c r="G50" s="34" t="s">
        <v>79</v>
      </c>
      <c r="H50" s="5">
        <f>calc_along_coord*10+flow_along_coord</f>
        <v>0</v>
      </c>
      <c r="I50" s="5">
        <f>calc_along_coord1*10+flow_along_coord1</f>
        <v>0</v>
      </c>
      <c r="K50" s="43">
        <v>110.52631578947368</v>
      </c>
      <c r="L50" s="43">
        <v>110.50045868214205</v>
      </c>
      <c r="M50" s="43">
        <v>0.94037333048119498</v>
      </c>
      <c r="N50" s="43">
        <v>20.552502293410711</v>
      </c>
      <c r="O50" s="43">
        <v>20.552502293410711</v>
      </c>
      <c r="P50" s="43">
        <v>0</v>
      </c>
      <c r="Q50" s="43">
        <v>101</v>
      </c>
      <c r="R50" s="43">
        <v>62</v>
      </c>
      <c r="S50" s="45">
        <f t="shared" ref="S50:S68" si="0">K50-L50</f>
        <v>2.5857107331631823E-2</v>
      </c>
    </row>
    <row r="51" spans="2:45" x14ac:dyDescent="0.25">
      <c r="G51" s="10"/>
      <c r="K51" s="43">
        <v>221.05263157894737</v>
      </c>
      <c r="L51" s="43">
        <v>221.00091736428411</v>
      </c>
      <c r="M51" s="43">
        <v>0.94037333048119498</v>
      </c>
      <c r="N51" s="43">
        <v>21.105004586821423</v>
      </c>
      <c r="O51" s="43">
        <v>21.105004586821423</v>
      </c>
      <c r="P51" s="43">
        <v>0</v>
      </c>
      <c r="Q51" s="43">
        <v>101</v>
      </c>
      <c r="R51" s="43">
        <v>62</v>
      </c>
      <c r="S51" s="45">
        <f t="shared" si="0"/>
        <v>5.1714214663263647E-2</v>
      </c>
    </row>
    <row r="52" spans="2:45" x14ac:dyDescent="0.25">
      <c r="G52" s="10"/>
      <c r="K52" s="43">
        <v>331.57894736842104</v>
      </c>
      <c r="L52" s="43">
        <v>331.50137604642617</v>
      </c>
      <c r="M52" s="43">
        <v>1.1497555811193241</v>
      </c>
      <c r="N52" s="43">
        <v>21.65750688023213</v>
      </c>
      <c r="O52" s="43">
        <v>21.65750688023213</v>
      </c>
      <c r="P52" s="43">
        <v>12.610054138305815</v>
      </c>
      <c r="Q52" s="43">
        <v>103</v>
      </c>
      <c r="R52" s="43">
        <v>62</v>
      </c>
      <c r="S52" s="45">
        <f t="shared" si="0"/>
        <v>7.7571321994867048E-2</v>
      </c>
    </row>
    <row r="53" spans="2:45" x14ac:dyDescent="0.25">
      <c r="B53" s="37" t="s">
        <v>41</v>
      </c>
      <c r="C53" s="37"/>
      <c r="E53" t="s">
        <v>53</v>
      </c>
      <c r="G53" s="10"/>
      <c r="H53" t="s">
        <v>51</v>
      </c>
      <c r="I53" s="10"/>
      <c r="K53" s="43">
        <v>442.10526315789474</v>
      </c>
      <c r="L53" s="43">
        <v>442.00183472856821</v>
      </c>
      <c r="M53" s="43">
        <v>2.2292812829345658</v>
      </c>
      <c r="N53" s="43">
        <v>22.210009173642842</v>
      </c>
      <c r="O53" s="43">
        <v>22.210009173642842</v>
      </c>
      <c r="P53" s="43">
        <v>14.993772004928434</v>
      </c>
      <c r="Q53" s="43">
        <v>103</v>
      </c>
      <c r="R53" s="43">
        <v>62</v>
      </c>
      <c r="S53" s="45">
        <f t="shared" si="0"/>
        <v>0.10342842932652729</v>
      </c>
    </row>
    <row r="54" spans="2:45" ht="18" x14ac:dyDescent="0.35">
      <c r="B54" s="17" t="s">
        <v>42</v>
      </c>
      <c r="C54" s="17" t="s">
        <v>43</v>
      </c>
      <c r="E54" s="17" t="s">
        <v>43</v>
      </c>
      <c r="F54" s="17" t="s">
        <v>44</v>
      </c>
      <c r="G54" s="10"/>
      <c r="H54" s="17" t="s">
        <v>42</v>
      </c>
      <c r="I54" s="15" t="s">
        <v>45</v>
      </c>
      <c r="K54" s="43">
        <v>552.63157894736844</v>
      </c>
      <c r="L54" s="43">
        <v>552.50229341071031</v>
      </c>
      <c r="M54" s="43">
        <v>3.3876764968350916</v>
      </c>
      <c r="N54" s="43">
        <v>22.762511467053553</v>
      </c>
      <c r="O54" s="43">
        <v>22.762511467053553</v>
      </c>
      <c r="P54" s="43">
        <v>17.275171926445307</v>
      </c>
      <c r="Q54" s="43">
        <v>103</v>
      </c>
      <c r="R54" s="43">
        <v>62</v>
      </c>
      <c r="S54" s="45">
        <f t="shared" si="0"/>
        <v>0.1292855366581307</v>
      </c>
    </row>
    <row r="55" spans="2:45" x14ac:dyDescent="0.25">
      <c r="B55" s="17" t="s">
        <v>26</v>
      </c>
      <c r="C55" s="17" t="s">
        <v>26</v>
      </c>
      <c r="E55" s="17" t="s">
        <v>26</v>
      </c>
      <c r="F55" s="17" t="s">
        <v>37</v>
      </c>
      <c r="G55" s="10"/>
      <c r="H55" s="17" t="s">
        <v>26</v>
      </c>
      <c r="I55" s="17" t="s">
        <v>27</v>
      </c>
      <c r="K55" s="43">
        <v>663.15789473684208</v>
      </c>
      <c r="L55" s="43">
        <v>663.00275209285235</v>
      </c>
      <c r="M55" s="43">
        <v>4.6885428604579316</v>
      </c>
      <c r="N55" s="43">
        <v>23.315013760464264</v>
      </c>
      <c r="O55" s="43">
        <v>23.315013760464264</v>
      </c>
      <c r="P55" s="43">
        <v>19.750884499102696</v>
      </c>
      <c r="Q55" s="43">
        <v>103</v>
      </c>
      <c r="R55" s="43">
        <v>62</v>
      </c>
      <c r="S55" s="45">
        <f t="shared" si="0"/>
        <v>0.1551426439897341</v>
      </c>
    </row>
    <row r="56" spans="2:45" x14ac:dyDescent="0.25">
      <c r="B56" s="16">
        <v>0</v>
      </c>
      <c r="C56" s="16">
        <v>0</v>
      </c>
      <c r="E56" s="46">
        <v>0</v>
      </c>
      <c r="F56" s="46">
        <v>20</v>
      </c>
      <c r="G56" s="10"/>
      <c r="H56" s="46">
        <v>0</v>
      </c>
      <c r="I56" s="47">
        <v>62</v>
      </c>
      <c r="K56" s="43">
        <v>773.68421052631584</v>
      </c>
      <c r="L56" s="43">
        <v>773.50321077499439</v>
      </c>
      <c r="M56" s="43">
        <v>6.1917861226546469</v>
      </c>
      <c r="N56" s="43">
        <v>23.867516053874972</v>
      </c>
      <c r="O56" s="43">
        <v>23.867516053874972</v>
      </c>
      <c r="P56" s="43">
        <v>22.535100613454194</v>
      </c>
      <c r="Q56" s="43">
        <v>103</v>
      </c>
      <c r="R56" s="43">
        <v>62</v>
      </c>
      <c r="S56" s="45">
        <f t="shared" si="0"/>
        <v>0.18099975132145119</v>
      </c>
    </row>
    <row r="57" spans="2:45" x14ac:dyDescent="0.25">
      <c r="B57" s="16">
        <v>1000.23423423423</v>
      </c>
      <c r="C57" s="16">
        <v>1000</v>
      </c>
      <c r="E57" s="46">
        <v>1000</v>
      </c>
      <c r="F57" s="46">
        <v>25</v>
      </c>
      <c r="G57" s="10"/>
      <c r="H57" s="46">
        <v>2500</v>
      </c>
      <c r="I57" s="47">
        <v>125</v>
      </c>
      <c r="K57" s="43">
        <v>884.21052631578948</v>
      </c>
      <c r="L57" s="43">
        <v>884.00366945713654</v>
      </c>
      <c r="M57" s="43">
        <v>7.9046543210060145</v>
      </c>
      <c r="N57" s="43">
        <v>24.420018347285684</v>
      </c>
      <c r="O57" s="43">
        <v>24.420018347285684</v>
      </c>
      <c r="P57" s="43">
        <v>25.557325082507077</v>
      </c>
      <c r="Q57" s="43">
        <v>103</v>
      </c>
      <c r="R57" s="43">
        <v>62</v>
      </c>
      <c r="S57" s="45">
        <f t="shared" si="0"/>
        <v>0.2068568586529409</v>
      </c>
    </row>
    <row r="58" spans="2:45" x14ac:dyDescent="0.25">
      <c r="B58" s="16">
        <v>1100</v>
      </c>
      <c r="C58" s="16">
        <v>1096</v>
      </c>
      <c r="E58" s="46">
        <v>2500</v>
      </c>
      <c r="F58" s="46">
        <v>90</v>
      </c>
      <c r="G58" s="10"/>
      <c r="H58" s="46">
        <v>4000</v>
      </c>
      <c r="I58" s="47">
        <v>125</v>
      </c>
      <c r="K58" s="43">
        <v>994.73684210526312</v>
      </c>
      <c r="L58" s="43">
        <v>994.50412813927846</v>
      </c>
      <c r="M58" s="43">
        <v>9.9389402964635174</v>
      </c>
      <c r="N58" s="43">
        <v>24.972520640696391</v>
      </c>
      <c r="O58" s="43">
        <v>24.972520640696391</v>
      </c>
      <c r="P58" s="43">
        <v>29.029758857862319</v>
      </c>
      <c r="Q58" s="43">
        <v>103</v>
      </c>
      <c r="R58" s="43">
        <v>62</v>
      </c>
      <c r="S58" s="45">
        <f t="shared" si="0"/>
        <v>0.23271396598465799</v>
      </c>
    </row>
    <row r="59" spans="2:45" x14ac:dyDescent="0.25">
      <c r="B59" s="16">
        <v>1200</v>
      </c>
      <c r="C59" s="16">
        <v>1191</v>
      </c>
      <c r="E59" s="46"/>
      <c r="F59" s="46"/>
      <c r="G59" s="10"/>
      <c r="H59" s="46"/>
      <c r="I59" s="46"/>
      <c r="K59" s="43">
        <v>1105.2631578947369</v>
      </c>
      <c r="L59" s="43">
        <v>1101</v>
      </c>
      <c r="M59" s="43">
        <v>12.294638437004485</v>
      </c>
      <c r="N59" s="43">
        <v>29.376666666666669</v>
      </c>
      <c r="O59" s="43">
        <v>29.376666666666669</v>
      </c>
      <c r="P59" s="43">
        <v>32.61079651745915</v>
      </c>
      <c r="Q59" s="43">
        <v>103</v>
      </c>
      <c r="R59" s="43">
        <v>62</v>
      </c>
      <c r="S59" s="45">
        <f t="shared" si="0"/>
        <v>4.263157894736878</v>
      </c>
    </row>
    <row r="60" spans="2:45" x14ac:dyDescent="0.25">
      <c r="B60" s="16">
        <v>1300</v>
      </c>
      <c r="C60" s="16">
        <v>1284</v>
      </c>
      <c r="E60" s="46"/>
      <c r="F60" s="46"/>
      <c r="G60" s="10"/>
      <c r="H60" s="46"/>
      <c r="I60" s="46"/>
      <c r="K60" s="43">
        <v>1215.7894736842106</v>
      </c>
      <c r="L60" s="43">
        <v>1205.6842105263158</v>
      </c>
      <c r="M60" s="43">
        <v>14.914044942267662</v>
      </c>
      <c r="N60" s="43">
        <v>33.912982456140362</v>
      </c>
      <c r="O60" s="43">
        <v>33.912982456140362</v>
      </c>
      <c r="P60" s="43">
        <v>36.314774063504544</v>
      </c>
      <c r="Q60" s="43">
        <v>103</v>
      </c>
      <c r="R60" s="43">
        <v>62</v>
      </c>
      <c r="S60" s="45">
        <f t="shared" si="0"/>
        <v>10.105263157894797</v>
      </c>
    </row>
    <row r="61" spans="2:45" x14ac:dyDescent="0.25">
      <c r="B61" s="16">
        <v>1400</v>
      </c>
      <c r="C61" s="16">
        <v>1375</v>
      </c>
      <c r="E61" s="46"/>
      <c r="F61" s="46"/>
      <c r="G61" s="10"/>
      <c r="H61" s="46"/>
      <c r="I61" s="46"/>
      <c r="K61" s="43">
        <v>1326.3157894736842</v>
      </c>
      <c r="L61" s="43">
        <v>1307.9473684210525</v>
      </c>
      <c r="M61" s="43">
        <v>17.967704015734654</v>
      </c>
      <c r="N61" s="43">
        <v>38.344385964912277</v>
      </c>
      <c r="O61" s="43">
        <v>38.344385964912277</v>
      </c>
      <c r="P61" s="43">
        <v>48.069323781233884</v>
      </c>
      <c r="Q61" s="43">
        <v>103</v>
      </c>
      <c r="R61" s="43">
        <v>62</v>
      </c>
      <c r="S61" s="45">
        <f t="shared" si="0"/>
        <v>18.368421052631675</v>
      </c>
    </row>
    <row r="62" spans="2:45" x14ac:dyDescent="0.25">
      <c r="B62" s="16">
        <v>1500</v>
      </c>
      <c r="C62" s="16">
        <v>1464</v>
      </c>
      <c r="E62" s="46"/>
      <c r="F62" s="46"/>
      <c r="G62" s="10"/>
      <c r="H62" s="46"/>
      <c r="I62" s="46"/>
      <c r="K62" s="43">
        <v>1436.8421052631579</v>
      </c>
      <c r="L62" s="43">
        <v>1407.7894736842106</v>
      </c>
      <c r="M62" s="43">
        <v>21.831995558849702</v>
      </c>
      <c r="N62" s="43">
        <v>42.670877192982459</v>
      </c>
      <c r="O62" s="43">
        <v>42.670877192982459</v>
      </c>
      <c r="P62" s="43">
        <v>52.753015349951305</v>
      </c>
      <c r="Q62" s="43">
        <v>103</v>
      </c>
      <c r="R62" s="43">
        <v>62</v>
      </c>
      <c r="S62" s="45">
        <f t="shared" si="0"/>
        <v>29.052631578947285</v>
      </c>
    </row>
    <row r="63" spans="2:45" x14ac:dyDescent="0.25">
      <c r="B63" s="16">
        <v>1600</v>
      </c>
      <c r="C63" s="16">
        <v>1551</v>
      </c>
      <c r="E63" s="46"/>
      <c r="F63" s="46"/>
      <c r="G63" s="10"/>
      <c r="H63" s="46"/>
      <c r="I63" s="46"/>
      <c r="K63" s="43">
        <v>1547.3684210526317</v>
      </c>
      <c r="L63" s="43">
        <v>1505.2105263157896</v>
      </c>
      <c r="M63" s="43">
        <v>26.002057932906116</v>
      </c>
      <c r="N63" s="43">
        <v>46.89245614035088</v>
      </c>
      <c r="O63" s="43">
        <v>46.89245614035088</v>
      </c>
      <c r="P63" s="43">
        <v>57.296883610929783</v>
      </c>
      <c r="Q63" s="43">
        <v>103</v>
      </c>
      <c r="R63" s="43">
        <v>62</v>
      </c>
      <c r="S63" s="45">
        <f t="shared" si="0"/>
        <v>42.157894736842081</v>
      </c>
    </row>
    <row r="64" spans="2:45" x14ac:dyDescent="0.25">
      <c r="B64" s="16">
        <v>1700</v>
      </c>
      <c r="C64" s="16">
        <v>1636</v>
      </c>
      <c r="E64" s="46"/>
      <c r="F64" s="46"/>
      <c r="G64" s="10"/>
      <c r="H64" s="46"/>
      <c r="I64" s="46"/>
      <c r="K64" s="43">
        <v>1657.8947368421052</v>
      </c>
      <c r="L64" s="43">
        <v>1600.2105263157894</v>
      </c>
      <c r="M64" s="43">
        <v>30.443838102186113</v>
      </c>
      <c r="N64" s="43">
        <v>51.00912280701754</v>
      </c>
      <c r="O64" s="43">
        <v>51.00912280701754</v>
      </c>
      <c r="P64" s="43">
        <v>61.628373242239611</v>
      </c>
      <c r="Q64" s="43">
        <v>103</v>
      </c>
      <c r="R64" s="43">
        <v>62</v>
      </c>
      <c r="S64" s="45">
        <f t="shared" si="0"/>
        <v>57.684210526315837</v>
      </c>
    </row>
    <row r="65" spans="2:31" x14ac:dyDescent="0.25">
      <c r="B65" s="16">
        <v>1800</v>
      </c>
      <c r="C65" s="16">
        <v>1719</v>
      </c>
      <c r="E65" s="46"/>
      <c r="F65" s="46"/>
      <c r="G65" s="10"/>
      <c r="H65" s="46"/>
      <c r="I65" s="46"/>
      <c r="K65" s="43">
        <v>1768.421052631579</v>
      </c>
      <c r="L65" s="43">
        <v>1692.7894736842106</v>
      </c>
      <c r="M65" s="43">
        <v>35.104369876827732</v>
      </c>
      <c r="N65" s="43">
        <v>55.020877192982454</v>
      </c>
      <c r="O65" s="43">
        <v>55.020877192982454</v>
      </c>
      <c r="P65" s="43">
        <v>65.694668836280513</v>
      </c>
      <c r="Q65" s="43">
        <v>103</v>
      </c>
      <c r="R65" s="43">
        <v>62</v>
      </c>
      <c r="S65" s="45">
        <f t="shared" si="0"/>
        <v>75.631578947368325</v>
      </c>
    </row>
    <row r="66" spans="2:31" x14ac:dyDescent="0.25">
      <c r="B66" s="16">
        <v>1900</v>
      </c>
      <c r="C66" s="16">
        <v>1800</v>
      </c>
      <c r="E66" s="46"/>
      <c r="F66" s="46"/>
      <c r="G66" s="10"/>
      <c r="H66" s="46"/>
      <c r="I66" s="46"/>
      <c r="K66" s="43">
        <v>1878.9473684210527</v>
      </c>
      <c r="L66" s="43">
        <v>1782.9473684210527</v>
      </c>
      <c r="M66" s="43">
        <v>39.935004431062026</v>
      </c>
      <c r="N66" s="43">
        <v>58.92771929824562</v>
      </c>
      <c r="O66" s="43">
        <v>58.92771929824562</v>
      </c>
      <c r="P66" s="43">
        <v>69.462878508063426</v>
      </c>
      <c r="Q66" s="43">
        <v>103</v>
      </c>
      <c r="R66" s="43">
        <v>62</v>
      </c>
      <c r="S66" s="45">
        <f t="shared" si="0"/>
        <v>96</v>
      </c>
    </row>
    <row r="67" spans="2:31" x14ac:dyDescent="0.25">
      <c r="B67" s="16">
        <v>2000</v>
      </c>
      <c r="C67" s="16">
        <v>1879</v>
      </c>
      <c r="E67" s="46"/>
      <c r="F67" s="46"/>
      <c r="G67" s="10"/>
      <c r="H67" s="46"/>
      <c r="I67" s="46"/>
      <c r="K67" s="43">
        <v>1989.4736842105262</v>
      </c>
      <c r="L67" s="43">
        <v>1870.6842105263158</v>
      </c>
      <c r="M67" s="43">
        <v>44.891210199463877</v>
      </c>
      <c r="N67" s="43">
        <v>62.729649122807018</v>
      </c>
      <c r="O67" s="43">
        <v>62.729649122807018</v>
      </c>
      <c r="P67" s="43">
        <v>72.919006808978622</v>
      </c>
      <c r="Q67" s="43">
        <v>103</v>
      </c>
      <c r="R67" s="43">
        <v>62</v>
      </c>
      <c r="S67" s="45">
        <f t="shared" si="0"/>
        <v>118.78947368421041</v>
      </c>
    </row>
    <row r="68" spans="2:31" x14ac:dyDescent="0.25">
      <c r="B68" s="16">
        <v>2100</v>
      </c>
      <c r="C68" s="16">
        <v>1956</v>
      </c>
      <c r="E68" s="46"/>
      <c r="F68" s="46"/>
      <c r="G68" s="10"/>
      <c r="H68" s="46"/>
      <c r="I68" s="46"/>
      <c r="K68" s="43">
        <v>2100</v>
      </c>
      <c r="L68" s="43">
        <v>1956</v>
      </c>
      <c r="M68" s="43">
        <v>50</v>
      </c>
      <c r="N68" s="43">
        <v>66.426666666666677</v>
      </c>
      <c r="O68" s="43">
        <v>66.426666666666677</v>
      </c>
      <c r="P68" s="43">
        <v>88.75706535842248</v>
      </c>
      <c r="Q68" s="43">
        <v>102</v>
      </c>
      <c r="R68" s="43">
        <v>125</v>
      </c>
      <c r="S68" s="45">
        <f t="shared" si="0"/>
        <v>144</v>
      </c>
    </row>
    <row r="69" spans="2:31" x14ac:dyDescent="0.25">
      <c r="B69" s="16">
        <v>2200</v>
      </c>
      <c r="C69" s="16">
        <v>2031</v>
      </c>
      <c r="E69" s="46"/>
      <c r="F69" s="46"/>
      <c r="G69" s="10"/>
      <c r="H69" s="46"/>
      <c r="I69" s="46"/>
    </row>
    <row r="70" spans="2:31" x14ac:dyDescent="0.25">
      <c r="B70" s="16">
        <v>2300</v>
      </c>
      <c r="C70" s="16">
        <v>2104</v>
      </c>
      <c r="E70" s="46"/>
      <c r="F70" s="46"/>
      <c r="G70" s="10"/>
      <c r="H70" s="46"/>
      <c r="I70" s="46"/>
    </row>
    <row r="71" spans="2:31" x14ac:dyDescent="0.25">
      <c r="B71" s="16">
        <v>2400</v>
      </c>
      <c r="C71" s="16">
        <v>2175</v>
      </c>
      <c r="E71" s="46"/>
      <c r="F71" s="46"/>
      <c r="G71" s="10"/>
      <c r="H71" s="46"/>
      <c r="I71" s="46"/>
      <c r="AA71" s="41"/>
      <c r="AB71" s="41"/>
      <c r="AC71" s="42"/>
      <c r="AD71" s="42"/>
      <c r="AE71" s="41"/>
    </row>
    <row r="72" spans="2:31" x14ac:dyDescent="0.25">
      <c r="B72" s="16">
        <v>2500</v>
      </c>
      <c r="C72" s="16">
        <v>2244</v>
      </c>
      <c r="E72" s="46"/>
      <c r="F72" s="46"/>
      <c r="G72" s="10"/>
      <c r="H72" s="46"/>
      <c r="I72" s="46"/>
      <c r="AA72" s="41"/>
      <c r="AB72" s="41"/>
      <c r="AC72" s="42"/>
      <c r="AD72" s="42"/>
      <c r="AE72" s="41"/>
    </row>
    <row r="73" spans="2:31" x14ac:dyDescent="0.25">
      <c r="B73" s="16">
        <v>2600</v>
      </c>
      <c r="C73" s="16">
        <v>2311</v>
      </c>
      <c r="E73" s="46"/>
      <c r="F73" s="46"/>
      <c r="G73" s="10"/>
      <c r="H73" s="46"/>
      <c r="I73" s="46"/>
      <c r="AA73" s="41"/>
      <c r="AB73" s="41"/>
      <c r="AC73" s="42"/>
      <c r="AD73" s="42"/>
      <c r="AE73" s="41"/>
    </row>
    <row r="74" spans="2:31" x14ac:dyDescent="0.25">
      <c r="B74" s="16">
        <v>2700</v>
      </c>
      <c r="C74" s="16">
        <v>2376</v>
      </c>
      <c r="E74" s="46"/>
      <c r="F74" s="46"/>
      <c r="G74" s="10"/>
      <c r="H74" s="46"/>
      <c r="I74" s="46"/>
      <c r="K74" t="e" cm="1">
        <f t="array" aca="1" ref="K74" ca="1">[1]!json_pipe_p_atma(P0,T0,construction,feed,t_model,calc_along_coord,flow_along_coord,hcor,calibr_grav,calibr_fric,param,H_from,H_from,znlf)</f>
        <v>#NAME?</v>
      </c>
      <c r="AA74" s="41"/>
      <c r="AB74" s="41"/>
      <c r="AC74" s="42"/>
      <c r="AD74" s="42"/>
      <c r="AE74" s="41"/>
    </row>
    <row r="75" spans="2:31" x14ac:dyDescent="0.25">
      <c r="B75" s="16">
        <v>2800</v>
      </c>
      <c r="C75" s="16">
        <v>2439</v>
      </c>
      <c r="E75" s="46"/>
      <c r="F75" s="46"/>
      <c r="G75" s="10"/>
      <c r="H75" s="46"/>
      <c r="I75" s="46"/>
      <c r="AA75" s="41"/>
      <c r="AB75" s="41"/>
      <c r="AC75" s="42"/>
      <c r="AD75" s="42"/>
      <c r="AE75" s="41"/>
    </row>
    <row r="76" spans="2:31" x14ac:dyDescent="0.25">
      <c r="B76" s="16">
        <v>3500</v>
      </c>
      <c r="C76" s="16">
        <v>2500</v>
      </c>
      <c r="G76" s="10"/>
      <c r="AA76" s="41"/>
      <c r="AB76" s="53"/>
      <c r="AC76" s="42"/>
      <c r="AD76" s="42"/>
      <c r="AE76" s="41"/>
    </row>
    <row r="77" spans="2:31" x14ac:dyDescent="0.25">
      <c r="B77" s="16"/>
      <c r="C77" s="16"/>
      <c r="G77" s="10"/>
      <c r="AA77" s="41"/>
      <c r="AB77" s="41"/>
      <c r="AC77" s="42"/>
      <c r="AD77" s="42"/>
      <c r="AE77" s="41"/>
    </row>
    <row r="78" spans="2:31" x14ac:dyDescent="0.25">
      <c r="B78" s="16"/>
      <c r="C78" s="16"/>
      <c r="G78" s="10"/>
      <c r="AA78" s="41"/>
      <c r="AB78" s="41"/>
      <c r="AC78" s="42"/>
      <c r="AD78" s="42"/>
      <c r="AE78" s="41"/>
    </row>
    <row r="79" spans="2:31" x14ac:dyDescent="0.25">
      <c r="AA79" s="41"/>
      <c r="AB79" s="41"/>
      <c r="AC79" s="42"/>
      <c r="AD79" s="42"/>
      <c r="AE79" s="41"/>
    </row>
    <row r="84" spans="11:12" x14ac:dyDescent="0.25">
      <c r="K84" s="50" t="s">
        <v>90</v>
      </c>
      <c r="L84" s="50" t="s">
        <v>94</v>
      </c>
    </row>
    <row r="85" spans="11:12" x14ac:dyDescent="0.25">
      <c r="K85" s="50">
        <v>1</v>
      </c>
      <c r="L85" s="42" cm="1">
        <f t="array" ref="L85">[1]!MF_pipe_p_atma(P0,T0,construction,feed,t_model,1,0,hcor,calibr_grav,calibr_fric,,H_from,H_from,znlf,K85)</f>
        <v>207.33500000000001</v>
      </c>
    </row>
    <row r="86" spans="11:12" x14ac:dyDescent="0.25">
      <c r="K86" s="50">
        <v>10</v>
      </c>
      <c r="L86" s="42" cm="1">
        <f t="array" ref="L86">[1]!MF_pipe_p_atma(P0,T0,construction,feed,t_model,1,0,hcor,calibr_grav,calibr_fric,,H_from,H_from,znlf,K86)</f>
        <v>206.38499999999999</v>
      </c>
    </row>
    <row r="87" spans="11:12" x14ac:dyDescent="0.25">
      <c r="K87" s="50">
        <v>20</v>
      </c>
      <c r="L87" s="42" cm="1">
        <f t="array" ref="L87">[1]!MF_pipe_p_atma(P0,T0,construction,feed,t_model,1,0,hcor,calibr_grav,calibr_fric,,H_from,H_from,znlf,K87)</f>
        <v>205.63800000000001</v>
      </c>
    </row>
    <row r="88" spans="11:12" x14ac:dyDescent="0.25">
      <c r="K88" s="50">
        <v>30</v>
      </c>
      <c r="L88" s="42" cm="1">
        <f t="array" ref="L88">[1]!MF_pipe_p_atma(P0,T0,construction,feed,t_model,1,0,hcor,calibr_grav,calibr_fric,,H_from,H_from,znlf,K88)</f>
        <v>205.11600000000001</v>
      </c>
    </row>
    <row r="89" spans="11:12" x14ac:dyDescent="0.25">
      <c r="K89" s="50">
        <v>40</v>
      </c>
      <c r="L89" s="42" cm="1">
        <f t="array" ref="L89">[1]!MF_pipe_p_atma(P0,T0,construction,feed,t_model,1,0,hcor,calibr_grav,calibr_fric,,H_from,H_from,znlf,K89)</f>
        <v>204.74299999999999</v>
      </c>
    </row>
    <row r="90" spans="11:12" x14ac:dyDescent="0.25">
      <c r="K90" s="50">
        <v>50</v>
      </c>
      <c r="L90" s="42" cm="1">
        <f t="array" ref="L90">[1]!MF_pipe_p_atma(P0,T0,construction,feed,t_model,1,0,hcor,calibr_grav,calibr_fric,,H_from,H_from,znlf,K90)</f>
        <v>204.47800000000001</v>
      </c>
    </row>
    <row r="91" spans="11:12" x14ac:dyDescent="0.25">
      <c r="K91" s="50">
        <v>60</v>
      </c>
      <c r="L91" s="42" cm="1">
        <f t="array" ref="L91">[1]!MF_pipe_p_atma(P0,T0,construction,feed,t_model,1,0,hcor,calibr_grav,calibr_fric,,H_from,H_from,znlf,K91)</f>
        <v>204.29</v>
      </c>
    </row>
    <row r="92" spans="11:12" x14ac:dyDescent="0.25">
      <c r="K92" s="50">
        <v>70</v>
      </c>
      <c r="L92" s="42" cm="1">
        <f t="array" ref="L92">[1]!MF_pipe_p_atma(P0,T0,construction,feed,t_model,1,0,hcor,calibr_grav,calibr_fric,,H_from,H_from,znlf,K92)</f>
        <v>204.21</v>
      </c>
    </row>
    <row r="93" spans="11:12" x14ac:dyDescent="0.25">
      <c r="K93" s="50">
        <v>80</v>
      </c>
      <c r="L93" s="42" cm="1">
        <f t="array" ref="L93">[1]!MF_pipe_p_atma(P0,T0,construction,feed,t_model,1,0,hcor,calibr_grav,calibr_fric,,H_from,H_from,znlf,K93)</f>
        <v>204.17699999999999</v>
      </c>
    </row>
    <row r="94" spans="11:12" x14ac:dyDescent="0.25">
      <c r="K94" s="50">
        <v>90</v>
      </c>
      <c r="L94" s="42" cm="1">
        <f t="array" ref="L94">[1]!MF_pipe_p_atma(P0,T0,construction,feed,t_model,1,0,hcor,calibr_grav,calibr_fric,,H_from,H_from,znlf,K94)</f>
        <v>204.22900000000001</v>
      </c>
    </row>
    <row r="95" spans="11:12" x14ac:dyDescent="0.25">
      <c r="K95" s="50">
        <v>100</v>
      </c>
      <c r="L95" s="42" cm="1">
        <f t="array" ref="L95">[1]!MF_pipe_p_atma(P0,T0,construction,feed,t_model,1,0,hcor,calibr_grav,calibr_fric,,H_from,H_from,znlf,K95)</f>
        <v>204.27</v>
      </c>
    </row>
    <row r="96" spans="11:12" x14ac:dyDescent="0.25">
      <c r="K96" s="50">
        <v>110</v>
      </c>
      <c r="L96" s="42" cm="1">
        <f t="array" ref="L96">[1]!MF_pipe_p_atma(P0,T0,construction,feed,t_model,1,0,hcor,calibr_grav,calibr_fric,,H_from,H_from,znlf,K96)</f>
        <v>204.38399999999999</v>
      </c>
    </row>
    <row r="97" spans="11:12" x14ac:dyDescent="0.25">
      <c r="K97" s="50">
        <v>120</v>
      </c>
      <c r="L97" s="42" cm="1">
        <f t="array" ref="L97">[1]!MF_pipe_p_atma(P0,T0,construction,feed,t_model,1,0,hcor,calibr_grav,calibr_fric,,H_from,H_from,znlf,K97)</f>
        <v>204.50299999999999</v>
      </c>
    </row>
    <row r="98" spans="11:12" x14ac:dyDescent="0.25">
      <c r="K98" s="50">
        <v>130</v>
      </c>
      <c r="L98" s="42" cm="1">
        <f t="array" ref="L98">[1]!MF_pipe_p_atma(P0,T0,construction,feed,t_model,1,0,hcor,calibr_grav,calibr_fric,,H_from,H_from,znlf,K98)</f>
        <v>204.64500000000001</v>
      </c>
    </row>
    <row r="99" spans="11:12" x14ac:dyDescent="0.25">
      <c r="K99" s="50">
        <v>140</v>
      </c>
      <c r="L99" s="42" cm="1">
        <f t="array" ref="L99">[1]!MF_pipe_p_atma(P0,T0,construction,feed,t_model,1,0,hcor,calibr_grav,calibr_fric,,H_from,H_from,znlf,K99)</f>
        <v>204.815</v>
      </c>
    </row>
    <row r="100" spans="11:12" x14ac:dyDescent="0.25">
      <c r="K100" s="50">
        <v>150</v>
      </c>
      <c r="L100" s="42" cm="1">
        <f t="array" ref="L100">[1]!MF_pipe_p_atma(P0,T0,construction,feed,t_model,1,0,hcor,calibr_grav,calibr_fric,,H_from,H_from,znlf,K100)</f>
        <v>205.02</v>
      </c>
    </row>
    <row r="101" spans="11:12" x14ac:dyDescent="0.25">
      <c r="K101" s="50">
        <v>160</v>
      </c>
      <c r="L101" s="42" cm="1">
        <f t="array" ref="L101">[1]!MF_pipe_p_atma(P0,T0,construction,feed,t_model,1,0,hcor,calibr_grav,calibr_fric,,H_from,H_from,znlf,K101)</f>
        <v>205.24299999999999</v>
      </c>
    </row>
    <row r="102" spans="11:12" x14ac:dyDescent="0.25">
      <c r="K102" s="50">
        <v>170</v>
      </c>
      <c r="L102" s="42" cm="1">
        <f t="array" ref="L102">[1]!MF_pipe_p_atma(P0,T0,construction,feed,t_model,1,0,hcor,calibr_grav,calibr_fric,,H_from,H_from,znlf,K102)</f>
        <v>205.48500000000001</v>
      </c>
    </row>
    <row r="103" spans="11:12" x14ac:dyDescent="0.25">
      <c r="K103" s="50">
        <v>180</v>
      </c>
      <c r="L103" s="42" cm="1">
        <f t="array" ref="L103">[1]!MF_pipe_p_atma(P0,T0,construction,feed,t_model,1,0,hcor,calibr_grav,calibr_fric,,H_from,H_from,znlf,K103)</f>
        <v>205.74799999999999</v>
      </c>
    </row>
    <row r="104" spans="11:12" x14ac:dyDescent="0.25">
      <c r="K104" s="50">
        <v>190</v>
      </c>
      <c r="L104" s="42" cm="1">
        <f t="array" ref="L104">[1]!MF_pipe_p_atma(P0,T0,construction,feed,t_model,1,0,hcor,calibr_grav,calibr_fric,,H_from,H_from,znlf,K104)</f>
        <v>206.03899999999999</v>
      </c>
    </row>
    <row r="105" spans="11:12" x14ac:dyDescent="0.25">
      <c r="K105" s="50">
        <v>200</v>
      </c>
      <c r="L105" s="42" cm="1">
        <f t="array" ref="L105">[1]!MF_pipe_p_atma(P0,T0,construction,feed,t_model,1,0,hcor,calibr_grav,calibr_fric,,H_from,H_from,znlf,K105)</f>
        <v>206.34899999999999</v>
      </c>
    </row>
    <row r="115" spans="9:31" x14ac:dyDescent="0.25">
      <c r="I115" s="14"/>
      <c r="J115" s="52" t="s">
        <v>95</v>
      </c>
      <c r="K115" t="str" cm="1">
        <f t="array" ref="K115">[1]!encode_arange(10,400,30)</f>
        <v>[10,40,70,100,130,160,190,220,250,280,310,340,370,400]</v>
      </c>
    </row>
    <row r="116" spans="9:31" x14ac:dyDescent="0.25">
      <c r="I116" s="14"/>
      <c r="J116" s="52" t="s">
        <v>96</v>
      </c>
      <c r="K116" t="str" cm="1">
        <f t="array" ref="K116">[1]!MF_pipe_p_atma(P0,T0,construction,feed,t_model,1,0,hcor,calibr_grav,calibr_fric,,H_from,H_from,znlf,K115)</f>
        <v>{"p_atma":[206.385,204.743,204.21,204.27,204.645,205.243,206.039,207.023,208.133,209.447,210.931,212.574,214.248,216.036],"t_C":[66.427,66.427,66.427,66.427,66.427,66.427,66.427,66.427,66.427,66.427,66.427,66.427,66.427,66.427],"feed":[{"gamma_gas":0.8,"gamma_oil":0.87,"gamma_wat":1,"rsb_m3m3":80,"pb_atma":120,"t_res_C":100,"bob_m3m3":1.2,"muob_cP":1,"PVT_corr_set":0,"q_liq_sm3day":10,"fw_perc":0,"rp_m3m3":80},{"gamma_gas":0.8,"gamma_oil":0.87,"gamma_wat":1,"rsb_m3m3":80,"pb_atma":120,"t_res_C":100,"bob_m3m3":1.2,"muob_cP":1,"PVT_corr_set":0,"q_liq_sm3day":40,"fw_perc":0,"rp_m3m3":80},{"gamma_gas":0.8,"gamma_oil":0.87,"gamma_wat":1,"rsb_m3m3":80,"pb_atma":120,"t_res_C":100,"bob_m3m3":1.2,"muob_cP":1,"PVT_corr_set":0,"q_liq_sm3day":70,"fw_perc":0,"rp_m3m3":80},{"gamma_gas":0.8,"gamma_oil":0.87,"gamma_wat":1,"rsb_m3m3":80,"pb_atma":120,"t_res_C":100,"bob_m3m3":1.2,"muob_cP":1,"PVT_corr_set":0,"q_liq_sm3day":100,"fw_perc":0,"rp_m3m3":80},{"gamma_gas":0.8,"gamma_oil":0.87,"gamma_wat":1,"rsb_m3m3":80,"pb_atma":120,"t_res_C":100,"bob_m3m3":1.2,"muob_cP":1,"PVT_corr_set":0,"q_liq_sm3day":130,"fw_perc":0,"rp_m3m3":80},{"gamma_gas":0.8,"gamma_oil":0.87,"gamma_wat":1,"rsb_m3m3":80,"pb_atma":120,"t_res_C":100,"bob_m3m3":1.2,"muob_cP":1,"PVT_corr_set":0,"q_liq_sm3day":160,"fw_perc":0,"rp_m3m3":80},{"gamma_gas":0.8,"gamma_oil":0.87,"gamma_wat":1,"rsb_m3m3":80,"pb_atma":120,"t_res_C":100,"bob_m3m3":1.2,"muob_cP":1,"PVT_corr_set":0,"q_liq_sm3day":190,"fw_perc":0,"rp_m3m3":80},{"gamma_gas":0.8,"gamma_oil":0.87,"gamma_wat":1,"rsb_m3m3":80,"pb_atma":120,"t_res_C":100,"bob_m3m3":1.2,"muob_cP":1,"PVT_corr_set":0,"q_liq_sm3day":220,"fw_perc":0,"rp_m3m3":80},{"gamma_gas":0.8,"gamma_oil":0.87,"gamma_wat":1,"rsb_m3m3":80,"pb_atma":120,"t_res_C":100,"bob_m3m3":1.2,"muob_cP":1,"PVT_corr_set":0,"q_liq_sm3day":250,"fw_perc":0,"rp_m3m3":80},{"gamma_gas":0.8,"gamma_oil":0.87,"gamma_wat":1,"rsb_m3m3":80,"pb_atma":120,"t_res_C":100,"bob_m3m3":1.2,"muob_cP":1,"PVT_corr_set":0,"q_liq_sm3day":280,"fw_perc":0,"rp_m3m3":80},{"gamma_gas":0.8,"gamma_oil":0.87,"gamma_wat":1,"rsb_m3m3":80,"pb_atma":120,"t_res_C":100,"bob_m3m3":1.2,"muob_cP":1,"PVT_corr_set":0,"q_liq_sm3day":310,"fw_perc":0,"rp_m3m3":80},{"gamma_gas":0.8,"gamma_oil":0.87,"gamma_wat":1,"rsb_m3m3":80,"pb_atma":120,"t_res_C":100,"bob_m3m3":1.2,"muob_cP":1,"PVT_corr_set":0,"q_liq_sm3day":340,"fw_perc":0,"rp_m3m3":80},{"gamma_gas":0.8,"gamma_oil":0.87,"gamma_wat":1,"rsb_m3m3":80,"pb_atma":120,"t_res_C":100,"bob_m3m3":1.2,"muob_cP":1,"PVT_corr_set":0,"q_liq_sm3day":370,"fw_perc":0,"rp_m3m3":80},{"gamma_gas":0.8,"gamma_oil":0.87,"gamma_wat":1,"rsb_m3m3":80,"pb_atma":120,"t_res_C":100,"bob_m3m3":1.2,"muob_cP":1,"PVT_corr_set":0,"q_liq_sm3day":400,"fw_perc":0,"rp_m3m3":80}]}</v>
      </c>
    </row>
    <row r="118" spans="9:31" x14ac:dyDescent="0.25">
      <c r="I118" s="14"/>
      <c r="J118" s="14" t="s">
        <v>97</v>
      </c>
      <c r="K118" s="14"/>
      <c r="L118" s="14"/>
      <c r="M118" s="14"/>
    </row>
    <row r="119" spans="9:31" x14ac:dyDescent="0.25">
      <c r="K119" t="str" cm="1">
        <f t="array" ref="K119:L121">[1]!decode_json(K116)</f>
        <v>p_atma</v>
      </c>
      <c r="L119" t="str">
        <v>[206.385,204.743,204.21,204.27,204.645,205.243,206.039,207.023,208.133,209.447,210.931,212.574,214.248,216.036]</v>
      </c>
    </row>
    <row r="120" spans="9:31" x14ac:dyDescent="0.25">
      <c r="K120" t="str">
        <v>t_C</v>
      </c>
      <c r="L120" t="str">
        <v>[66.427,66.427,66.427,66.427,66.427,66.427,66.427,66.427,66.427,66.427,66.427,66.427,66.427,66.427]</v>
      </c>
    </row>
    <row r="121" spans="9:31" x14ac:dyDescent="0.25">
      <c r="K121" t="str">
        <v>feed</v>
      </c>
      <c r="L121" t="str">
        <v>[{"gamma_gas":0.8,"gamma_oil":0.87,"gamma_wat":1,"rsb_m3m3":80,"pb_atma":120,"t_res_C":100,"bob_m3m3":1.2,"muob_cP":1,"PVT_corr_set":0,"q_liq_sm3day":10,"fw_perc":0,"rp_m3m3":80},{"gamma_gas":0.8,"gamma_oil":0.87,"gamma_wat":1,"rsb_m3m3":80,"pb_atma":120,"t_res_C":100,"bob_m3m3":1.2,"muob_cP":1,"PVT_corr_set":0,"q_liq_sm3day":40,"fw_perc":0,"rp_m3m3":80},{"gamma_gas":0.8,"gamma_oil":0.87,"gamma_wat":1,"rsb_m3m3":80,"pb_atma":120,"t_res_C":100,"bob_m3m3":1.2,"muob_cP":1,"PVT_corr_set":0,"q_liq_sm3day":70,"fw_perc":0,"rp_m3m3":80},{"gamma_gas":0.8,"gamma_oil":0.87,"gamma_wat":1,"rsb_m3m3":80,"pb_atma":120,"t_res_C":100,"bob_m3m3":1.2,"muob_cP":1,"PVT_corr_set":0,"q_liq_sm3day":100,"fw_perc":0,"rp_m3m3":80},{"gamma_gas":0.8,"gamma_oil":0.87,"gamma_wat":1,"rsb_m3m3":80,"pb_atma":120,"t_res_C":100,"bob_m3m3":1.2,"muob_cP":1,"PVT_corr_set":0,"q_liq_sm3day":130,"fw_perc":0,"rp_m3m3":80},{"gamma_gas":0.8,"gamma_oil":0.87,"gamma_wat":1,"rsb_m3m3":80,"pb_atma":120,"t_res_C":100,"bob_m3m3":1.2,"muob_cP":1,"PVT_corr_set":0,"q_liq_sm3day":160,"fw_perc":0,"rp_m3m3":80},{"gamma_gas":0.8,"gamma_oil":0.87,"gamma_wat":1,"rsb_m3m3":80,"pb_atma":120,"t_res_C":100,"bob_m3m3":1.2,"muob_cP":1,"PVT_corr_set":0,"q_liq_sm3day":190,"fw_perc":0,"rp_m3m3":80},{"gamma_gas":0.8,"gamma_oil":0.87,"gamma_wat":1,"rsb_m3m3":80,"pb_atma":120,"t_res_C":100,"bob_m3m3":1.2,"muob_cP":1,"PVT_corr_set":0,"q_liq_sm3day":220,"fw_perc":0,"rp_m3m3":80},{"gamma_gas":0.8,"gamma_oil":0.87,"gamma_wat":1,"rsb_m3m3":80,"pb_atma":120,"t_res_C":100,"bob_m3m3":1.2,"muob_cP":1,"PVT_corr_set":0,"q_liq_sm3day":250,"fw_perc":0,"rp_m3m3":80},{"gamma_gas":0.8,"gamma_oil":0.87,"gamma_wat":1,"rsb_m3m3":80,"pb_atma":120,"t_res_C":100,"bob_m3m3":1.2,"muob_cP":1,"PVT_corr_set":0,"q_liq_sm3day":280,"fw_perc":0,"rp_m3m3":80},{"gamma_gas":0.8,"gamma_oil":0.87,"gamma_wat":1,"rsb_m3m3":80,"pb_atma":120,"t_res_C":100,"bob_m3m3":1.2,"muob_cP":1,"PVT_corr_set":0,"q_liq_sm3day":310,"fw_perc":0,"rp_m3m3":80},{"gamma_gas":0.8,"gamma_oil":0.87,"gamma_wat":1,"rsb_m3m3":80,"pb_atma":120,"t_res_C":100,"bob_m3m3":1.2,"muob_cP":1,"PVT_corr_set":0,"q_liq_sm3day":340,"fw_perc":0,"rp_m3m3":80},{"gamma_gas":0.8,"gamma_oil":0.87,"gamma_wat":1,"rsb_m3m3":80,"pb_atma":120,"t_res_C":100,"bob_m3m3":1.2,"muob_cP":1,"PVT_corr_set":0,"q_liq_sm3day":370,"fw_perc":0,"rp_m3m3":80},{"gamma_gas":0.8,"gamma_oil":0.87,"gamma_wat":1,"rsb_m3m3":80,"pb_atma":120,"t_res_C":100,"bob_m3m3":1.2,"muob_cP":1,"PVT_corr_set":0,"q_liq_sm3day":400,"fw_perc":0,"rp_m3m3":80}]</v>
      </c>
    </row>
    <row r="123" spans="9:31" x14ac:dyDescent="0.25">
      <c r="I123" s="14"/>
      <c r="J123" s="14" t="s">
        <v>98</v>
      </c>
      <c r="K123" s="14"/>
      <c r="L123" s="14"/>
      <c r="M123" s="14"/>
    </row>
    <row r="124" spans="9:31" x14ac:dyDescent="0.25">
      <c r="I124" s="14"/>
      <c r="J124" s="14" t="s">
        <v>100</v>
      </c>
      <c r="K124" s="14" t="s">
        <v>99</v>
      </c>
      <c r="L124" s="14" t="s">
        <v>101</v>
      </c>
      <c r="M124" s="14" t="s">
        <v>102</v>
      </c>
    </row>
    <row r="125" spans="9:31" x14ac:dyDescent="0.25">
      <c r="J125" cm="1">
        <f t="array" ref="J125:J138">[1]!decode_json(K115)</f>
        <v>10</v>
      </c>
      <c r="K125" cm="1">
        <f t="array" ref="K125:K138">[1]!decode_json(L119)</f>
        <v>206.38499999999999</v>
      </c>
      <c r="L125" cm="1">
        <f t="array" ref="L125:L138">[1]!decode_json(L120)</f>
        <v>66.427000000000007</v>
      </c>
      <c r="M125" t="str" cm="1">
        <f t="array" ref="M125:M138">[1]!decode_json(L121)</f>
        <v>{"gamma_gas":0.8,"gamma_oil":0.87,"gamma_wat":1,"rsb_m3m3":80,"pb_atma":120,"t_res_C":100,"bob_m3m3":1.2,"muob_cP":1,"PVT_corr_set":0,"q_liq_sm3day":10,"fw_perc":0,"rp_m3m3":80}</v>
      </c>
      <c r="AA125" s="41"/>
      <c r="AB125" s="41"/>
      <c r="AC125" s="42"/>
      <c r="AD125" s="42"/>
      <c r="AE125" s="41"/>
    </row>
    <row r="126" spans="9:31" x14ac:dyDescent="0.25">
      <c r="J126">
        <v>40</v>
      </c>
      <c r="K126">
        <v>204.74299999999999</v>
      </c>
      <c r="L126">
        <v>66.427000000000007</v>
      </c>
      <c r="M126" t="str">
        <v>{"gamma_gas":0.8,"gamma_oil":0.87,"gamma_wat":1,"rsb_m3m3":80,"pb_atma":120,"t_res_C":100,"bob_m3m3":1.2,"muob_cP":1,"PVT_corr_set":0,"q_liq_sm3day":40,"fw_perc":0,"rp_m3m3":80}</v>
      </c>
      <c r="AA126" s="41"/>
      <c r="AB126" s="41"/>
      <c r="AC126" s="42"/>
      <c r="AD126" s="42"/>
      <c r="AE126" s="41"/>
    </row>
    <row r="127" spans="9:31" x14ac:dyDescent="0.25">
      <c r="J127">
        <v>70</v>
      </c>
      <c r="K127">
        <v>204.21</v>
      </c>
      <c r="L127">
        <v>66.427000000000007</v>
      </c>
      <c r="M127" t="str">
        <v>{"gamma_gas":0.8,"gamma_oil":0.87,"gamma_wat":1,"rsb_m3m3":80,"pb_atma":120,"t_res_C":100,"bob_m3m3":1.2,"muob_cP":1,"PVT_corr_set":0,"q_liq_sm3day":70,"fw_perc":0,"rp_m3m3":80}</v>
      </c>
      <c r="O127" s="48"/>
      <c r="AA127" s="41"/>
      <c r="AB127" s="41"/>
    </row>
    <row r="128" spans="9:31" x14ac:dyDescent="0.25">
      <c r="J128">
        <v>100</v>
      </c>
      <c r="K128">
        <v>204.27</v>
      </c>
      <c r="L128">
        <v>66.427000000000007</v>
      </c>
      <c r="M128" t="str">
        <v>{"gamma_gas":0.8,"gamma_oil":0.87,"gamma_wat":1,"rsb_m3m3":80,"pb_atma":120,"t_res_C":100,"bob_m3m3":1.2,"muob_cP":1,"PVT_corr_set":0,"q_liq_sm3day":100,"fw_perc":0,"rp_m3m3":80}</v>
      </c>
      <c r="O128" s="48"/>
      <c r="AA128" s="41"/>
      <c r="AB128" s="41"/>
    </row>
    <row r="129" spans="10:15" x14ac:dyDescent="0.25">
      <c r="J129">
        <v>130</v>
      </c>
      <c r="K129">
        <v>204.64500000000001</v>
      </c>
      <c r="L129">
        <v>66.427000000000007</v>
      </c>
      <c r="M129" t="str">
        <v>{"gamma_gas":0.8,"gamma_oil":0.87,"gamma_wat":1,"rsb_m3m3":80,"pb_atma":120,"t_res_C":100,"bob_m3m3":1.2,"muob_cP":1,"PVT_corr_set":0,"q_liq_sm3day":130,"fw_perc":0,"rp_m3m3":80}</v>
      </c>
      <c r="N129" s="41"/>
      <c r="O129" s="49"/>
    </row>
    <row r="130" spans="10:15" x14ac:dyDescent="0.25">
      <c r="J130">
        <v>160</v>
      </c>
      <c r="K130">
        <v>205.24299999999999</v>
      </c>
      <c r="L130">
        <v>66.427000000000007</v>
      </c>
      <c r="M130" t="str">
        <v>{"gamma_gas":0.8,"gamma_oil":0.87,"gamma_wat":1,"rsb_m3m3":80,"pb_atma":120,"t_res_C":100,"bob_m3m3":1.2,"muob_cP":1,"PVT_corr_set":0,"q_liq_sm3day":160,"fw_perc":0,"rp_m3m3":80}</v>
      </c>
      <c r="N130" s="41"/>
      <c r="O130" s="49"/>
    </row>
    <row r="131" spans="10:15" x14ac:dyDescent="0.25">
      <c r="J131">
        <v>190</v>
      </c>
      <c r="K131">
        <v>206.03899999999999</v>
      </c>
      <c r="L131">
        <v>66.427000000000007</v>
      </c>
      <c r="M131" t="str">
        <v>{"gamma_gas":0.8,"gamma_oil":0.87,"gamma_wat":1,"rsb_m3m3":80,"pb_atma":120,"t_res_C":100,"bob_m3m3":1.2,"muob_cP":1,"PVT_corr_set":0,"q_liq_sm3day":190,"fw_perc":0,"rp_m3m3":80}</v>
      </c>
      <c r="N131" s="41"/>
      <c r="O131" s="49"/>
    </row>
    <row r="132" spans="10:15" x14ac:dyDescent="0.25">
      <c r="J132">
        <v>220</v>
      </c>
      <c r="K132">
        <v>207.023</v>
      </c>
      <c r="L132">
        <v>66.427000000000007</v>
      </c>
      <c r="M132" t="str">
        <v>{"gamma_gas":0.8,"gamma_oil":0.87,"gamma_wat":1,"rsb_m3m3":80,"pb_atma":120,"t_res_C":100,"bob_m3m3":1.2,"muob_cP":1,"PVT_corr_set":0,"q_liq_sm3day":220,"fw_perc":0,"rp_m3m3":80}</v>
      </c>
      <c r="N132" s="51"/>
      <c r="O132" s="49"/>
    </row>
    <row r="133" spans="10:15" x14ac:dyDescent="0.25">
      <c r="J133">
        <v>250</v>
      </c>
      <c r="K133">
        <v>208.13300000000001</v>
      </c>
      <c r="L133">
        <v>66.427000000000007</v>
      </c>
      <c r="M133" t="str">
        <v>{"gamma_gas":0.8,"gamma_oil":0.87,"gamma_wat":1,"rsb_m3m3":80,"pb_atma":120,"t_res_C":100,"bob_m3m3":1.2,"muob_cP":1,"PVT_corr_set":0,"q_liq_sm3day":250,"fw_perc":0,"rp_m3m3":80}</v>
      </c>
      <c r="N133" s="51"/>
      <c r="O133" s="49"/>
    </row>
    <row r="134" spans="10:15" x14ac:dyDescent="0.25">
      <c r="J134">
        <v>280</v>
      </c>
      <c r="K134">
        <v>209.447</v>
      </c>
      <c r="L134">
        <v>66.427000000000007</v>
      </c>
      <c r="M134" t="str">
        <v>{"gamma_gas":0.8,"gamma_oil":0.87,"gamma_wat":1,"rsb_m3m3":80,"pb_atma":120,"t_res_C":100,"bob_m3m3":1.2,"muob_cP":1,"PVT_corr_set":0,"q_liq_sm3day":280,"fw_perc":0,"rp_m3m3":80}</v>
      </c>
      <c r="N134" s="51"/>
      <c r="O134" s="49"/>
    </row>
    <row r="135" spans="10:15" x14ac:dyDescent="0.25">
      <c r="J135">
        <v>310</v>
      </c>
      <c r="K135">
        <v>210.93100000000001</v>
      </c>
      <c r="L135">
        <v>66.427000000000007</v>
      </c>
      <c r="M135" t="str">
        <v>{"gamma_gas":0.8,"gamma_oil":0.87,"gamma_wat":1,"rsb_m3m3":80,"pb_atma":120,"t_res_C":100,"bob_m3m3":1.2,"muob_cP":1,"PVT_corr_set":0,"q_liq_sm3day":310,"fw_perc":0,"rp_m3m3":80}</v>
      </c>
      <c r="N135" s="51"/>
      <c r="O135" s="49"/>
    </row>
    <row r="136" spans="10:15" x14ac:dyDescent="0.25">
      <c r="J136">
        <v>340</v>
      </c>
      <c r="K136">
        <v>212.57400000000001</v>
      </c>
      <c r="L136">
        <v>66.427000000000007</v>
      </c>
      <c r="M136" t="str">
        <v>{"gamma_gas":0.8,"gamma_oil":0.87,"gamma_wat":1,"rsb_m3m3":80,"pb_atma":120,"t_res_C":100,"bob_m3m3":1.2,"muob_cP":1,"PVT_corr_set":0,"q_liq_sm3day":340,"fw_perc":0,"rp_m3m3":80}</v>
      </c>
      <c r="N136" s="51"/>
      <c r="O136" s="49"/>
    </row>
    <row r="137" spans="10:15" x14ac:dyDescent="0.25">
      <c r="J137">
        <v>370</v>
      </c>
      <c r="K137">
        <v>214.24799999999999</v>
      </c>
      <c r="L137">
        <v>66.427000000000007</v>
      </c>
      <c r="M137" t="str">
        <v>{"gamma_gas":0.8,"gamma_oil":0.87,"gamma_wat":1,"rsb_m3m3":80,"pb_atma":120,"t_res_C":100,"bob_m3m3":1.2,"muob_cP":1,"PVT_corr_set":0,"q_liq_sm3day":370,"fw_perc":0,"rp_m3m3":80}</v>
      </c>
      <c r="N137" s="51"/>
      <c r="O137" s="49"/>
    </row>
    <row r="138" spans="10:15" x14ac:dyDescent="0.25">
      <c r="J138">
        <v>400</v>
      </c>
      <c r="K138">
        <v>216.036</v>
      </c>
      <c r="L138">
        <v>66.427000000000007</v>
      </c>
      <c r="M138" t="str">
        <v>{"gamma_gas":0.8,"gamma_oil":0.87,"gamma_wat":1,"rsb_m3m3":80,"pb_atma":120,"t_res_C":100,"bob_m3m3":1.2,"muob_cP":1,"PVT_corr_set":0,"q_liq_sm3day":400,"fw_perc":0,"rp_m3m3":80}</v>
      </c>
      <c r="N138" s="51"/>
      <c r="O138" s="49"/>
    </row>
    <row r="139" spans="10:15" x14ac:dyDescent="0.25">
      <c r="N139" s="51"/>
      <c r="O139" s="49"/>
    </row>
    <row r="140" spans="10:15" x14ac:dyDescent="0.25">
      <c r="N140" s="51"/>
      <c r="O140" s="49"/>
    </row>
    <row r="141" spans="10:15" x14ac:dyDescent="0.25">
      <c r="N141" s="51"/>
      <c r="O141" s="49"/>
    </row>
    <row r="142" spans="10:15" x14ac:dyDescent="0.25">
      <c r="N142" s="51"/>
      <c r="O142" s="49"/>
    </row>
    <row r="143" spans="10:15" x14ac:dyDescent="0.25">
      <c r="N143" s="51"/>
      <c r="O143" s="49"/>
    </row>
    <row r="144" spans="10:15" x14ac:dyDescent="0.25">
      <c r="N144" s="51"/>
      <c r="O144" s="49"/>
    </row>
    <row r="145" spans="14:15" x14ac:dyDescent="0.25">
      <c r="N145" s="51"/>
      <c r="O145" s="49"/>
    </row>
    <row r="146" spans="14:15" x14ac:dyDescent="0.25">
      <c r="N146" s="41"/>
      <c r="O146" s="49"/>
    </row>
    <row r="147" spans="14:15" x14ac:dyDescent="0.25">
      <c r="N147" s="41"/>
      <c r="O147" s="49"/>
    </row>
    <row r="148" spans="14:15" x14ac:dyDescent="0.25">
      <c r="N148" s="41"/>
      <c r="O148" s="49"/>
    </row>
    <row r="149" spans="14:15" x14ac:dyDescent="0.25">
      <c r="N149" s="41"/>
      <c r="O149" s="49"/>
    </row>
    <row r="150" spans="14:15" x14ac:dyDescent="0.25">
      <c r="O150" s="48"/>
    </row>
  </sheetData>
  <mergeCells count="11">
    <mergeCell ref="F26:G26"/>
    <mergeCell ref="B3:E3"/>
    <mergeCell ref="B4:E4"/>
    <mergeCell ref="B5:E5"/>
    <mergeCell ref="B6:E8"/>
    <mergeCell ref="F25:G25"/>
    <mergeCell ref="F27:G27"/>
    <mergeCell ref="F30:G30"/>
    <mergeCell ref="F31:G31"/>
    <mergeCell ref="F32:G32"/>
    <mergeCell ref="F29:G29"/>
  </mergeCells>
  <pageMargins left="0.7" right="0.7" top="0.75" bottom="0.75" header="0.3" footer="0.3"/>
  <drawing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56</vt:i4>
      </vt:variant>
    </vt:vector>
  </HeadingPairs>
  <TitlesOfParts>
    <vt:vector size="57" baseType="lpstr">
      <vt:lpstr>exercise_pipeline</vt:lpstr>
      <vt:lpstr>exercise_pipeline!Bob_</vt:lpstr>
      <vt:lpstr>exercise_pipeline!calc_along_coord</vt:lpstr>
      <vt:lpstr>exercise_pipeline!calc_along_coord1</vt:lpstr>
      <vt:lpstr>exercise_pipeline!calc_flow_direction_</vt:lpstr>
      <vt:lpstr>exercise_pipeline!calc_flow_direction1_</vt:lpstr>
      <vt:lpstr>exercise_pipeline!calibr_fric</vt:lpstr>
      <vt:lpstr>exercise_pipeline!calibr_grav</vt:lpstr>
      <vt:lpstr>exercise_pipeline!calibr_type</vt:lpstr>
      <vt:lpstr>construction</vt:lpstr>
      <vt:lpstr>feed</vt:lpstr>
      <vt:lpstr>exercise_pipeline!flow_along_coord</vt:lpstr>
      <vt:lpstr>exercise_pipeline!flow_along_coord1</vt:lpstr>
      <vt:lpstr>exercise_pipeline!fw_</vt:lpstr>
      <vt:lpstr>exercise_pipeline!gamma_gas_</vt:lpstr>
      <vt:lpstr>exercise_pipeline!gamma_oil_</vt:lpstr>
      <vt:lpstr>exercise_pipeline!gamma_wat_</vt:lpstr>
      <vt:lpstr>exercise_pipeline!gas_only_</vt:lpstr>
      <vt:lpstr>H_from</vt:lpstr>
      <vt:lpstr>H_to</vt:lpstr>
      <vt:lpstr>exercise_pipeline!hcor</vt:lpstr>
      <vt:lpstr>exercise_pipeline!Hydr_corr_</vt:lpstr>
      <vt:lpstr>exercise_pipeline!inclinometry</vt:lpstr>
      <vt:lpstr>exercise_pipeline!input_0</vt:lpstr>
      <vt:lpstr>exercise_pipeline!input_1</vt:lpstr>
      <vt:lpstr>exercise_pipeline!input_2</vt:lpstr>
      <vt:lpstr>exercise_pipeline!input_3</vt:lpstr>
      <vt:lpstr>exercise_pipeline!input_5</vt:lpstr>
      <vt:lpstr>exercise_pipeline!input_6</vt:lpstr>
      <vt:lpstr>exercise_pipeline!input_7</vt:lpstr>
      <vt:lpstr>exercise_pipeline!input_Course</vt:lpstr>
      <vt:lpstr>exercise_pipeline!input_Date</vt:lpstr>
      <vt:lpstr>exercise_pipeline!input_Group</vt:lpstr>
      <vt:lpstr>exercise_pipeline!input_Notes</vt:lpstr>
      <vt:lpstr>exercise_pipeline!input_Student_Name</vt:lpstr>
      <vt:lpstr>exercise_pipeline!input_Version</vt:lpstr>
      <vt:lpstr>exercise_pipeline!Ksep</vt:lpstr>
      <vt:lpstr>exercise_pipeline!muob_</vt:lpstr>
      <vt:lpstr>exercise_pipeline!P0</vt:lpstr>
      <vt:lpstr>exercise_pipeline!P1_</vt:lpstr>
      <vt:lpstr>param</vt:lpstr>
      <vt:lpstr>exercise_pipeline!Pb_</vt:lpstr>
      <vt:lpstr>exercise_pipeline!Psep</vt:lpstr>
      <vt:lpstr>exercise_pipeline!PVT_corr_</vt:lpstr>
      <vt:lpstr>exercise_pipeline!PVTstr_</vt:lpstr>
      <vt:lpstr>exercise_pipeline!Qgas_free</vt:lpstr>
      <vt:lpstr>exercise_pipeline!qliq_</vt:lpstr>
      <vt:lpstr>exercise_pipeline!Rp_</vt:lpstr>
      <vt:lpstr>exercise_pipeline!Rsb_</vt:lpstr>
      <vt:lpstr>t_model</vt:lpstr>
      <vt:lpstr>exercise_pipeline!T0</vt:lpstr>
      <vt:lpstr>exercise_pipeline!T1_</vt:lpstr>
      <vt:lpstr>exercise_pipeline!temp_model</vt:lpstr>
      <vt:lpstr>exercise_pipeline!tempm</vt:lpstr>
      <vt:lpstr>exercise_pipeline!Tres_</vt:lpstr>
      <vt:lpstr>exercise_pipeline!Tsep</vt:lpstr>
      <vt:lpstr>znlf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Ринат Хабибуллин</dc:creator>
  <cp:lastModifiedBy>rnt</cp:lastModifiedBy>
  <dcterms:created xsi:type="dcterms:W3CDTF">2019-10-28T06:57:59Z</dcterms:created>
  <dcterms:modified xsi:type="dcterms:W3CDTF">2023-03-03T04:08:46Z</dcterms:modified>
</cp:coreProperties>
</file>