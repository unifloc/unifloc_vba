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AC56A67D-392B-42A3-B81B-3B54FB1E3366}" xr6:coauthVersionLast="46" xr6:coauthVersionMax="46" xr10:uidLastSave="{00000000-0000-0000-0000-000000000000}"/>
  <bookViews>
    <workbookView xWindow="-108" yWindow="-108" windowWidth="23256" windowHeight="14016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46" i="3" l="1" a="1"/>
  <c r="C38" i="3" a="1"/>
  <c r="C37" i="3" a="1"/>
  <c r="C34" i="3"/>
  <c r="G1" i="3"/>
  <c r="W46" i="3" l="1"/>
  <c r="C38" i="3"/>
  <c r="C37" i="3"/>
  <c r="I50" i="3"/>
  <c r="H50" i="3"/>
  <c r="E16" i="3"/>
  <c r="E15" i="3"/>
  <c r="E22" i="3"/>
  <c r="E14" i="3"/>
  <c r="E13" i="3"/>
  <c r="E12" i="3"/>
  <c r="E11" i="3"/>
  <c r="C35" i="3" a="1"/>
  <c r="C35" i="3" l="1"/>
  <c r="K46" i="3" a="1"/>
  <c r="K46" i="3" l="1"/>
  <c r="U56" i="3"/>
  <c r="V56" i="3" s="1"/>
  <c r="U57" i="3"/>
  <c r="V57" i="3" s="1"/>
  <c r="U51" i="3"/>
  <c r="V51" i="3" s="1"/>
  <c r="U60" i="3"/>
  <c r="V60" i="3" s="1"/>
  <c r="U62" i="3"/>
  <c r="V62" i="3" s="1"/>
  <c r="U52" i="3"/>
  <c r="V52" i="3" s="1"/>
  <c r="U59" i="3"/>
  <c r="V59" i="3" s="1"/>
  <c r="T60" i="3"/>
  <c r="T51" i="3"/>
  <c r="U55" i="3"/>
  <c r="V55" i="3" s="1"/>
  <c r="U66" i="3"/>
  <c r="V66" i="3" s="1"/>
  <c r="T59" i="3"/>
  <c r="U68" i="3"/>
  <c r="V68" i="3" s="1"/>
  <c r="T63" i="3"/>
  <c r="U65" i="3"/>
  <c r="V65" i="3" s="1"/>
  <c r="T62" i="3"/>
  <c r="T65" i="3"/>
  <c r="T53" i="3"/>
  <c r="T54" i="3"/>
  <c r="U61" i="3"/>
  <c r="V61" i="3" s="1"/>
  <c r="T55" i="3"/>
  <c r="T66" i="3"/>
  <c r="T61" i="3"/>
  <c r="T50" i="3"/>
  <c r="T57" i="3"/>
  <c r="U64" i="3"/>
  <c r="V64" i="3" s="1"/>
  <c r="T52" i="3"/>
  <c r="U54" i="3"/>
  <c r="V54" i="3" s="1"/>
  <c r="T56" i="3"/>
  <c r="U50" i="3"/>
  <c r="V50" i="3" s="1"/>
  <c r="T49" i="3"/>
  <c r="U49" i="3"/>
  <c r="V49" i="3" s="1"/>
  <c r="U63" i="3"/>
  <c r="V63" i="3" s="1"/>
  <c r="T67" i="3"/>
  <c r="T68" i="3"/>
  <c r="U58" i="3"/>
  <c r="V58" i="3" s="1"/>
  <c r="T58" i="3"/>
  <c r="U53" i="3"/>
  <c r="V53" i="3" s="1"/>
  <c r="U67" i="3"/>
  <c r="V67" i="3" s="1"/>
  <c r="T6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<sst xmlns="http://schemas.openxmlformats.org/spreadsheetml/2006/main" count="116" uniqueCount="92">
  <si>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</si>
  <si>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</si>
  <si>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</si>
  <si>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</si>
  <si>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</si>
  <si>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</si>
  <si>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</si>
  <si>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</si>
  <si>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</si>
  <si>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</si>
  <si>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</si>
  <si>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</si>
  <si>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</si>
  <si>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</si>
  <si>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</si>
  <si>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</si>
  <si>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</si>
  <si>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</si>
  <si>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</si>
  <si>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</si>
  <si>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</si>
  <si>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</si>
  <si>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</si>
  <si>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</si>
  <si>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</si>
  <si>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</si>
  <si>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</si>
  <si>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</si>
  <si>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</si>
  <si>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</si>
  <si>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</si>
  <si>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</si>
  <si>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</si>
  <si>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</si>
  <si>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</si>
  <si>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</si>
  <si>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</si>
  <si>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</si>
  <si>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</si>
  <si>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</si>
  <si>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</si>
  <si>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</si>
  <si>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</si>
  <si>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</si>
  <si>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</si>
  <si>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</si>
  <si>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</si>
  <si>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</si>
  <si>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</si>
  <si>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</si>
  <si>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</si>
  <si>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</si>
  <si>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</si>
  <si>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</si>
  <si>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</si>
  <si>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сверху вниз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</si>
  <si>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</si>
  <si>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</si>
  <si>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</si>
  <si>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</si>
  <si>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</si>
  <si>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</si>
  <si>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</si>
  <si>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</si>
  <si>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</si>
  <si>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</si>
  <si>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</si>
  <si>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</si>
  <si>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</si>
  <si>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</si>
  <si>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</si>
  <si>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</si>
  <si>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</si>
  <si>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</si>
  <si>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</si>
  <si>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</si>
  <si>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</si>
  <si>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</si>
  <si>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</si>
  <si>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</si>
  <si>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</si>
  <si>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</si>
  <si>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</si>
  <si>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</si>
  <si>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</si>
  <si>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</si>
  <si>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</si>
  <si>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</si>
  <si>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</si>
  <si>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</si>
  <si>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расчет по коорд</t>
  </si>
  <si>
    <t>поток по коорд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</si>
</sst>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exercise_pipeline!$T$48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exercise_pipeline!$T$49:$T$68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4.263157894736878</c:v>
                </c:pt>
                <c:pt idx="11">
                  <c:v>10.105263157894797</c:v>
                </c:pt>
                <c:pt idx="12">
                  <c:v>18.368421052631675</c:v>
                </c:pt>
                <c:pt idx="13">
                  <c:v>29.052631578947285</c:v>
                </c:pt>
                <c:pt idx="14">
                  <c:v>42.157894736842081</c:v>
                </c:pt>
                <c:pt idx="15">
                  <c:v>57.684210526315837</c:v>
                </c:pt>
                <c:pt idx="16">
                  <c:v>75.631578947368325</c:v>
                </c:pt>
                <c:pt idx="17">
                  <c:v>96</c:v>
                </c:pt>
                <c:pt idx="18">
                  <c:v>118.78947368421041</c:v>
                </c:pt>
                <c:pt idx="19">
                  <c:v>144</c:v>
                </c:pt>
              </c:numCache>
            </c:numRef>
          </c:xVal>
          <c:yVal>
            <c:numRef>
              <c:f>exercise_pipeline!$M$49:$M$68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1101</c:v>
                </c:pt>
                <c:pt idx="11">
                  <c:v>1205.6842105263158</c:v>
                </c:pt>
                <c:pt idx="12">
                  <c:v>1307.9473684210525</c:v>
                </c:pt>
                <c:pt idx="13">
                  <c:v>1407.7894736842106</c:v>
                </c:pt>
                <c:pt idx="14">
                  <c:v>1505.2105263157896</c:v>
                </c:pt>
                <c:pt idx="15">
                  <c:v>1600.2105263157894</c:v>
                </c:pt>
                <c:pt idx="16">
                  <c:v>1692.7894736842106</c:v>
                </c:pt>
                <c:pt idx="17">
                  <c:v>1782.9473684210527</c:v>
                </c:pt>
                <c:pt idx="18">
                  <c:v>1870.6842105263158</c:v>
                </c:pt>
                <c:pt idx="19">
                  <c:v>1956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03-4A45-AF5B-3C0E58E40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exercise_pipeline!$T$48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exercise_pipeline!$V$49:$V$68</c:f>
              <c:numCache>
                <c:formatCode>General</c:formatCode>
                <c:ptCount val="20"/>
                <c:pt idx="0">
                  <c:v>3.1E-2</c:v>
                </c:pt>
                <c:pt idx="1">
                  <c:v>3.1E-2</c:v>
                </c:pt>
                <c:pt idx="2">
                  <c:v>3.1E-2</c:v>
                </c:pt>
                <c:pt idx="3">
                  <c:v>3.1E-2</c:v>
                </c:pt>
                <c:pt idx="4">
                  <c:v>3.1E-2</c:v>
                </c:pt>
                <c:pt idx="5">
                  <c:v>3.1E-2</c:v>
                </c:pt>
                <c:pt idx="6">
                  <c:v>3.1E-2</c:v>
                </c:pt>
                <c:pt idx="7">
                  <c:v>3.1E-2</c:v>
                </c:pt>
                <c:pt idx="8">
                  <c:v>3.1E-2</c:v>
                </c:pt>
                <c:pt idx="9">
                  <c:v>3.1E-2</c:v>
                </c:pt>
                <c:pt idx="10">
                  <c:v>3.1E-2</c:v>
                </c:pt>
                <c:pt idx="11">
                  <c:v>3.1E-2</c:v>
                </c:pt>
                <c:pt idx="12">
                  <c:v>3.1E-2</c:v>
                </c:pt>
                <c:pt idx="13">
                  <c:v>3.1E-2</c:v>
                </c:pt>
                <c:pt idx="14">
                  <c:v>3.1E-2</c:v>
                </c:pt>
                <c:pt idx="15">
                  <c:v>3.1E-2</c:v>
                </c:pt>
                <c:pt idx="16">
                  <c:v>3.1E-2</c:v>
                </c:pt>
                <c:pt idx="17">
                  <c:v>3.1E-2</c:v>
                </c:pt>
                <c:pt idx="18">
                  <c:v>3.1E-2</c:v>
                </c:pt>
                <c:pt idx="19">
                  <c:v>6.25E-2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8-4F63-BF83-19548A9464D7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exercise_pipeline!$U$49:$U$68</c:f>
              <c:numCache>
                <c:formatCode>General</c:formatCode>
                <c:ptCount val="20"/>
                <c:pt idx="0">
                  <c:v>-3.1E-2</c:v>
                </c:pt>
                <c:pt idx="1">
                  <c:v>-3.1E-2</c:v>
                </c:pt>
                <c:pt idx="2">
                  <c:v>-3.1E-2</c:v>
                </c:pt>
                <c:pt idx="3">
                  <c:v>-3.1E-2</c:v>
                </c:pt>
                <c:pt idx="4">
                  <c:v>-3.1E-2</c:v>
                </c:pt>
                <c:pt idx="5">
                  <c:v>-3.1E-2</c:v>
                </c:pt>
                <c:pt idx="6">
                  <c:v>-3.1E-2</c:v>
                </c:pt>
                <c:pt idx="7">
                  <c:v>-3.1E-2</c:v>
                </c:pt>
                <c:pt idx="8">
                  <c:v>-3.1E-2</c:v>
                </c:pt>
                <c:pt idx="9">
                  <c:v>-3.1E-2</c:v>
                </c:pt>
                <c:pt idx="10">
                  <c:v>-3.1E-2</c:v>
                </c:pt>
                <c:pt idx="11">
                  <c:v>-3.1E-2</c:v>
                </c:pt>
                <c:pt idx="12">
                  <c:v>-3.1E-2</c:v>
                </c:pt>
                <c:pt idx="13">
                  <c:v>-3.1E-2</c:v>
                </c:pt>
                <c:pt idx="14">
                  <c:v>-3.1E-2</c:v>
                </c:pt>
                <c:pt idx="15">
                  <c:v>-3.1E-2</c:v>
                </c:pt>
                <c:pt idx="16">
                  <c:v>-3.1E-2</c:v>
                </c:pt>
                <c:pt idx="17">
                  <c:v>-3.1E-2</c:v>
                </c:pt>
                <c:pt idx="18">
                  <c:v>-3.1E-2</c:v>
                </c:pt>
                <c:pt idx="19">
                  <c:v>-6.25E-2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8-4F63-BF83-19548A946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exercise_pipeline!$K$45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exercise_pipeline!$N$49:$N$68</c:f>
              <c:numCache>
                <c:formatCode>0</c:formatCode>
                <c:ptCount val="20"/>
                <c:pt idx="0">
                  <c:v>80</c:v>
                </c:pt>
                <c:pt idx="1">
                  <c:v>89.743574600277555</c:v>
                </c:pt>
                <c:pt idx="2">
                  <c:v>99.509923788480037</c:v>
                </c:pt>
                <c:pt idx="3">
                  <c:v>109.2929033680346</c:v>
                </c:pt>
                <c:pt idx="4">
                  <c:v>119.08808367757287</c:v>
                </c:pt>
                <c:pt idx="5">
                  <c:v>128.89232499277992</c:v>
                </c:pt>
                <c:pt idx="6">
                  <c:v>138.70334658969907</c:v>
                </c:pt>
                <c:pt idx="7">
                  <c:v>148.51921075280532</c:v>
                </c:pt>
                <c:pt idx="8">
                  <c:v>158.33869810907686</c:v>
                </c:pt>
                <c:pt idx="9">
                  <c:v>168.04435217363027</c:v>
                </c:pt>
                <c:pt idx="10">
                  <c:v>177.39786466839593</c:v>
                </c:pt>
                <c:pt idx="11">
                  <c:v>186.56425848527408</c:v>
                </c:pt>
                <c:pt idx="12">
                  <c:v>195.49848047728096</c:v>
                </c:pt>
                <c:pt idx="13">
                  <c:v>204.20058593701549</c:v>
                </c:pt>
                <c:pt idx="14">
                  <c:v>212.67054443550819</c:v>
                </c:pt>
                <c:pt idx="15">
                  <c:v>220.90074353824266</c:v>
                </c:pt>
                <c:pt idx="16">
                  <c:v>228.89618457421392</c:v>
                </c:pt>
                <c:pt idx="17">
                  <c:v>236.65936133316663</c:v>
                </c:pt>
                <c:pt idx="18">
                  <c:v>244.19025412950441</c:v>
                </c:pt>
                <c:pt idx="19">
                  <c:v>251.58427825865087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ser>
          <c:idx val="1"/>
          <c:order val="1"/>
          <c:tx>
            <c:strRef>
              <c:f>exercise_pipeline!$W$45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exercise_pipeline!$Z$49:$Z$68</c:f>
              <c:numCache>
                <c:formatCode>0</c:formatCode>
                <c:ptCount val="20"/>
                <c:pt idx="0">
                  <c:v>80</c:v>
                </c:pt>
                <c:pt idx="1">
                  <c:v>89.743574600277555</c:v>
                </c:pt>
                <c:pt idx="2">
                  <c:v>99.509923788480037</c:v>
                </c:pt>
                <c:pt idx="3">
                  <c:v>109.2929033680346</c:v>
                </c:pt>
                <c:pt idx="4">
                  <c:v>119.08808367757287</c:v>
                </c:pt>
                <c:pt idx="5">
                  <c:v>128.89232499277992</c:v>
                </c:pt>
                <c:pt idx="6">
                  <c:v>138.70334658969907</c:v>
                </c:pt>
                <c:pt idx="7">
                  <c:v>148.51921075280532</c:v>
                </c:pt>
                <c:pt idx="8">
                  <c:v>158.33869810907686</c:v>
                </c:pt>
                <c:pt idx="9">
                  <c:v>168.04435217363027</c:v>
                </c:pt>
                <c:pt idx="10">
                  <c:v>177.39786466839593</c:v>
                </c:pt>
                <c:pt idx="11">
                  <c:v>186.56425848527408</c:v>
                </c:pt>
                <c:pt idx="12">
                  <c:v>195.49848047728096</c:v>
                </c:pt>
                <c:pt idx="13">
                  <c:v>204.20058593701549</c:v>
                </c:pt>
                <c:pt idx="14">
                  <c:v>212.67054443550819</c:v>
                </c:pt>
                <c:pt idx="15">
                  <c:v>220.90074353824266</c:v>
                </c:pt>
                <c:pt idx="16">
                  <c:v>228.89618457421392</c:v>
                </c:pt>
                <c:pt idx="17">
                  <c:v>236.65936133316663</c:v>
                </c:pt>
                <c:pt idx="18">
                  <c:v>244.19025412950441</c:v>
                </c:pt>
                <c:pt idx="19">
                  <c:v>251.58427825865087</c:v>
                </c:pt>
              </c:numCache>
            </c:numRef>
          </c:xVal>
          <c:yVal>
            <c:numRef>
              <c:f>exercise_pipeline!$X$49:$X$68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exercise_pipeline!$K$45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exercise_pipeline!$O$49:$O$68</c:f>
              <c:numCache>
                <c:formatCode>0</c:formatCode>
                <c:ptCount val="20"/>
                <c:pt idx="0">
                  <c:v>20</c:v>
                </c:pt>
                <c:pt idx="1">
                  <c:v>21.105263157894736</c:v>
                </c:pt>
                <c:pt idx="2">
                  <c:v>22.210526315789473</c:v>
                </c:pt>
                <c:pt idx="3">
                  <c:v>23.315789473684209</c:v>
                </c:pt>
                <c:pt idx="4">
                  <c:v>24.421052631578949</c:v>
                </c:pt>
                <c:pt idx="5">
                  <c:v>25.526315789473685</c:v>
                </c:pt>
                <c:pt idx="6">
                  <c:v>26.631578947368421</c:v>
                </c:pt>
                <c:pt idx="7">
                  <c:v>27.736842105263158</c:v>
                </c:pt>
                <c:pt idx="8">
                  <c:v>28.842105263157894</c:v>
                </c:pt>
                <c:pt idx="9">
                  <c:v>29.94736842105263</c:v>
                </c:pt>
                <c:pt idx="10">
                  <c:v>31.01</c:v>
                </c:pt>
                <c:pt idx="11">
                  <c:v>32.056842105263158</c:v>
                </c:pt>
                <c:pt idx="12">
                  <c:v>33.079473684210527</c:v>
                </c:pt>
                <c:pt idx="13">
                  <c:v>34.077894736842104</c:v>
                </c:pt>
                <c:pt idx="14">
                  <c:v>35.052105263157898</c:v>
                </c:pt>
                <c:pt idx="15">
                  <c:v>36.002105263157894</c:v>
                </c:pt>
                <c:pt idx="16">
                  <c:v>36.927894736842106</c:v>
                </c:pt>
                <c:pt idx="17">
                  <c:v>37.829473684210527</c:v>
                </c:pt>
                <c:pt idx="18">
                  <c:v>38.706842105263156</c:v>
                </c:pt>
                <c:pt idx="19">
                  <c:v>39.56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C4-42F2-A47B-A1EA80C54F7F}"/>
            </c:ext>
          </c:extLst>
        </c:ser>
        <c:ser>
          <c:idx val="1"/>
          <c:order val="1"/>
          <c:tx>
            <c:strRef>
              <c:f>exercise_pipeline!$R$48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exercise_pipeline!$R$49:$R$68</c:f>
              <c:numCache>
                <c:formatCode>0</c:formatCode>
                <c:ptCount val="20"/>
                <c:pt idx="0">
                  <c:v>20</c:v>
                </c:pt>
                <c:pt idx="1">
                  <c:v>21.105263157894736</c:v>
                </c:pt>
                <c:pt idx="2">
                  <c:v>22.210526315789473</c:v>
                </c:pt>
                <c:pt idx="3">
                  <c:v>23.315789473684209</c:v>
                </c:pt>
                <c:pt idx="4">
                  <c:v>24.421052631578949</c:v>
                </c:pt>
                <c:pt idx="5">
                  <c:v>25.526315789473685</c:v>
                </c:pt>
                <c:pt idx="6">
                  <c:v>26.631578947368421</c:v>
                </c:pt>
                <c:pt idx="7">
                  <c:v>27.736842105263158</c:v>
                </c:pt>
                <c:pt idx="8">
                  <c:v>28.842105263157894</c:v>
                </c:pt>
                <c:pt idx="9">
                  <c:v>29.94736842105263</c:v>
                </c:pt>
                <c:pt idx="10">
                  <c:v>31.01</c:v>
                </c:pt>
                <c:pt idx="11">
                  <c:v>32.056842105263158</c:v>
                </c:pt>
                <c:pt idx="12">
                  <c:v>33.079473684210527</c:v>
                </c:pt>
                <c:pt idx="13">
                  <c:v>34.077894736842104</c:v>
                </c:pt>
                <c:pt idx="14">
                  <c:v>35.052105263157898</c:v>
                </c:pt>
                <c:pt idx="15">
                  <c:v>36.002105263157894</c:v>
                </c:pt>
                <c:pt idx="16">
                  <c:v>36.927894736842106</c:v>
                </c:pt>
                <c:pt idx="17">
                  <c:v>37.829473684210527</c:v>
                </c:pt>
                <c:pt idx="18">
                  <c:v>38.706842105263156</c:v>
                </c:pt>
                <c:pt idx="19">
                  <c:v>39.56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2"/>
          <c:order val="2"/>
          <c:tx>
            <c:strRef>
              <c:f>exercise_pipeline!$W$45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exercise_pipeline!$AA$49:$AA$68</c:f>
              <c:numCache>
                <c:formatCode>0</c:formatCode>
                <c:ptCount val="20"/>
                <c:pt idx="0">
                  <c:v>20</c:v>
                </c:pt>
                <c:pt idx="1">
                  <c:v>21.105263157894736</c:v>
                </c:pt>
                <c:pt idx="2">
                  <c:v>22.210526315789473</c:v>
                </c:pt>
                <c:pt idx="3">
                  <c:v>23.315789473684209</c:v>
                </c:pt>
                <c:pt idx="4">
                  <c:v>24.421052631578949</c:v>
                </c:pt>
                <c:pt idx="5">
                  <c:v>25.526315789473685</c:v>
                </c:pt>
                <c:pt idx="6">
                  <c:v>26.631578947368421</c:v>
                </c:pt>
                <c:pt idx="7">
                  <c:v>27.736842105263158</c:v>
                </c:pt>
                <c:pt idx="8">
                  <c:v>28.842105263157894</c:v>
                </c:pt>
                <c:pt idx="9">
                  <c:v>29.94736842105263</c:v>
                </c:pt>
                <c:pt idx="10">
                  <c:v>31.01</c:v>
                </c:pt>
                <c:pt idx="11">
                  <c:v>32.056842105263158</c:v>
                </c:pt>
                <c:pt idx="12">
                  <c:v>33.079473684210527</c:v>
                </c:pt>
                <c:pt idx="13">
                  <c:v>34.077894736842104</c:v>
                </c:pt>
                <c:pt idx="14">
                  <c:v>35.052105263157898</c:v>
                </c:pt>
                <c:pt idx="15">
                  <c:v>36.002105263157894</c:v>
                </c:pt>
                <c:pt idx="16">
                  <c:v>36.927894736842106</c:v>
                </c:pt>
                <c:pt idx="17">
                  <c:v>37.829473684210527</c:v>
                </c:pt>
                <c:pt idx="18">
                  <c:v>38.706842105263156</c:v>
                </c:pt>
                <c:pt idx="19">
                  <c:v>39.56</c:v>
                </c:pt>
              </c:numCache>
            </c:numRef>
          </c:xVal>
          <c:yVal>
            <c:numRef>
              <c:f>exercise_pipeline!$X$49:$X$68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C4-42F2-A47B-A1EA80C5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139710</xdr:colOff>
      <xdr:row>68</xdr:row>
      <xdr:rowOff>99655</xdr:rowOff>
    </xdr:from>
    <xdr:to>
      <xdr:col>15</xdr:col>
      <xdr:colOff>219832</xdr:colOff>
      <xdr:row>92</xdr:row>
      <xdr:rowOff>104418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3D2F34-1EB1-46AB-85AE-B9B3D95F7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330211</xdr:colOff>
      <xdr:row>68</xdr:row>
      <xdr:rowOff>88448</xdr:rowOff>
    </xdr:from>
    <xdr:to>
      <xdr:col>19</xdr:col>
      <xdr:colOff>487092</xdr:colOff>
      <xdr:row>92</xdr:row>
      <xdr:rowOff>83687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A83D887-C507-4913-8E90-BFADBF41D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554658</xdr:colOff>
      <xdr:row>68</xdr:row>
      <xdr:rowOff>104978</xdr:rowOff>
    </xdr:from>
    <xdr:to>
      <xdr:col>25</xdr:col>
      <xdr:colOff>223192</xdr:colOff>
      <xdr:row>92</xdr:row>
      <xdr:rowOff>81166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286506</xdr:colOff>
      <xdr:row>68</xdr:row>
      <xdr:rowOff>106659</xdr:rowOff>
    </xdr:from>
    <xdr:to>
      <xdr:col>30</xdr:col>
      <xdr:colOff>569353</xdr:colOff>
      <xdr:row>92</xdr:row>
      <xdr:rowOff>82847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5370905" y="598092"/>
          <a:ext cx="4214969" cy="4757679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ipe"/>
      <definedName name="encode_PVT"/>
      <definedName name="encode_t_model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BD78"/>
  <sheetViews>
    <sheetView tabSelected="1" zoomScale="70" zoomScaleNormal="70" workbookViewId="0">
      <selection activeCell="W46" sqref="W46"/>
    </sheetView>
  </sheetViews>
  <sheetFormatPr defaultRowHeight="14.4" x14ac:dyDescent="0.3"/>
  <cols>
    <col min="2" max="2" width="14.88671875" customWidth="1"/>
    <col min="7" max="7" width="11" customWidth="1"/>
    <col min="9" max="9" width="10.44140625" customWidth="1"/>
    <col min="15" max="15" width="10.6640625" bestFit="1" customWidth="1"/>
    <col min="16" max="17" width="9.5546875" bestFit="1" customWidth="1"/>
    <col min="18" max="20" width="9.33203125" bestFit="1" customWidth="1"/>
  </cols>
  <sheetData>
    <row r="1" spans="1:12" x14ac:dyDescent="0.3">
      <c r="A1" s="1" t="s">
        <v>0</v>
      </c>
      <c r="F1" t="s">
        <v>1</v>
      </c>
      <c r="G1" t="str">
        <f>[1]!unf_Version()</f>
        <v>7.26</v>
      </c>
      <c r="H1" t="s">
        <v>59</v>
      </c>
      <c r="I1" s="33">
        <v>44265</v>
      </c>
      <c r="J1" s="34"/>
      <c r="K1" s="34"/>
      <c r="L1" s="34"/>
    </row>
    <row r="2" spans="1:12" x14ac:dyDescent="0.3">
      <c r="A2" t="s">
        <v>73</v>
      </c>
      <c r="H2" t="s">
        <v>60</v>
      </c>
      <c r="I2" s="35">
        <v>7.26</v>
      </c>
      <c r="J2" s="34"/>
      <c r="K2" s="34"/>
      <c r="L2" s="34"/>
    </row>
    <row r="3" spans="1:12" x14ac:dyDescent="0.3">
      <c r="A3" s="36" t="s">
        <v>61</v>
      </c>
      <c r="B3" s="57" t="s">
        <v>62</v>
      </c>
      <c r="C3" s="58"/>
      <c r="D3" s="58"/>
      <c r="E3" s="59"/>
      <c r="H3" t="s">
        <v>63</v>
      </c>
      <c r="I3" s="34" t="s">
        <v>62</v>
      </c>
      <c r="J3" s="34"/>
      <c r="K3" s="34"/>
      <c r="L3" s="34"/>
    </row>
    <row r="4" spans="1:12" x14ac:dyDescent="0.3">
      <c r="A4" s="36" t="s">
        <v>64</v>
      </c>
      <c r="B4" s="57" t="s">
        <v>65</v>
      </c>
      <c r="C4" s="58"/>
      <c r="D4" s="58"/>
      <c r="E4" s="59"/>
      <c r="H4" t="s">
        <v>66</v>
      </c>
      <c r="I4" s="34" t="s">
        <v>65</v>
      </c>
      <c r="J4" s="34"/>
      <c r="K4" s="34"/>
      <c r="L4" s="34"/>
    </row>
    <row r="5" spans="1:12" x14ac:dyDescent="0.3">
      <c r="A5" s="36" t="s">
        <v>67</v>
      </c>
      <c r="B5" s="57" t="s">
        <v>68</v>
      </c>
      <c r="C5" s="58"/>
      <c r="D5" s="58"/>
      <c r="E5" s="59"/>
      <c r="H5" t="s">
        <v>69</v>
      </c>
      <c r="I5" s="34" t="s">
        <v>68</v>
      </c>
      <c r="J5" s="34"/>
      <c r="K5" s="34"/>
      <c r="L5" s="34"/>
    </row>
    <row r="6" spans="1:12" x14ac:dyDescent="0.3">
      <c r="A6" s="37" t="s">
        <v>70</v>
      </c>
      <c r="B6" s="60" t="s">
        <v>71</v>
      </c>
      <c r="C6" s="61"/>
      <c r="D6" s="61"/>
      <c r="E6" s="62"/>
      <c r="H6" s="38" t="s">
        <v>72</v>
      </c>
      <c r="I6" s="39" t="s">
        <v>71</v>
      </c>
      <c r="J6" s="39"/>
      <c r="K6" s="39"/>
      <c r="L6" s="39"/>
    </row>
    <row r="7" spans="1:12" x14ac:dyDescent="0.3">
      <c r="A7" s="40"/>
      <c r="B7" s="63"/>
      <c r="C7" s="64"/>
      <c r="D7" s="64"/>
      <c r="E7" s="65"/>
      <c r="H7" s="38"/>
      <c r="I7" s="39"/>
      <c r="J7" s="39"/>
      <c r="K7" s="39"/>
      <c r="L7" s="39"/>
    </row>
    <row r="8" spans="1:12" x14ac:dyDescent="0.3">
      <c r="A8" s="41"/>
      <c r="B8" s="66"/>
      <c r="C8" s="67"/>
      <c r="D8" s="67"/>
      <c r="E8" s="68"/>
      <c r="H8" s="38"/>
      <c r="I8" s="39"/>
      <c r="J8" s="39"/>
      <c r="K8" s="39"/>
      <c r="L8" s="39"/>
    </row>
    <row r="10" spans="1:12" x14ac:dyDescent="0.3">
      <c r="A10" s="1" t="s">
        <v>2</v>
      </c>
    </row>
    <row r="11" spans="1:12" ht="16.8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6.8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6.8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6.8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5.6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5.6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6.8" x14ac:dyDescent="0.35">
      <c r="B17" s="7" t="s">
        <v>17</v>
      </c>
      <c r="C17" s="3">
        <v>1.2</v>
      </c>
      <c r="D17" s="6" t="s">
        <v>8</v>
      </c>
    </row>
    <row r="18" spans="1:17" ht="15.6" x14ac:dyDescent="0.35">
      <c r="B18" s="9" t="s">
        <v>18</v>
      </c>
      <c r="C18" s="3">
        <v>1</v>
      </c>
      <c r="D18" s="4" t="s">
        <v>19</v>
      </c>
    </row>
    <row r="20" spans="1:17" x14ac:dyDescent="0.3">
      <c r="A20" s="1" t="s">
        <v>20</v>
      </c>
      <c r="N20" s="1" t="s">
        <v>74</v>
      </c>
    </row>
    <row r="21" spans="1:17" ht="16.8" x14ac:dyDescent="0.35">
      <c r="B21" s="9" t="s">
        <v>21</v>
      </c>
      <c r="C21" s="3">
        <v>500</v>
      </c>
      <c r="D21" s="6" t="s">
        <v>22</v>
      </c>
      <c r="O21" s="9" t="s">
        <v>75</v>
      </c>
      <c r="P21" s="3">
        <v>0</v>
      </c>
      <c r="Q21" s="6"/>
    </row>
    <row r="22" spans="1:17" ht="16.8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O22" s="9" t="s">
        <v>76</v>
      </c>
      <c r="P22" s="3">
        <v>50</v>
      </c>
      <c r="Q22" s="4" t="s">
        <v>12</v>
      </c>
    </row>
    <row r="23" spans="1:17" ht="15.6" x14ac:dyDescent="0.35">
      <c r="B23" s="9" t="s">
        <v>23</v>
      </c>
      <c r="C23" s="3">
        <v>100</v>
      </c>
      <c r="D23" s="4" t="s">
        <v>24</v>
      </c>
      <c r="O23" s="9" t="s">
        <v>77</v>
      </c>
      <c r="P23" s="3">
        <v>30</v>
      </c>
      <c r="Q23" s="4" t="s">
        <v>15</v>
      </c>
    </row>
    <row r="24" spans="1:17" ht="16.8" x14ac:dyDescent="0.35">
      <c r="B24" s="9" t="s">
        <v>49</v>
      </c>
      <c r="C24" s="3">
        <v>1000</v>
      </c>
      <c r="D24" s="6" t="s">
        <v>50</v>
      </c>
    </row>
    <row r="25" spans="1:17" x14ac:dyDescent="0.3">
      <c r="F25" s="54" t="s">
        <v>78</v>
      </c>
      <c r="G25" s="55"/>
      <c r="H25" s="3">
        <v>0</v>
      </c>
    </row>
    <row r="26" spans="1:17" ht="18" customHeight="1" x14ac:dyDescent="0.3">
      <c r="F26" s="54" t="s">
        <v>79</v>
      </c>
      <c r="G26" s="55"/>
      <c r="H26" s="3">
        <v>0</v>
      </c>
    </row>
    <row r="27" spans="1:17" ht="15.75" customHeight="1" x14ac:dyDescent="0.3">
      <c r="F27" s="54" t="s">
        <v>80</v>
      </c>
      <c r="G27" s="55"/>
      <c r="H27" s="3">
        <v>0</v>
      </c>
    </row>
    <row r="28" spans="1:17" ht="15" customHeight="1" x14ac:dyDescent="0.3">
      <c r="A28" s="48" t="s">
        <v>25</v>
      </c>
      <c r="B28" s="10"/>
      <c r="F28" s="54" t="s">
        <v>81</v>
      </c>
      <c r="G28" s="55"/>
      <c r="H28" s="3">
        <v>0</v>
      </c>
    </row>
    <row r="29" spans="1:17" ht="15" customHeight="1" x14ac:dyDescent="0.3">
      <c r="B29" s="9" t="s">
        <v>28</v>
      </c>
      <c r="C29" s="42">
        <v>80</v>
      </c>
      <c r="D29" s="6" t="s">
        <v>12</v>
      </c>
      <c r="F29" s="54" t="s">
        <v>86</v>
      </c>
      <c r="G29" s="55"/>
      <c r="H29" s="3">
        <v>0</v>
      </c>
    </row>
    <row r="30" spans="1:17" x14ac:dyDescent="0.3">
      <c r="B30" s="9" t="s">
        <v>29</v>
      </c>
      <c r="C30" s="42">
        <v>180</v>
      </c>
      <c r="D30" s="6" t="s">
        <v>12</v>
      </c>
      <c r="F30" s="56" t="s">
        <v>82</v>
      </c>
      <c r="G30" s="56"/>
    </row>
    <row r="31" spans="1:17" ht="15" customHeight="1" x14ac:dyDescent="0.3">
      <c r="B31" s="9" t="s">
        <v>30</v>
      </c>
      <c r="C31" s="3">
        <v>50</v>
      </c>
      <c r="D31" s="6" t="s">
        <v>31</v>
      </c>
      <c r="F31" s="54" t="s">
        <v>83</v>
      </c>
      <c r="G31" s="55"/>
      <c r="H31" s="3">
        <v>1</v>
      </c>
    </row>
    <row r="32" spans="1:17" ht="15" customHeight="1" x14ac:dyDescent="0.3">
      <c r="B32" s="9" t="s">
        <v>32</v>
      </c>
      <c r="C32" s="3">
        <v>50</v>
      </c>
      <c r="D32" s="6" t="s">
        <v>31</v>
      </c>
      <c r="F32" s="54" t="s">
        <v>84</v>
      </c>
      <c r="G32" s="55"/>
      <c r="H32" s="3">
        <v>1</v>
      </c>
    </row>
    <row r="34" spans="1:31" x14ac:dyDescent="0.3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2"/>
    </row>
    <row r="35" spans="1:31" x14ac:dyDescent="0.3">
      <c r="B35" s="11" t="s">
        <v>87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{"gamma_gas":0.8,"gamma_oil":0.87,"gamma_wat":1,"rsb_m3m3":80,"pb_atma":120,"t_res_C":100,"bob_m3m3":1.2,"muob_cP":1,"PVT_corr_set":0,"q_liq_sm3day":500,"fw_perc":100,"rp_m3m3":150,"q_gas_free_sm3day":1000}</v>
      </c>
      <c r="D35" s="12"/>
      <c r="E35" s="12"/>
      <c r="F35" s="12"/>
      <c r="G35" s="12"/>
      <c r="H35" s="12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2"/>
    </row>
    <row r="37" spans="1:31" ht="28.8" x14ac:dyDescent="0.3">
      <c r="B37" s="11" t="s">
        <v>88</v>
      </c>
      <c r="C37" s="12" t="str" cm="1">
        <f t="array" ref="C37">[1]!encode_t_model(1,E56:F57)</f>
        <v>{"t_model":1,"t_list_C":{"hvert_m":[0,1500],"t_C":[20,35]}}</v>
      </c>
      <c r="D37" s="12"/>
      <c r="E37" s="12"/>
      <c r="F37" s="12"/>
      <c r="G37" s="12"/>
      <c r="H37" s="12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2"/>
    </row>
    <row r="38" spans="1:31" x14ac:dyDescent="0.3">
      <c r="B38" s="11" t="s">
        <v>89</v>
      </c>
      <c r="C38" s="12" t="str" cm="1">
        <f t="array" ref="C38">[1]!encode_pipe(B56:C68,H56:I58)</f>
        <v>{"h_list_m":{"hmes_m":[0,1000,1100,1200,1300,1400,1500,1600,1700,1800,1900,2000,2100],"hvert_m":[0,1000,1096,1191,1284,1375,1464,1551,1636,1719,1800,1879,1956]},"diam_list_mm":{"hmes_m":[0,2100],"diam_int_mm":[62,125]}}</v>
      </c>
      <c r="D38" s="12"/>
      <c r="E38" s="12"/>
      <c r="F38" s="12"/>
      <c r="G38" s="12"/>
      <c r="H38" s="12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2"/>
    </row>
    <row r="40" spans="1:31" ht="14.4" customHeight="1" x14ac:dyDescent="0.3">
      <c r="I40" s="53"/>
      <c r="K40" s="54" t="s">
        <v>90</v>
      </c>
      <c r="L40" s="55"/>
      <c r="M40" s="3">
        <v>1</v>
      </c>
    </row>
    <row r="41" spans="1:31" ht="14.4" customHeight="1" x14ac:dyDescent="0.3">
      <c r="I41" s="53"/>
      <c r="K41" s="54" t="s">
        <v>91</v>
      </c>
      <c r="L41" s="55"/>
      <c r="M41" s="3">
        <v>1</v>
      </c>
    </row>
    <row r="45" spans="1:31" x14ac:dyDescent="0.3">
      <c r="A45" s="49" t="s">
        <v>34</v>
      </c>
      <c r="B45" s="50"/>
      <c r="C45" s="50"/>
      <c r="D45" s="50"/>
      <c r="F45" s="13" t="s">
        <v>53</v>
      </c>
      <c r="G45" s="14"/>
      <c r="H45" s="14"/>
      <c r="K45" t="s">
        <v>55</v>
      </c>
      <c r="W45" t="s">
        <v>56</v>
      </c>
    </row>
    <row r="46" spans="1:31" ht="15.6" x14ac:dyDescent="0.35">
      <c r="B46" s="6" t="s">
        <v>35</v>
      </c>
      <c r="C46" s="51">
        <v>3500</v>
      </c>
      <c r="D46" s="52" t="s">
        <v>26</v>
      </c>
      <c r="K46" s="32" cm="1">
        <f t="array" ref="K46:S68">[1]!MF_pipe_p_atma(P0,T0,C38,C35,C37,M40,M41)</f>
        <v>251.58427825865087</v>
      </c>
      <c r="L46" s="23">
        <v>39.56</v>
      </c>
      <c r="M46" s="23">
        <v>80</v>
      </c>
      <c r="N46" s="23">
        <v>20</v>
      </c>
      <c r="O46" s="23">
        <v>251.58427825865087</v>
      </c>
      <c r="P46" s="23">
        <v>39.56</v>
      </c>
      <c r="Q46" s="23">
        <v>1</v>
      </c>
      <c r="R46" s="23">
        <v>1</v>
      </c>
      <c r="S46" s="24">
        <v>1000</v>
      </c>
      <c r="T46" s="14"/>
      <c r="U46" s="14"/>
      <c r="V46" s="14"/>
      <c r="W46" s="32" cm="1">
        <f t="array" ref="W46:AE68">[1]!MF_pipe_p_atma(P0,T0,C38,C35,C37,M40,M41)</f>
        <v>251.58427825865087</v>
      </c>
      <c r="X46" s="23">
        <v>39.56</v>
      </c>
      <c r="Y46" s="23">
        <v>80</v>
      </c>
      <c r="Z46" s="23">
        <v>20</v>
      </c>
      <c r="AA46" s="23">
        <v>251.58427825865087</v>
      </c>
      <c r="AB46" s="23">
        <v>39.56</v>
      </c>
      <c r="AC46" s="23">
        <v>1</v>
      </c>
      <c r="AD46" s="23">
        <v>1</v>
      </c>
      <c r="AE46" s="24">
        <v>1000</v>
      </c>
    </row>
    <row r="47" spans="1:31" ht="18" customHeight="1" x14ac:dyDescent="0.35">
      <c r="B47" s="6" t="s">
        <v>36</v>
      </c>
      <c r="C47" s="51">
        <v>2500</v>
      </c>
      <c r="D47" s="52" t="s">
        <v>37</v>
      </c>
      <c r="F47" s="45"/>
      <c r="G47" s="46" t="s">
        <v>48</v>
      </c>
      <c r="H47" s="3">
        <v>1</v>
      </c>
      <c r="K47" s="25" t="str">
        <v>p_result_atma</v>
      </c>
      <c r="L47" s="26" t="str">
        <v>t_result_C</v>
      </c>
      <c r="M47" s="26" t="str">
        <v>p_1, atma</v>
      </c>
      <c r="N47" s="26" t="str">
        <v>t_1, C</v>
      </c>
      <c r="O47" s="26" t="str">
        <v>p_2, atma</v>
      </c>
      <c r="P47" s="26" t="str">
        <v>t_2, C</v>
      </c>
      <c r="Q47" s="26" t="str">
        <v>c_calibr_grav</v>
      </c>
      <c r="R47" s="26" t="str">
        <v>c_calibr_fric</v>
      </c>
      <c r="S47" s="27" t="str">
        <v>q_gas_sm3day</v>
      </c>
      <c r="T47" s="14"/>
      <c r="U47" s="14"/>
      <c r="V47" s="14"/>
      <c r="W47" s="25" t="str">
        <v>p_result_atma</v>
      </c>
      <c r="X47" s="26" t="str">
        <v>t_result_C</v>
      </c>
      <c r="Y47" s="26" t="str">
        <v>p_1, atma</v>
      </c>
      <c r="Z47" s="26" t="str">
        <v>t_1, C</v>
      </c>
      <c r="AA47" s="26" t="str">
        <v>p_2, atma</v>
      </c>
      <c r="AB47" s="26" t="str">
        <v>t_2, C</v>
      </c>
      <c r="AC47" s="26" t="str">
        <v>c_calibr_grav</v>
      </c>
      <c r="AD47" s="26" t="str">
        <v>c_calibr_fric</v>
      </c>
      <c r="AE47" s="27" t="str">
        <v>q_gas_sm3day</v>
      </c>
    </row>
    <row r="48" spans="1:31" ht="18" customHeight="1" x14ac:dyDescent="0.35">
      <c r="B48" s="6" t="s">
        <v>38</v>
      </c>
      <c r="C48" s="51">
        <v>140</v>
      </c>
      <c r="D48" s="52" t="s">
        <v>27</v>
      </c>
      <c r="F48" s="45"/>
      <c r="G48" s="46" t="s">
        <v>46</v>
      </c>
      <c r="H48" s="3">
        <v>1</v>
      </c>
      <c r="I48" s="3">
        <v>0</v>
      </c>
      <c r="K48" s="25" t="str">
        <v>num</v>
      </c>
      <c r="L48" s="26" t="str">
        <v>h,m</v>
      </c>
      <c r="M48" s="26" t="str">
        <v>hvert,m</v>
      </c>
      <c r="N48" s="26" t="str">
        <v>p,atma</v>
      </c>
      <c r="O48" s="26" t="str">
        <v>t,C</v>
      </c>
      <c r="P48" s="26" t="str">
        <v>Hl</v>
      </c>
      <c r="Q48" s="26" t="str">
        <v>fpat</v>
      </c>
      <c r="R48" s="26" t="str">
        <v>t_amb, C</v>
      </c>
      <c r="S48" s="27" t="str">
        <v>diam, m</v>
      </c>
      <c r="T48" s="43" t="s">
        <v>52</v>
      </c>
      <c r="U48" s="43" t="s">
        <v>57</v>
      </c>
      <c r="V48" s="43" t="s">
        <v>58</v>
      </c>
      <c r="W48" s="25" t="str">
        <v>num</v>
      </c>
      <c r="X48" s="26" t="str">
        <v>h,m</v>
      </c>
      <c r="Y48" s="26" t="str">
        <v>hvert,m</v>
      </c>
      <c r="Z48" s="26" t="str">
        <v>p,atma</v>
      </c>
      <c r="AA48" s="26" t="str">
        <v>t,C</v>
      </c>
      <c r="AB48" s="26" t="str">
        <v>Hl</v>
      </c>
      <c r="AC48" s="26" t="str">
        <v>fpat</v>
      </c>
      <c r="AD48" s="26" t="str">
        <v>t_amb, C</v>
      </c>
      <c r="AE48" s="27" t="str">
        <v>diam, m</v>
      </c>
    </row>
    <row r="49" spans="2:56" ht="18" customHeight="1" x14ac:dyDescent="0.35">
      <c r="B49" s="6" t="s">
        <v>39</v>
      </c>
      <c r="C49" s="51">
        <v>65</v>
      </c>
      <c r="D49" s="52" t="s">
        <v>27</v>
      </c>
      <c r="F49" s="45"/>
      <c r="G49" s="46" t="s">
        <v>47</v>
      </c>
      <c r="H49" s="3">
        <v>0</v>
      </c>
      <c r="I49" s="3">
        <v>0</v>
      </c>
      <c r="K49" s="25">
        <v>1</v>
      </c>
      <c r="L49" s="28">
        <v>0</v>
      </c>
      <c r="M49" s="28">
        <v>0</v>
      </c>
      <c r="N49" s="28">
        <v>80</v>
      </c>
      <c r="O49" s="28">
        <v>20</v>
      </c>
      <c r="P49" s="28">
        <v>0.9838833332311151</v>
      </c>
      <c r="Q49" s="28">
        <v>2</v>
      </c>
      <c r="R49" s="28">
        <v>20</v>
      </c>
      <c r="S49" s="27">
        <v>6.2E-2</v>
      </c>
      <c r="T49" s="44">
        <f t="shared" ref="T49:T68" si="0">L49-M49</f>
        <v>0</v>
      </c>
      <c r="U49" s="43">
        <f t="shared" ref="U49:U68" si="1">-S49/2</f>
        <v>-3.1E-2</v>
      </c>
      <c r="V49" s="43">
        <f>-U49</f>
        <v>3.1E-2</v>
      </c>
      <c r="W49" s="25">
        <v>1</v>
      </c>
      <c r="X49" s="28">
        <v>0</v>
      </c>
      <c r="Y49" s="28">
        <v>0</v>
      </c>
      <c r="Z49" s="28">
        <v>80</v>
      </c>
      <c r="AA49" s="28">
        <v>20</v>
      </c>
      <c r="AB49" s="28">
        <v>0.9838833332311151</v>
      </c>
      <c r="AC49" s="28">
        <v>2</v>
      </c>
      <c r="AD49" s="28">
        <v>20</v>
      </c>
      <c r="AE49" s="27">
        <v>6.2E-2</v>
      </c>
    </row>
    <row r="50" spans="2:56" ht="18" customHeight="1" x14ac:dyDescent="0.35">
      <c r="B50" s="6" t="s">
        <v>40</v>
      </c>
      <c r="C50" s="51">
        <v>12</v>
      </c>
      <c r="D50" s="52" t="s">
        <v>27</v>
      </c>
      <c r="F50" s="45"/>
      <c r="G50" s="47" t="s">
        <v>85</v>
      </c>
      <c r="H50" s="5">
        <f>calc_along_coord*10+flow_along_coord</f>
        <v>10</v>
      </c>
      <c r="I50" s="5">
        <f>calc_along_coord1*10+flow_along_coord1</f>
        <v>0</v>
      </c>
      <c r="K50" s="25">
        <v>2</v>
      </c>
      <c r="L50" s="28">
        <v>110.52631578947368</v>
      </c>
      <c r="M50" s="28">
        <v>110.52631578947368</v>
      </c>
      <c r="N50" s="28">
        <v>89.743574600277555</v>
      </c>
      <c r="O50" s="28">
        <v>21.105263157894736</v>
      </c>
      <c r="P50" s="28">
        <v>0.98603267286713214</v>
      </c>
      <c r="Q50" s="28">
        <v>2</v>
      </c>
      <c r="R50" s="28">
        <v>21.105263157894736</v>
      </c>
      <c r="S50" s="27">
        <v>6.2E-2</v>
      </c>
      <c r="T50" s="44">
        <f t="shared" si="0"/>
        <v>0</v>
      </c>
      <c r="U50" s="43">
        <f t="shared" si="1"/>
        <v>-3.1E-2</v>
      </c>
      <c r="V50" s="43">
        <f t="shared" ref="V50:V68" si="2">-U50</f>
        <v>3.1E-2</v>
      </c>
      <c r="W50" s="25">
        <v>2</v>
      </c>
      <c r="X50" s="28">
        <v>110.52631578947368</v>
      </c>
      <c r="Y50" s="28">
        <v>110.52631578947368</v>
      </c>
      <c r="Z50" s="28">
        <v>89.743574600277555</v>
      </c>
      <c r="AA50" s="28">
        <v>21.105263157894736</v>
      </c>
      <c r="AB50" s="28">
        <v>0.98603267286713214</v>
      </c>
      <c r="AC50" s="28">
        <v>2</v>
      </c>
      <c r="AD50" s="28">
        <v>21.105263157894736</v>
      </c>
      <c r="AE50" s="27">
        <v>6.2E-2</v>
      </c>
    </row>
    <row r="51" spans="2:56" x14ac:dyDescent="0.3">
      <c r="G51" s="10"/>
      <c r="K51" s="25">
        <v>3</v>
      </c>
      <c r="L51" s="28">
        <v>221.05263157894737</v>
      </c>
      <c r="M51" s="28">
        <v>221.05263157894737</v>
      </c>
      <c r="N51" s="28">
        <v>99.509923788480037</v>
      </c>
      <c r="O51" s="28">
        <v>22.210526315789473</v>
      </c>
      <c r="P51" s="28">
        <v>0.98762980208582185</v>
      </c>
      <c r="Q51" s="28">
        <v>2</v>
      </c>
      <c r="R51" s="28">
        <v>22.210526315789473</v>
      </c>
      <c r="S51" s="27">
        <v>6.2E-2</v>
      </c>
      <c r="T51" s="44">
        <f t="shared" si="0"/>
        <v>0</v>
      </c>
      <c r="U51" s="43">
        <f t="shared" si="1"/>
        <v>-3.1E-2</v>
      </c>
      <c r="V51" s="43">
        <f t="shared" si="2"/>
        <v>3.1E-2</v>
      </c>
      <c r="W51" s="25">
        <v>3</v>
      </c>
      <c r="X51" s="28">
        <v>221.05263157894737</v>
      </c>
      <c r="Y51" s="28">
        <v>221.05263157894737</v>
      </c>
      <c r="Z51" s="28">
        <v>99.509923788480037</v>
      </c>
      <c r="AA51" s="28">
        <v>22.210526315789473</v>
      </c>
      <c r="AB51" s="28">
        <v>0.98762980208582185</v>
      </c>
      <c r="AC51" s="28">
        <v>2</v>
      </c>
      <c r="AD51" s="28">
        <v>22.210526315789473</v>
      </c>
      <c r="AE51" s="27">
        <v>6.2E-2</v>
      </c>
    </row>
    <row r="52" spans="2:56" x14ac:dyDescent="0.3">
      <c r="G52" s="10"/>
      <c r="K52" s="25">
        <v>4</v>
      </c>
      <c r="L52" s="28">
        <v>331.57894736842104</v>
      </c>
      <c r="M52" s="28">
        <v>331.57894736842104</v>
      </c>
      <c r="N52" s="28">
        <v>109.2929033680346</v>
      </c>
      <c r="O52" s="28">
        <v>23.315789473684209</v>
      </c>
      <c r="P52" s="28">
        <v>0.98882922687111696</v>
      </c>
      <c r="Q52" s="28">
        <v>2</v>
      </c>
      <c r="R52" s="28">
        <v>23.315789473684209</v>
      </c>
      <c r="S52" s="27">
        <v>6.2E-2</v>
      </c>
      <c r="T52" s="44">
        <f t="shared" si="0"/>
        <v>0</v>
      </c>
      <c r="U52" s="43">
        <f t="shared" si="1"/>
        <v>-3.1E-2</v>
      </c>
      <c r="V52" s="43">
        <f t="shared" si="2"/>
        <v>3.1E-2</v>
      </c>
      <c r="W52" s="25">
        <v>4</v>
      </c>
      <c r="X52" s="28">
        <v>331.57894736842104</v>
      </c>
      <c r="Y52" s="28">
        <v>331.57894736842104</v>
      </c>
      <c r="Z52" s="28">
        <v>109.2929033680346</v>
      </c>
      <c r="AA52" s="28">
        <v>23.315789473684209</v>
      </c>
      <c r="AB52" s="28">
        <v>0.98882922687111696</v>
      </c>
      <c r="AC52" s="28">
        <v>2</v>
      </c>
      <c r="AD52" s="28">
        <v>23.315789473684209</v>
      </c>
      <c r="AE52" s="27">
        <v>6.2E-2</v>
      </c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</row>
    <row r="53" spans="2:56" x14ac:dyDescent="0.3">
      <c r="B53" s="50" t="s">
        <v>41</v>
      </c>
      <c r="C53" s="50"/>
      <c r="E53" t="s">
        <v>54</v>
      </c>
      <c r="G53" s="10"/>
      <c r="H53" t="s">
        <v>51</v>
      </c>
      <c r="I53" s="10"/>
      <c r="K53" s="25">
        <v>5</v>
      </c>
      <c r="L53" s="28">
        <v>442.10526315789474</v>
      </c>
      <c r="M53" s="28">
        <v>442.10526315789474</v>
      </c>
      <c r="N53" s="28">
        <v>119.08808367757287</v>
      </c>
      <c r="O53" s="28">
        <v>24.421052631578949</v>
      </c>
      <c r="P53" s="28">
        <v>0.98974036233026685</v>
      </c>
      <c r="Q53" s="28">
        <v>2</v>
      </c>
      <c r="R53" s="28">
        <v>24.421052631578949</v>
      </c>
      <c r="S53" s="27">
        <v>6.2E-2</v>
      </c>
      <c r="T53" s="44">
        <f t="shared" si="0"/>
        <v>0</v>
      </c>
      <c r="U53" s="43">
        <f t="shared" si="1"/>
        <v>-3.1E-2</v>
      </c>
      <c r="V53" s="43">
        <f t="shared" si="2"/>
        <v>3.1E-2</v>
      </c>
      <c r="W53" s="25">
        <v>5</v>
      </c>
      <c r="X53" s="28">
        <v>442.10526315789474</v>
      </c>
      <c r="Y53" s="28">
        <v>442.10526315789474</v>
      </c>
      <c r="Z53" s="28">
        <v>119.08808367757287</v>
      </c>
      <c r="AA53" s="28">
        <v>24.421052631578949</v>
      </c>
      <c r="AB53" s="28">
        <v>0.98974036233026685</v>
      </c>
      <c r="AC53" s="28">
        <v>2</v>
      </c>
      <c r="AD53" s="28">
        <v>24.421052631578949</v>
      </c>
      <c r="AE53" s="27">
        <v>6.2E-2</v>
      </c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</row>
    <row r="54" spans="2:56" ht="15.6" x14ac:dyDescent="0.35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 s="25">
        <v>6</v>
      </c>
      <c r="L54" s="28">
        <v>552.63157894736844</v>
      </c>
      <c r="M54" s="28">
        <v>552.63157894736844</v>
      </c>
      <c r="N54" s="28">
        <v>128.89232499277992</v>
      </c>
      <c r="O54" s="28">
        <v>25.526315789473685</v>
      </c>
      <c r="P54" s="28">
        <v>0.99043964479844526</v>
      </c>
      <c r="Q54" s="28">
        <v>2</v>
      </c>
      <c r="R54" s="28">
        <v>25.526315789473685</v>
      </c>
      <c r="S54" s="27">
        <v>6.2E-2</v>
      </c>
      <c r="T54" s="44">
        <f t="shared" si="0"/>
        <v>0</v>
      </c>
      <c r="U54" s="43">
        <f t="shared" si="1"/>
        <v>-3.1E-2</v>
      </c>
      <c r="V54" s="43">
        <f t="shared" si="2"/>
        <v>3.1E-2</v>
      </c>
      <c r="W54" s="25">
        <v>6</v>
      </c>
      <c r="X54" s="28">
        <v>552.63157894736844</v>
      </c>
      <c r="Y54" s="28">
        <v>552.63157894736844</v>
      </c>
      <c r="Z54" s="28">
        <v>128.89232499277992</v>
      </c>
      <c r="AA54" s="28">
        <v>25.526315789473685</v>
      </c>
      <c r="AB54" s="28">
        <v>0.99043964479844526</v>
      </c>
      <c r="AC54" s="28">
        <v>2</v>
      </c>
      <c r="AD54" s="28">
        <v>25.526315789473685</v>
      </c>
      <c r="AE54" s="27">
        <v>6.2E-2</v>
      </c>
    </row>
    <row r="55" spans="2:56" x14ac:dyDescent="0.3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 s="25">
        <v>7</v>
      </c>
      <c r="L55" s="28">
        <v>663.15789473684208</v>
      </c>
      <c r="M55" s="28">
        <v>663.15789473684208</v>
      </c>
      <c r="N55" s="28">
        <v>138.70334658969907</v>
      </c>
      <c r="O55" s="28">
        <v>26.631578947368421</v>
      </c>
      <c r="P55" s="28">
        <v>0.99098180557275917</v>
      </c>
      <c r="Q55" s="28">
        <v>2</v>
      </c>
      <c r="R55" s="28">
        <v>26.631578947368421</v>
      </c>
      <c r="S55" s="27">
        <v>6.2E-2</v>
      </c>
      <c r="T55" s="44">
        <f t="shared" si="0"/>
        <v>0</v>
      </c>
      <c r="U55" s="43">
        <f t="shared" si="1"/>
        <v>-3.1E-2</v>
      </c>
      <c r="V55" s="43">
        <f t="shared" si="2"/>
        <v>3.1E-2</v>
      </c>
      <c r="W55" s="25">
        <v>7</v>
      </c>
      <c r="X55" s="28">
        <v>663.15789473684208</v>
      </c>
      <c r="Y55" s="28">
        <v>663.15789473684208</v>
      </c>
      <c r="Z55" s="28">
        <v>138.70334658969907</v>
      </c>
      <c r="AA55" s="28">
        <v>26.631578947368421</v>
      </c>
      <c r="AB55" s="28">
        <v>0.99098180557275917</v>
      </c>
      <c r="AC55" s="28">
        <v>2</v>
      </c>
      <c r="AD55" s="28">
        <v>26.631578947368421</v>
      </c>
      <c r="AE55" s="27">
        <v>6.2E-2</v>
      </c>
    </row>
    <row r="56" spans="2:56" x14ac:dyDescent="0.3">
      <c r="B56" s="16">
        <v>0</v>
      </c>
      <c r="C56" s="16">
        <v>0</v>
      </c>
      <c r="E56" s="18">
        <v>0</v>
      </c>
      <c r="F56" s="18">
        <v>20</v>
      </c>
      <c r="G56" s="10"/>
      <c r="H56" s="18">
        <v>0</v>
      </c>
      <c r="I56" s="19">
        <v>62</v>
      </c>
      <c r="K56" s="25">
        <v>8</v>
      </c>
      <c r="L56" s="28">
        <v>773.68421052631584</v>
      </c>
      <c r="M56" s="28">
        <v>773.68421052631584</v>
      </c>
      <c r="N56" s="28">
        <v>148.51921075280532</v>
      </c>
      <c r="O56" s="28">
        <v>27.736842105263158</v>
      </c>
      <c r="P56" s="28">
        <v>0.99141245507492193</v>
      </c>
      <c r="Q56" s="28">
        <v>2</v>
      </c>
      <c r="R56" s="28">
        <v>27.736842105263158</v>
      </c>
      <c r="S56" s="27">
        <v>6.2E-2</v>
      </c>
      <c r="T56" s="44">
        <f t="shared" si="0"/>
        <v>0</v>
      </c>
      <c r="U56" s="43">
        <f t="shared" si="1"/>
        <v>-3.1E-2</v>
      </c>
      <c r="V56" s="43">
        <f t="shared" si="2"/>
        <v>3.1E-2</v>
      </c>
      <c r="W56" s="25">
        <v>8</v>
      </c>
      <c r="X56" s="28">
        <v>773.68421052631584</v>
      </c>
      <c r="Y56" s="28">
        <v>773.68421052631584</v>
      </c>
      <c r="Z56" s="28">
        <v>148.51921075280532</v>
      </c>
      <c r="AA56" s="28">
        <v>27.736842105263158</v>
      </c>
      <c r="AB56" s="28">
        <v>0.99141245507492193</v>
      </c>
      <c r="AC56" s="28">
        <v>2</v>
      </c>
      <c r="AD56" s="28">
        <v>27.736842105263158</v>
      </c>
      <c r="AE56" s="27">
        <v>6.2E-2</v>
      </c>
    </row>
    <row r="57" spans="2:56" x14ac:dyDescent="0.3">
      <c r="B57" s="16">
        <v>1000</v>
      </c>
      <c r="C57" s="16">
        <v>1000</v>
      </c>
      <c r="E57" s="18">
        <v>1500</v>
      </c>
      <c r="F57" s="18">
        <v>35</v>
      </c>
      <c r="G57" s="10"/>
      <c r="H57" s="18">
        <v>2500</v>
      </c>
      <c r="I57" s="19">
        <v>125</v>
      </c>
      <c r="K57" s="25">
        <v>9</v>
      </c>
      <c r="L57" s="28">
        <v>884.21052631578948</v>
      </c>
      <c r="M57" s="28">
        <v>884.21052631578948</v>
      </c>
      <c r="N57" s="28">
        <v>158.33869810907686</v>
      </c>
      <c r="O57" s="28">
        <v>28.842105263157894</v>
      </c>
      <c r="P57" s="28">
        <v>0.9917598990727996</v>
      </c>
      <c r="Q57" s="28">
        <v>2</v>
      </c>
      <c r="R57" s="28">
        <v>28.842105263157894</v>
      </c>
      <c r="S57" s="27">
        <v>6.2E-2</v>
      </c>
      <c r="T57" s="44">
        <f t="shared" si="0"/>
        <v>0</v>
      </c>
      <c r="U57" s="43">
        <f t="shared" si="1"/>
        <v>-3.1E-2</v>
      </c>
      <c r="V57" s="43">
        <f t="shared" si="2"/>
        <v>3.1E-2</v>
      </c>
      <c r="W57" s="25">
        <v>9</v>
      </c>
      <c r="X57" s="28">
        <v>884.21052631578948</v>
      </c>
      <c r="Y57" s="28">
        <v>884.21052631578948</v>
      </c>
      <c r="Z57" s="28">
        <v>158.33869810907686</v>
      </c>
      <c r="AA57" s="28">
        <v>28.842105263157894</v>
      </c>
      <c r="AB57" s="28">
        <v>0.9917598990727996</v>
      </c>
      <c r="AC57" s="28">
        <v>2</v>
      </c>
      <c r="AD57" s="28">
        <v>28.842105263157894</v>
      </c>
      <c r="AE57" s="27">
        <v>6.2E-2</v>
      </c>
    </row>
    <row r="58" spans="2:56" x14ac:dyDescent="0.3">
      <c r="B58" s="16">
        <v>1100</v>
      </c>
      <c r="C58" s="16">
        <v>1096</v>
      </c>
      <c r="E58" s="18">
        <v>2500</v>
      </c>
      <c r="F58" s="18">
        <v>90</v>
      </c>
      <c r="G58" s="10"/>
      <c r="H58" s="18">
        <v>4000</v>
      </c>
      <c r="I58" s="19">
        <v>125</v>
      </c>
      <c r="K58" s="25">
        <v>10</v>
      </c>
      <c r="L58" s="28">
        <v>994.73684210526312</v>
      </c>
      <c r="M58" s="28">
        <v>994.73684210526312</v>
      </c>
      <c r="N58" s="28">
        <v>168.04435217363027</v>
      </c>
      <c r="O58" s="28">
        <v>29.94736842105263</v>
      </c>
      <c r="P58" s="28">
        <v>0.99204093153282302</v>
      </c>
      <c r="Q58" s="28">
        <v>2</v>
      </c>
      <c r="R58" s="28">
        <v>29.94736842105263</v>
      </c>
      <c r="S58" s="27">
        <v>6.2E-2</v>
      </c>
      <c r="T58" s="44">
        <f t="shared" si="0"/>
        <v>0</v>
      </c>
      <c r="U58" s="43">
        <f t="shared" si="1"/>
        <v>-3.1E-2</v>
      </c>
      <c r="V58" s="43">
        <f t="shared" si="2"/>
        <v>3.1E-2</v>
      </c>
      <c r="W58" s="25">
        <v>10</v>
      </c>
      <c r="X58" s="28">
        <v>994.73684210526312</v>
      </c>
      <c r="Y58" s="28">
        <v>994.73684210526312</v>
      </c>
      <c r="Z58" s="28">
        <v>168.04435217363027</v>
      </c>
      <c r="AA58" s="28">
        <v>29.94736842105263</v>
      </c>
      <c r="AB58" s="28">
        <v>0.99204093153282302</v>
      </c>
      <c r="AC58" s="28">
        <v>2</v>
      </c>
      <c r="AD58" s="28">
        <v>29.94736842105263</v>
      </c>
      <c r="AE58" s="27">
        <v>6.2E-2</v>
      </c>
    </row>
    <row r="59" spans="2:56" x14ac:dyDescent="0.3">
      <c r="B59" s="16">
        <v>1200</v>
      </c>
      <c r="C59" s="16">
        <v>1191</v>
      </c>
      <c r="E59" s="18"/>
      <c r="F59" s="18"/>
      <c r="G59" s="10"/>
      <c r="H59" s="18"/>
      <c r="I59" s="18"/>
      <c r="K59" s="25">
        <v>11</v>
      </c>
      <c r="L59" s="28">
        <v>1105.2631578947369</v>
      </c>
      <c r="M59" s="28">
        <v>1101</v>
      </c>
      <c r="N59" s="28">
        <v>177.39786466839593</v>
      </c>
      <c r="O59" s="28">
        <v>31.01</v>
      </c>
      <c r="P59" s="28">
        <v>0.99226699161650112</v>
      </c>
      <c r="Q59" s="28">
        <v>2</v>
      </c>
      <c r="R59" s="28">
        <v>31.01</v>
      </c>
      <c r="S59" s="27">
        <v>6.2E-2</v>
      </c>
      <c r="T59" s="44">
        <f t="shared" si="0"/>
        <v>4.263157894736878</v>
      </c>
      <c r="U59" s="43">
        <f t="shared" si="1"/>
        <v>-3.1E-2</v>
      </c>
      <c r="V59" s="43">
        <f t="shared" si="2"/>
        <v>3.1E-2</v>
      </c>
      <c r="W59" s="25">
        <v>11</v>
      </c>
      <c r="X59" s="28">
        <v>1105.2631578947369</v>
      </c>
      <c r="Y59" s="28">
        <v>1101</v>
      </c>
      <c r="Z59" s="28">
        <v>177.39786466839593</v>
      </c>
      <c r="AA59" s="28">
        <v>31.01</v>
      </c>
      <c r="AB59" s="28">
        <v>0.99226699161650112</v>
      </c>
      <c r="AC59" s="28">
        <v>2</v>
      </c>
      <c r="AD59" s="28">
        <v>31.01</v>
      </c>
      <c r="AE59" s="27">
        <v>6.2E-2</v>
      </c>
    </row>
    <row r="60" spans="2:56" x14ac:dyDescent="0.3">
      <c r="B60" s="16">
        <v>1300</v>
      </c>
      <c r="C60" s="16">
        <v>1284</v>
      </c>
      <c r="E60" s="18"/>
      <c r="F60" s="18"/>
      <c r="G60" s="10"/>
      <c r="H60" s="18"/>
      <c r="I60" s="18"/>
      <c r="K60" s="25">
        <v>12</v>
      </c>
      <c r="L60" s="28">
        <v>1215.7894736842106</v>
      </c>
      <c r="M60" s="28">
        <v>1205.6842105263158</v>
      </c>
      <c r="N60" s="28">
        <v>186.56425848527408</v>
      </c>
      <c r="O60" s="28">
        <v>32.056842105263158</v>
      </c>
      <c r="P60" s="28">
        <v>0.99245536852328675</v>
      </c>
      <c r="Q60" s="28">
        <v>2</v>
      </c>
      <c r="R60" s="28">
        <v>32.056842105263158</v>
      </c>
      <c r="S60" s="27">
        <v>6.2E-2</v>
      </c>
      <c r="T60" s="44">
        <f t="shared" si="0"/>
        <v>10.105263157894797</v>
      </c>
      <c r="U60" s="43">
        <f t="shared" si="1"/>
        <v>-3.1E-2</v>
      </c>
      <c r="V60" s="43">
        <f t="shared" si="2"/>
        <v>3.1E-2</v>
      </c>
      <c r="W60" s="25">
        <v>12</v>
      </c>
      <c r="X60" s="28">
        <v>1215.7894736842106</v>
      </c>
      <c r="Y60" s="28">
        <v>1205.6842105263158</v>
      </c>
      <c r="Z60" s="28">
        <v>186.56425848527408</v>
      </c>
      <c r="AA60" s="28">
        <v>32.056842105263158</v>
      </c>
      <c r="AB60" s="28">
        <v>0.99245536852328675</v>
      </c>
      <c r="AC60" s="28">
        <v>2</v>
      </c>
      <c r="AD60" s="28">
        <v>32.056842105263158</v>
      </c>
      <c r="AE60" s="27">
        <v>6.2E-2</v>
      </c>
    </row>
    <row r="61" spans="2:56" x14ac:dyDescent="0.3">
      <c r="B61" s="16">
        <v>1400</v>
      </c>
      <c r="C61" s="16">
        <v>1375</v>
      </c>
      <c r="E61" s="18"/>
      <c r="F61" s="18"/>
      <c r="G61" s="10"/>
      <c r="H61" s="18"/>
      <c r="I61" s="18"/>
      <c r="K61" s="25">
        <v>13</v>
      </c>
      <c r="L61" s="28">
        <v>1326.3157894736842</v>
      </c>
      <c r="M61" s="28">
        <v>1307.9473684210525</v>
      </c>
      <c r="N61" s="28">
        <v>195.49848047728096</v>
      </c>
      <c r="O61" s="28">
        <v>33.079473684210527</v>
      </c>
      <c r="P61" s="28">
        <v>0.99261477145985233</v>
      </c>
      <c r="Q61" s="28">
        <v>2</v>
      </c>
      <c r="R61" s="28">
        <v>33.079473684210527</v>
      </c>
      <c r="S61" s="27">
        <v>6.2E-2</v>
      </c>
      <c r="T61" s="44">
        <f t="shared" si="0"/>
        <v>18.368421052631675</v>
      </c>
      <c r="U61" s="43">
        <f t="shared" si="1"/>
        <v>-3.1E-2</v>
      </c>
      <c r="V61" s="43">
        <f t="shared" si="2"/>
        <v>3.1E-2</v>
      </c>
      <c r="W61" s="25">
        <v>13</v>
      </c>
      <c r="X61" s="28">
        <v>1326.3157894736842</v>
      </c>
      <c r="Y61" s="28">
        <v>1307.9473684210525</v>
      </c>
      <c r="Z61" s="28">
        <v>195.49848047728096</v>
      </c>
      <c r="AA61" s="28">
        <v>33.079473684210527</v>
      </c>
      <c r="AB61" s="28">
        <v>0.99261477145985233</v>
      </c>
      <c r="AC61" s="28">
        <v>2</v>
      </c>
      <c r="AD61" s="28">
        <v>33.079473684210527</v>
      </c>
      <c r="AE61" s="27">
        <v>6.2E-2</v>
      </c>
    </row>
    <row r="62" spans="2:56" x14ac:dyDescent="0.3">
      <c r="B62" s="16">
        <v>1500</v>
      </c>
      <c r="C62" s="16">
        <v>1464</v>
      </c>
      <c r="E62" s="18"/>
      <c r="F62" s="18"/>
      <c r="G62" s="10"/>
      <c r="H62" s="18"/>
      <c r="I62" s="18"/>
      <c r="K62" s="25">
        <v>14</v>
      </c>
      <c r="L62" s="28">
        <v>1436.8421052631579</v>
      </c>
      <c r="M62" s="28">
        <v>1407.7894736842106</v>
      </c>
      <c r="N62" s="28">
        <v>204.20058593701549</v>
      </c>
      <c r="O62" s="28">
        <v>34.077894736842104</v>
      </c>
      <c r="P62" s="28">
        <v>0.99275152615708029</v>
      </c>
      <c r="Q62" s="28">
        <v>2</v>
      </c>
      <c r="R62" s="28">
        <v>34.077894736842104</v>
      </c>
      <c r="S62" s="27">
        <v>6.2E-2</v>
      </c>
      <c r="T62" s="44">
        <f t="shared" si="0"/>
        <v>29.052631578947285</v>
      </c>
      <c r="U62" s="43">
        <f t="shared" si="1"/>
        <v>-3.1E-2</v>
      </c>
      <c r="V62" s="43">
        <f t="shared" si="2"/>
        <v>3.1E-2</v>
      </c>
      <c r="W62" s="25">
        <v>14</v>
      </c>
      <c r="X62" s="28">
        <v>1436.8421052631579</v>
      </c>
      <c r="Y62" s="28">
        <v>1407.7894736842106</v>
      </c>
      <c r="Z62" s="28">
        <v>204.20058593701549</v>
      </c>
      <c r="AA62" s="28">
        <v>34.077894736842104</v>
      </c>
      <c r="AB62" s="28">
        <v>0.99275152615708029</v>
      </c>
      <c r="AC62" s="28">
        <v>2</v>
      </c>
      <c r="AD62" s="28">
        <v>34.077894736842104</v>
      </c>
      <c r="AE62" s="27">
        <v>6.2E-2</v>
      </c>
    </row>
    <row r="63" spans="2:56" x14ac:dyDescent="0.3">
      <c r="B63" s="16">
        <v>1600</v>
      </c>
      <c r="C63" s="16">
        <v>1551</v>
      </c>
      <c r="E63" s="18"/>
      <c r="F63" s="18"/>
      <c r="G63" s="10"/>
      <c r="H63" s="18"/>
      <c r="I63" s="18"/>
      <c r="K63" s="25">
        <v>15</v>
      </c>
      <c r="L63" s="28">
        <v>1547.3684210526317</v>
      </c>
      <c r="M63" s="28">
        <v>1505.2105263157896</v>
      </c>
      <c r="N63" s="28">
        <v>212.67054443550819</v>
      </c>
      <c r="O63" s="28">
        <v>35.052105263157898</v>
      </c>
      <c r="P63" s="28">
        <v>0.99287026442786575</v>
      </c>
      <c r="Q63" s="28">
        <v>2</v>
      </c>
      <c r="R63" s="28">
        <v>35.052105263157898</v>
      </c>
      <c r="S63" s="27">
        <v>6.2E-2</v>
      </c>
      <c r="T63" s="44">
        <f t="shared" si="0"/>
        <v>42.157894736842081</v>
      </c>
      <c r="U63" s="43">
        <f t="shared" si="1"/>
        <v>-3.1E-2</v>
      </c>
      <c r="V63" s="43">
        <f t="shared" si="2"/>
        <v>3.1E-2</v>
      </c>
      <c r="W63" s="25">
        <v>15</v>
      </c>
      <c r="X63" s="28">
        <v>1547.3684210526317</v>
      </c>
      <c r="Y63" s="28">
        <v>1505.2105263157896</v>
      </c>
      <c r="Z63" s="28">
        <v>212.67054443550819</v>
      </c>
      <c r="AA63" s="28">
        <v>35.052105263157898</v>
      </c>
      <c r="AB63" s="28">
        <v>0.99287026442786575</v>
      </c>
      <c r="AC63" s="28">
        <v>2</v>
      </c>
      <c r="AD63" s="28">
        <v>35.052105263157898</v>
      </c>
      <c r="AE63" s="27">
        <v>6.2E-2</v>
      </c>
    </row>
    <row r="64" spans="2:56" x14ac:dyDescent="0.3">
      <c r="B64" s="16">
        <v>1700</v>
      </c>
      <c r="C64" s="16">
        <v>1636</v>
      </c>
      <c r="E64" s="18"/>
      <c r="F64" s="18"/>
      <c r="G64" s="10"/>
      <c r="H64" s="18"/>
      <c r="I64" s="18"/>
      <c r="K64" s="25">
        <v>16</v>
      </c>
      <c r="L64" s="28">
        <v>1657.8947368421052</v>
      </c>
      <c r="M64" s="28">
        <v>1600.2105263157894</v>
      </c>
      <c r="N64" s="28">
        <v>220.90074353824266</v>
      </c>
      <c r="O64" s="28">
        <v>36.002105263157894</v>
      </c>
      <c r="P64" s="28">
        <v>0.99297400748962106</v>
      </c>
      <c r="Q64" s="28">
        <v>2</v>
      </c>
      <c r="R64" s="28">
        <v>36.002105263157894</v>
      </c>
      <c r="S64" s="27">
        <v>6.2E-2</v>
      </c>
      <c r="T64" s="44">
        <f t="shared" si="0"/>
        <v>57.684210526315837</v>
      </c>
      <c r="U64" s="43">
        <f t="shared" si="1"/>
        <v>-3.1E-2</v>
      </c>
      <c r="V64" s="43">
        <f t="shared" si="2"/>
        <v>3.1E-2</v>
      </c>
      <c r="W64" s="25">
        <v>16</v>
      </c>
      <c r="X64" s="28">
        <v>1657.8947368421052</v>
      </c>
      <c r="Y64" s="28">
        <v>1600.2105263157894</v>
      </c>
      <c r="Z64" s="28">
        <v>220.90074353824266</v>
      </c>
      <c r="AA64" s="28">
        <v>36.002105263157894</v>
      </c>
      <c r="AB64" s="28">
        <v>0.99297400748962106</v>
      </c>
      <c r="AC64" s="28">
        <v>2</v>
      </c>
      <c r="AD64" s="28">
        <v>36.002105263157894</v>
      </c>
      <c r="AE64" s="27">
        <v>6.2E-2</v>
      </c>
    </row>
    <row r="65" spans="2:31" x14ac:dyDescent="0.3">
      <c r="B65" s="16">
        <v>1800</v>
      </c>
      <c r="C65" s="16">
        <v>1719</v>
      </c>
      <c r="E65" s="18"/>
      <c r="F65" s="18"/>
      <c r="G65" s="10"/>
      <c r="H65" s="18"/>
      <c r="I65" s="18"/>
      <c r="K65" s="25">
        <v>17</v>
      </c>
      <c r="L65" s="28">
        <v>1768.421052631579</v>
      </c>
      <c r="M65" s="28">
        <v>1692.7894736842106</v>
      </c>
      <c r="N65" s="28">
        <v>228.89618457421392</v>
      </c>
      <c r="O65" s="28">
        <v>36.927894736842106</v>
      </c>
      <c r="P65" s="28">
        <v>0.9930657739555554</v>
      </c>
      <c r="Q65" s="28">
        <v>2</v>
      </c>
      <c r="R65" s="28">
        <v>36.927894736842106</v>
      </c>
      <c r="S65" s="27">
        <v>6.2E-2</v>
      </c>
      <c r="T65" s="44">
        <f t="shared" si="0"/>
        <v>75.631578947368325</v>
      </c>
      <c r="U65" s="43">
        <f t="shared" si="1"/>
        <v>-3.1E-2</v>
      </c>
      <c r="V65" s="43">
        <f t="shared" si="2"/>
        <v>3.1E-2</v>
      </c>
      <c r="W65" s="25">
        <v>17</v>
      </c>
      <c r="X65" s="28">
        <v>1768.421052631579</v>
      </c>
      <c r="Y65" s="28">
        <v>1692.7894736842106</v>
      </c>
      <c r="Z65" s="28">
        <v>228.89618457421392</v>
      </c>
      <c r="AA65" s="28">
        <v>36.927894736842106</v>
      </c>
      <c r="AB65" s="28">
        <v>0.9930657739555554</v>
      </c>
      <c r="AC65" s="28">
        <v>2</v>
      </c>
      <c r="AD65" s="28">
        <v>36.927894736842106</v>
      </c>
      <c r="AE65" s="27">
        <v>6.2E-2</v>
      </c>
    </row>
    <row r="66" spans="2:31" x14ac:dyDescent="0.3">
      <c r="B66" s="16">
        <v>1900</v>
      </c>
      <c r="C66" s="16">
        <v>1800</v>
      </c>
      <c r="E66" s="18"/>
      <c r="F66" s="18"/>
      <c r="G66" s="10"/>
      <c r="H66" s="18"/>
      <c r="I66" s="18"/>
      <c r="K66" s="25">
        <v>18</v>
      </c>
      <c r="L66" s="28">
        <v>1878.9473684210527</v>
      </c>
      <c r="M66" s="28">
        <v>1782.9473684210527</v>
      </c>
      <c r="N66" s="28">
        <v>236.65936133316663</v>
      </c>
      <c r="O66" s="28">
        <v>37.829473684210527</v>
      </c>
      <c r="P66" s="28">
        <v>0.9931476644137549</v>
      </c>
      <c r="Q66" s="28">
        <v>2</v>
      </c>
      <c r="R66" s="28">
        <v>37.829473684210527</v>
      </c>
      <c r="S66" s="27">
        <v>6.2E-2</v>
      </c>
      <c r="T66" s="44">
        <f t="shared" si="0"/>
        <v>96</v>
      </c>
      <c r="U66" s="43">
        <f t="shared" si="1"/>
        <v>-3.1E-2</v>
      </c>
      <c r="V66" s="43">
        <f t="shared" si="2"/>
        <v>3.1E-2</v>
      </c>
      <c r="W66" s="25">
        <v>18</v>
      </c>
      <c r="X66" s="28">
        <v>1878.9473684210527</v>
      </c>
      <c r="Y66" s="28">
        <v>1782.9473684210527</v>
      </c>
      <c r="Z66" s="28">
        <v>236.65936133316663</v>
      </c>
      <c r="AA66" s="28">
        <v>37.829473684210527</v>
      </c>
      <c r="AB66" s="28">
        <v>0.9931476644137549</v>
      </c>
      <c r="AC66" s="28">
        <v>2</v>
      </c>
      <c r="AD66" s="28">
        <v>37.829473684210527</v>
      </c>
      <c r="AE66" s="27">
        <v>6.2E-2</v>
      </c>
    </row>
    <row r="67" spans="2:31" x14ac:dyDescent="0.3">
      <c r="B67" s="16">
        <v>2000</v>
      </c>
      <c r="C67" s="16">
        <v>1879</v>
      </c>
      <c r="E67" s="18"/>
      <c r="F67" s="18"/>
      <c r="G67" s="10"/>
      <c r="H67" s="18"/>
      <c r="I67" s="18"/>
      <c r="K67" s="25">
        <v>19</v>
      </c>
      <c r="L67" s="28">
        <v>1989.4736842105262</v>
      </c>
      <c r="M67" s="28">
        <v>1870.6842105263158</v>
      </c>
      <c r="N67" s="28">
        <v>244.19025412950441</v>
      </c>
      <c r="O67" s="28">
        <v>38.706842105263156</v>
      </c>
      <c r="P67" s="28">
        <v>0.99322118655347369</v>
      </c>
      <c r="Q67" s="28">
        <v>2</v>
      </c>
      <c r="R67" s="28">
        <v>38.706842105263156</v>
      </c>
      <c r="S67" s="27">
        <v>6.2E-2</v>
      </c>
      <c r="T67" s="44">
        <f t="shared" si="0"/>
        <v>118.78947368421041</v>
      </c>
      <c r="U67" s="43">
        <f t="shared" si="1"/>
        <v>-3.1E-2</v>
      </c>
      <c r="V67" s="43">
        <f t="shared" si="2"/>
        <v>3.1E-2</v>
      </c>
      <c r="W67" s="25">
        <v>19</v>
      </c>
      <c r="X67" s="28">
        <v>1989.4736842105262</v>
      </c>
      <c r="Y67" s="28">
        <v>1870.6842105263158</v>
      </c>
      <c r="Z67" s="28">
        <v>244.19025412950441</v>
      </c>
      <c r="AA67" s="28">
        <v>38.706842105263156</v>
      </c>
      <c r="AB67" s="28">
        <v>0.99322118655347369</v>
      </c>
      <c r="AC67" s="28">
        <v>2</v>
      </c>
      <c r="AD67" s="28">
        <v>38.706842105263156</v>
      </c>
      <c r="AE67" s="27">
        <v>6.2E-2</v>
      </c>
    </row>
    <row r="68" spans="2:31" x14ac:dyDescent="0.3">
      <c r="B68" s="16">
        <v>2100</v>
      </c>
      <c r="C68" s="16">
        <v>1956</v>
      </c>
      <c r="E68" s="18"/>
      <c r="F68" s="18"/>
      <c r="G68" s="10"/>
      <c r="H68" s="18"/>
      <c r="I68" s="18"/>
      <c r="K68" s="29">
        <v>20</v>
      </c>
      <c r="L68" s="30">
        <v>2100</v>
      </c>
      <c r="M68" s="30">
        <v>1956</v>
      </c>
      <c r="N68" s="30">
        <v>251.58427825865087</v>
      </c>
      <c r="O68" s="30">
        <v>39.56</v>
      </c>
      <c r="P68" s="30">
        <v>0.99328870739791908</v>
      </c>
      <c r="Q68" s="30">
        <v>1</v>
      </c>
      <c r="R68" s="30">
        <v>39.56</v>
      </c>
      <c r="S68" s="31">
        <v>0.125</v>
      </c>
      <c r="T68" s="44">
        <f t="shared" si="0"/>
        <v>144</v>
      </c>
      <c r="U68" s="43">
        <f t="shared" si="1"/>
        <v>-6.25E-2</v>
      </c>
      <c r="V68" s="43">
        <f t="shared" si="2"/>
        <v>6.25E-2</v>
      </c>
      <c r="W68" s="29">
        <v>20</v>
      </c>
      <c r="X68" s="30">
        <v>2100</v>
      </c>
      <c r="Y68" s="30">
        <v>1956</v>
      </c>
      <c r="Z68" s="30">
        <v>251.58427825865087</v>
      </c>
      <c r="AA68" s="30">
        <v>39.56</v>
      </c>
      <c r="AB68" s="30">
        <v>0.99328870739791908</v>
      </c>
      <c r="AC68" s="30">
        <v>1</v>
      </c>
      <c r="AD68" s="30">
        <v>39.56</v>
      </c>
      <c r="AE68" s="31">
        <v>0.125</v>
      </c>
    </row>
    <row r="69" spans="2:31" x14ac:dyDescent="0.3">
      <c r="B69" s="16">
        <v>2200</v>
      </c>
      <c r="C69" s="16">
        <v>2031</v>
      </c>
      <c r="E69" s="18"/>
      <c r="F69" s="18"/>
      <c r="G69" s="10"/>
      <c r="H69" s="18"/>
      <c r="I69" s="18"/>
    </row>
    <row r="70" spans="2:31" x14ac:dyDescent="0.3">
      <c r="B70" s="16">
        <v>2300</v>
      </c>
      <c r="C70" s="16">
        <v>2104</v>
      </c>
      <c r="E70" s="18"/>
      <c r="F70" s="18"/>
      <c r="G70" s="10"/>
      <c r="H70" s="18"/>
      <c r="I70" s="18"/>
    </row>
    <row r="71" spans="2:31" x14ac:dyDescent="0.3">
      <c r="B71" s="16">
        <v>2400</v>
      </c>
      <c r="C71" s="16">
        <v>2175</v>
      </c>
      <c r="E71" s="18"/>
      <c r="F71" s="18"/>
      <c r="G71" s="10"/>
      <c r="H71" s="18"/>
      <c r="I71" s="18"/>
    </row>
    <row r="72" spans="2:31" x14ac:dyDescent="0.3">
      <c r="B72" s="16">
        <v>2500</v>
      </c>
      <c r="C72" s="16">
        <v>2244</v>
      </c>
      <c r="E72" s="18"/>
      <c r="F72" s="18"/>
      <c r="G72" s="10"/>
      <c r="H72" s="18"/>
      <c r="I72" s="18"/>
    </row>
    <row r="73" spans="2:31" x14ac:dyDescent="0.3">
      <c r="B73" s="16">
        <v>2600</v>
      </c>
      <c r="C73" s="16">
        <v>2311</v>
      </c>
      <c r="E73" s="18"/>
      <c r="F73" s="18"/>
      <c r="G73" s="10"/>
      <c r="H73" s="18"/>
      <c r="I73" s="18"/>
    </row>
    <row r="74" spans="2:31" x14ac:dyDescent="0.3">
      <c r="B74" s="16">
        <v>2700</v>
      </c>
      <c r="C74" s="16">
        <v>2376</v>
      </c>
      <c r="E74" s="18"/>
      <c r="F74" s="18"/>
      <c r="G74" s="10"/>
      <c r="H74" s="18"/>
      <c r="I74" s="18"/>
    </row>
    <row r="75" spans="2:31" x14ac:dyDescent="0.3">
      <c r="B75" s="16">
        <v>2800</v>
      </c>
      <c r="C75" s="16">
        <v>2439</v>
      </c>
      <c r="E75" s="18"/>
      <c r="F75" s="18"/>
      <c r="G75" s="10"/>
      <c r="H75" s="18"/>
      <c r="I75" s="18"/>
    </row>
    <row r="76" spans="2:31" x14ac:dyDescent="0.3">
      <c r="B76" s="16">
        <v>3500</v>
      </c>
      <c r="C76" s="16">
        <v>2500</v>
      </c>
      <c r="G76" s="10"/>
    </row>
    <row r="77" spans="2:31" x14ac:dyDescent="0.3">
      <c r="B77" s="16"/>
      <c r="C77" s="16"/>
      <c r="G77" s="10"/>
      <c r="P77" s="20"/>
    </row>
    <row r="78" spans="2:31" x14ac:dyDescent="0.3">
      <c r="B78" s="16"/>
      <c r="C78" s="16"/>
      <c r="G78" s="10"/>
    </row>
  </sheetData>
  <mergeCells count="14">
    <mergeCell ref="F26:G26"/>
    <mergeCell ref="B3:E3"/>
    <mergeCell ref="B4:E4"/>
    <mergeCell ref="B5:E5"/>
    <mergeCell ref="B6:E8"/>
    <mergeCell ref="F25:G25"/>
    <mergeCell ref="K40:L40"/>
    <mergeCell ref="K41:L41"/>
    <mergeCell ref="F27:G27"/>
    <mergeCell ref="F28:G28"/>
    <mergeCell ref="F30:G30"/>
    <mergeCell ref="F31:G31"/>
    <mergeCell ref="F32:G32"/>
    <mergeCell ref="F29:G2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50</vt:i4>
      </vt:variant>
    </vt:vector>
  </HeadingPairs>
  <TitlesOfParts>
    <vt:vector size="51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2021-03-10T18:39:58Z</dcterms:modified>
</cp:coreProperties>
</file>