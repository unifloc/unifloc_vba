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BCE2CF9-7D3A-420D-972A-AE16685CBA65}" xr6:coauthVersionLast="47" xr6:coauthVersionMax="47" xr10:uidLastSave="{00000000-0000-0000-0000-000000000000}"/>
  <bookViews>
    <workbookView xWindow="-103" yWindow="-103" windowWidth="22149" windowHeight="13200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exercise_pipeline!$H$49</definedName>
    <definedName name="calc_along_coord1" localSheetId="0">exercise_pipeline!$I$49</definedName>
    <definedName name="calc_flow_direction_" localSheetId="0">exercise_pipeline!$H$51</definedName>
    <definedName name="calc_flow_direction1_" localSheetId="0">exercise_pipeline!$I$51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exercise_pipeline!$H$50</definedName>
    <definedName name="flow_along_coord1" localSheetId="0">exercise_pipeline!$I$50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_from">exercise_pipeline!$P$42</definedName>
    <definedName name="H_to">exercise_pipeline!$P$43</definedName>
    <definedName name="hcor" localSheetId="0">exercise_pipeline!$H$47</definedName>
    <definedName name="Hydr_corr_" localSheetId="0">exercise_pipeline!$H$26</definedName>
    <definedName name="inclinometry" localSheetId="0">exercise_pipeline!$B$57:$C$79</definedName>
    <definedName name="input_0" localSheetId="0">exercise_pipeline!$C$11:$C$32</definedName>
    <definedName name="input_1" localSheetId="0">exercise_pipeline!$C$47:$C$51</definedName>
    <definedName name="input_2" localSheetId="0">exercise_pipeline!$H$29:$H$32</definedName>
    <definedName name="input_3" localSheetId="0">exercise_pipeline!$H$48:$H$50</definedName>
    <definedName name="input_5" localSheetId="0">exercise_pipeline!$B$57:$C$79</definedName>
    <definedName name="input_6" localSheetId="0">exercise_pipeline!$E$57:$F$76</definedName>
    <definedName name="input_7" localSheetId="0">exercise_pipeline!$H$57:$I$76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aram">exercise_pipeline!$K$45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exercise_pipeline!$H$48</definedName>
    <definedName name="tempm" localSheetId="0">exercise_pipeline!$H$48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3" l="1"/>
  <c r="I51" i="3"/>
  <c r="H51" i="3"/>
  <c r="E16" i="3"/>
  <c r="E15" i="3"/>
  <c r="E14" i="3"/>
  <c r="E13" i="3"/>
  <c r="E12" i="3"/>
  <c r="E11" i="3"/>
  <c r="C38" i="3" a="1"/>
  <c r="C34" i="3"/>
  <c r="K45" i="3" a="1"/>
  <c r="C37" i="3" a="1"/>
  <c r="G1" i="3"/>
  <c r="C38" i="3" l="1"/>
  <c r="C37" i="3"/>
  <c r="K45" i="3"/>
  <c r="C39" i="3" a="1"/>
  <c r="C35" i="3" a="1"/>
  <c r="C39" i="3" l="1"/>
  <c r="C35" i="3"/>
  <c r="K47" i="3" a="1"/>
  <c r="K47" i="3" l="1"/>
  <c r="S60" i="3"/>
  <c r="S61" i="3"/>
  <c r="S51" i="3"/>
  <c r="S65" i="3"/>
  <c r="S64" i="3"/>
  <c r="S53" i="3"/>
  <c r="S66" i="3"/>
  <c r="S57" i="3"/>
  <c r="S62" i="3"/>
  <c r="S63" i="3"/>
  <c r="S54" i="3"/>
  <c r="S68" i="3"/>
  <c r="S59" i="3"/>
  <c r="S52" i="3"/>
  <c r="S55" i="3"/>
  <c r="S69" i="3"/>
  <c r="S56" i="3"/>
  <c r="S58" i="3"/>
  <c r="S50" i="3"/>
  <c r="S67" i="3"/>
  <c r="R4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7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8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<sst xmlns="http://schemas.openxmlformats.org/spreadsheetml/2006/main" count="117" uniqueCount="93">
  <si>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</si>
  <si>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</si>
  <si>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</si>
  <si>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</si>
  <si>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</si>
  <si>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</si>
  <si>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</si>
  <si>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</si>
  <si>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</si>
  <si>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</si>
  <si>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</si>
  <si>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</si>
  <si>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</si>
  <si>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</si>
  <si>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</si>
  <si>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</si>
  <si>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</si>
  <si>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</si>
  <si>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</si>
  <si>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</si>
  <si>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</si>
  <si>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</si>
  <si>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</si>
  <si>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</si>
  <si>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</si>
  <si>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</si>
  <si>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</si>
  <si>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</si>
  <si>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</si>
  <si>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</si>
  <si>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</si>
  <si>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</si>
  <si>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</si>
  <si>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</si>
  <si>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</si>
  <si>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</si>
  <si>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</si>
  <si>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</si>
  <si>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</si>
  <si>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</si>
  <si>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</si>
  <si>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</si>
  <si>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</si>
  <si>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</si>
  <si>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</si>
  <si>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</si>
  <si>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</si>
  <si>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</si>
  <si>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</si>
  <si>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</si>
  <si>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</si>
  <si>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</si>
  <si>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</si>
  <si>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</si>
  <si>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</si>
  <si>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</si>
  <si>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</si>
  <si>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</si>
  <si>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</si>
  <si>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</si>
  <si>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</si>
  <si>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</si>
  <si>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</si>
  <si>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</si>
  <si>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</si>
  <si>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</si>
  <si>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</si>
  <si>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</si>
  <si>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</si>
  <si>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</si>
  <si>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</si>
  <si>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</si>
  <si>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</si>
  <si>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</si>
  <si>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</si>
  <si>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</si>
  <si>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</si>
  <si>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</si>
  <si>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</si>
  <si>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</si>
  <si>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</si>
  <si>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</si>
  <si>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</si>
  <si>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</si>
  <si>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</si>
  <si>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</si>
  <si>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</si>
  <si>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</si>
  <si>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</si>
  <si>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</si>
  <si>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Границы расчета</t>
  </si>
  <si>
    <t xml:space="preserve">От </t>
  </si>
  <si>
    <t>До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</si>
</sst>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/>
    <xf numFmtId="1" fontId="0" fillId="7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" fontId="0" fillId="7" borderId="0" xfId="0" applyNumberFormat="1" applyFill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2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exercise_pipeline!$M$49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exercise_pipeline!$M$50:$M$69</c:f>
              <c:numCache>
                <c:formatCode>0</c:formatCode>
                <c:ptCount val="20"/>
                <c:pt idx="0">
                  <c:v>247.54373330080665</c:v>
                </c:pt>
                <c:pt idx="1">
                  <c:v>231.68260942474819</c:v>
                </c:pt>
                <c:pt idx="2">
                  <c:v>215.83575234907858</c:v>
                </c:pt>
                <c:pt idx="3">
                  <c:v>200.00438604245153</c:v>
                </c:pt>
                <c:pt idx="4">
                  <c:v>184.19003950106085</c:v>
                </c:pt>
                <c:pt idx="5">
                  <c:v>168.39465311272235</c:v>
                </c:pt>
                <c:pt idx="6">
                  <c:v>153.09663678280063</c:v>
                </c:pt>
                <c:pt idx="7">
                  <c:v>138.72852378558946</c:v>
                </c:pt>
                <c:pt idx="8">
                  <c:v>125.05796300467773</c:v>
                </c:pt>
                <c:pt idx="9">
                  <c:v>112.08364384076603</c:v>
                </c:pt>
                <c:pt idx="10">
                  <c:v>99.808872234221411</c:v>
                </c:pt>
                <c:pt idx="11">
                  <c:v>88.139968918551602</c:v>
                </c:pt>
                <c:pt idx="12">
                  <c:v>77.062488040382505</c:v>
                </c:pt>
                <c:pt idx="13">
                  <c:v>68.047106542443899</c:v>
                </c:pt>
                <c:pt idx="14">
                  <c:v>66.58428311326189</c:v>
                </c:pt>
                <c:pt idx="15">
                  <c:v>56.861463774528488</c:v>
                </c:pt>
                <c:pt idx="16">
                  <c:v>54.021342802108414</c:v>
                </c:pt>
                <c:pt idx="17">
                  <c:v>52.679759138301172</c:v>
                </c:pt>
                <c:pt idx="18">
                  <c:v>51.339780031715925</c:v>
                </c:pt>
                <c:pt idx="19">
                  <c:v>50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exercise_pipeline!$N$49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exercise_pipeline!$N$50:$N$69</c:f>
              <c:numCache>
                <c:formatCode>0</c:formatCode>
                <c:ptCount val="20"/>
                <c:pt idx="0">
                  <c:v>20</c:v>
                </c:pt>
                <c:pt idx="1">
                  <c:v>20.97199477544477</c:v>
                </c:pt>
                <c:pt idx="2">
                  <c:v>21.943989550889537</c:v>
                </c:pt>
                <c:pt idx="3">
                  <c:v>22.915984326334307</c:v>
                </c:pt>
                <c:pt idx="4">
                  <c:v>23.88797910177907</c:v>
                </c:pt>
                <c:pt idx="5">
                  <c:v>24.85997387722384</c:v>
                </c:pt>
                <c:pt idx="6">
                  <c:v>31.904444444444451</c:v>
                </c:pt>
                <c:pt idx="7">
                  <c:v>39.716481481481495</c:v>
                </c:pt>
                <c:pt idx="8">
                  <c:v>47.201111111111118</c:v>
                </c:pt>
                <c:pt idx="9">
                  <c:v>54.358333333333334</c:v>
                </c:pt>
                <c:pt idx="10">
                  <c:v>61.188148148148159</c:v>
                </c:pt>
                <c:pt idx="11">
                  <c:v>67.690555555555576</c:v>
                </c:pt>
                <c:pt idx="12">
                  <c:v>73.865555555555559</c:v>
                </c:pt>
                <c:pt idx="13">
                  <c:v>78.906666666666666</c:v>
                </c:pt>
                <c:pt idx="14">
                  <c:v>79.71314814814815</c:v>
                </c:pt>
                <c:pt idx="15">
                  <c:v>85.233333333333348</c:v>
                </c:pt>
                <c:pt idx="16">
                  <c:v>87.797222222222231</c:v>
                </c:pt>
                <c:pt idx="17">
                  <c:v>88.531481481481492</c:v>
                </c:pt>
                <c:pt idx="18">
                  <c:v>89.265740740740739</c:v>
                </c:pt>
                <c:pt idx="19">
                  <c:v>90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exercise_pipeline!$O$49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exercise_pipeline!$O$50:$O$69</c:f>
              <c:numCache>
                <c:formatCode>0</c:formatCode>
                <c:ptCount val="20"/>
                <c:pt idx="0">
                  <c:v>20</c:v>
                </c:pt>
                <c:pt idx="1">
                  <c:v>20.97199477544477</c:v>
                </c:pt>
                <c:pt idx="2">
                  <c:v>21.943989550889537</c:v>
                </c:pt>
                <c:pt idx="3">
                  <c:v>22.915984326334307</c:v>
                </c:pt>
                <c:pt idx="4">
                  <c:v>23.88797910177907</c:v>
                </c:pt>
                <c:pt idx="5">
                  <c:v>24.85997387722384</c:v>
                </c:pt>
                <c:pt idx="6">
                  <c:v>31.904444444444451</c:v>
                </c:pt>
                <c:pt idx="7">
                  <c:v>39.716481481481495</c:v>
                </c:pt>
                <c:pt idx="8">
                  <c:v>47.201111111111118</c:v>
                </c:pt>
                <c:pt idx="9">
                  <c:v>54.358333333333334</c:v>
                </c:pt>
                <c:pt idx="10">
                  <c:v>61.188148148148159</c:v>
                </c:pt>
                <c:pt idx="11">
                  <c:v>67.690555555555576</c:v>
                </c:pt>
                <c:pt idx="12">
                  <c:v>73.865555555555559</c:v>
                </c:pt>
                <c:pt idx="13">
                  <c:v>78.906666666666666</c:v>
                </c:pt>
                <c:pt idx="14">
                  <c:v>79.71314814814815</c:v>
                </c:pt>
                <c:pt idx="15">
                  <c:v>85.233333333333348</c:v>
                </c:pt>
                <c:pt idx="16">
                  <c:v>87.797222222222231</c:v>
                </c:pt>
                <c:pt idx="17">
                  <c:v>88.531481481481492</c:v>
                </c:pt>
                <c:pt idx="18">
                  <c:v>89.265740740740739</c:v>
                </c:pt>
                <c:pt idx="19">
                  <c:v>90</c:v>
                </c:pt>
              </c:numCache>
            </c:numRef>
          </c:xVal>
          <c:yVal>
            <c:numRef>
              <c:f>exercise_pipeline!$K$50:$K$69</c:f>
              <c:numCache>
                <c:formatCode>0</c:formatCode>
                <c:ptCount val="20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2527.7777777777778</c:v>
                </c:pt>
                <c:pt idx="15">
                  <c:v>2722.2222222222226</c:v>
                </c:pt>
                <c:pt idx="16">
                  <c:v>2916.666666666667</c:v>
                </c:pt>
                <c:pt idx="17">
                  <c:v>3111.1111111111113</c:v>
                </c:pt>
                <c:pt idx="18">
                  <c:v>3305.5555555555557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exercise_pipeline!$S$49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exercise_pipeline!$S$50:$S$69</c:f>
              <c:numCache>
                <c:formatCode>0</c:formatCode>
                <c:ptCount val="20"/>
                <c:pt idx="0">
                  <c:v>0</c:v>
                </c:pt>
                <c:pt idx="1">
                  <c:v>4.5489355490815342E-2</c:v>
                </c:pt>
                <c:pt idx="2">
                  <c:v>9.0978710981630684E-2</c:v>
                </c:pt>
                <c:pt idx="3">
                  <c:v>0.13646806647250287</c:v>
                </c:pt>
                <c:pt idx="4">
                  <c:v>0.18195742196326137</c:v>
                </c:pt>
                <c:pt idx="5">
                  <c:v>0.22744677745413355</c:v>
                </c:pt>
                <c:pt idx="6">
                  <c:v>7.3333333333332575</c:v>
                </c:pt>
                <c:pt idx="7">
                  <c:v>21.5</c:v>
                </c:pt>
                <c:pt idx="8">
                  <c:v>43.222222222222172</c:v>
                </c:pt>
                <c:pt idx="9">
                  <c:v>72.5</c:v>
                </c:pt>
                <c:pt idx="10">
                  <c:v>109.33333333333326</c:v>
                </c:pt>
                <c:pt idx="11">
                  <c:v>153.72222222222217</c:v>
                </c:pt>
                <c:pt idx="12">
                  <c:v>205.66666666666652</c:v>
                </c:pt>
                <c:pt idx="13">
                  <c:v>256</c:v>
                </c:pt>
                <c:pt idx="14">
                  <c:v>265.16666666666652</c:v>
                </c:pt>
                <c:pt idx="15">
                  <c:v>332.22222222222217</c:v>
                </c:pt>
                <c:pt idx="16">
                  <c:v>467.5</c:v>
                </c:pt>
                <c:pt idx="17">
                  <c:v>645</c:v>
                </c:pt>
                <c:pt idx="18">
                  <c:v>822.5</c:v>
                </c:pt>
                <c:pt idx="19">
                  <c:v>1000</c:v>
                </c:pt>
              </c:numCache>
            </c:numRef>
          </c:xVal>
          <c:yVal>
            <c:numRef>
              <c:f>exercise_pipeline!$L$50:$L$69</c:f>
              <c:numCache>
                <c:formatCode>0</c:formatCode>
                <c:ptCount val="20"/>
                <c:pt idx="0">
                  <c:v>0</c:v>
                </c:pt>
                <c:pt idx="1">
                  <c:v>194.39895508895364</c:v>
                </c:pt>
                <c:pt idx="2">
                  <c:v>388.79791017790728</c:v>
                </c:pt>
                <c:pt idx="3">
                  <c:v>583.19686526686087</c:v>
                </c:pt>
                <c:pt idx="4">
                  <c:v>777.59582035581457</c:v>
                </c:pt>
                <c:pt idx="5">
                  <c:v>971.99477544476815</c:v>
                </c:pt>
                <c:pt idx="6">
                  <c:v>1159.3333333333335</c:v>
                </c:pt>
                <c:pt idx="7">
                  <c:v>1339.6111111111113</c:v>
                </c:pt>
                <c:pt idx="8">
                  <c:v>1512.3333333333335</c:v>
                </c:pt>
                <c:pt idx="9">
                  <c:v>1677.5</c:v>
                </c:pt>
                <c:pt idx="10">
                  <c:v>1835.1111111111113</c:v>
                </c:pt>
                <c:pt idx="11">
                  <c:v>1985.166666666667</c:v>
                </c:pt>
                <c:pt idx="12">
                  <c:v>2127.666666666667</c:v>
                </c:pt>
                <c:pt idx="13">
                  <c:v>2244</c:v>
                </c:pt>
                <c:pt idx="14">
                  <c:v>2262.6111111111113</c:v>
                </c:pt>
                <c:pt idx="15">
                  <c:v>2390.0000000000005</c:v>
                </c:pt>
                <c:pt idx="16">
                  <c:v>2449.166666666667</c:v>
                </c:pt>
                <c:pt idx="17">
                  <c:v>2466.1111111111113</c:v>
                </c:pt>
                <c:pt idx="18">
                  <c:v>2483.0555555555557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48</xdr:row>
      <xdr:rowOff>106245</xdr:rowOff>
    </xdr:from>
    <xdr:to>
      <xdr:col>31</xdr:col>
      <xdr:colOff>155896</xdr:colOff>
      <xdr:row>71</xdr:row>
      <xdr:rowOff>53858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48</xdr:row>
      <xdr:rowOff>87195</xdr:rowOff>
    </xdr:from>
    <xdr:to>
      <xdr:col>36</xdr:col>
      <xdr:colOff>489219</xdr:colOff>
      <xdr:row>71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7026523" y="606999"/>
          <a:ext cx="4519769" cy="493481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48</xdr:row>
      <xdr:rowOff>93345</xdr:rowOff>
    </xdr:from>
    <xdr:to>
      <xdr:col>24</xdr:col>
      <xdr:colOff>78441</xdr:colOff>
      <xdr:row>71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39</xdr:row>
      <xdr:rowOff>156882</xdr:rowOff>
    </xdr:from>
    <xdr:to>
      <xdr:col>8</xdr:col>
      <xdr:colOff>358589</xdr:colOff>
      <xdr:row>43</xdr:row>
      <xdr:rowOff>67235</xdr:rowOff>
    </xdr:to>
    <xdr:sp macro="" textlink="">
      <xdr:nvSpPr>
        <xdr:cNvPr id="17" name="Прямоугольник 16">
          <a:extLst>
            <a:ext uri="{FF2B5EF4-FFF2-40B4-BE49-F238E27FC236}">
              <a16:creationId xmlns:a16="http://schemas.microsoft.com/office/drawing/2014/main" id="{14F7BAB2-6CF2-4E92-BE26-4914484F3C54}"/>
            </a:ext>
          </a:extLst>
        </xdr:cNvPr>
        <xdr:cNvSpPr/>
      </xdr:nvSpPr>
      <xdr:spPr>
        <a:xfrm>
          <a:off x="627529" y="81018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ru-RU" sz="1100" baseline="0"/>
            <a:t>Пример единичного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Расчет распределения давления и температуры в трубе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feed"/>
      <definedName name="encode_json"/>
      <definedName name="encode_pipe"/>
      <definedName name="encode_pipe_construction"/>
      <definedName name="encode_PVT"/>
      <definedName name="encode_t_model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51"/>
  <sheetViews>
    <sheetView tabSelected="1" zoomScale="55" zoomScaleNormal="55" workbookViewId="0">
      <selection activeCell="AG17" sqref="AG17"/>
    </sheetView>
  </sheetViews>
  <sheetFormatPr defaultRowHeight="14.6" x14ac:dyDescent="0.4"/>
  <cols>
    <col min="2" max="2" width="15.69140625" customWidth="1"/>
    <col min="3" max="3" width="10.84375" customWidth="1"/>
    <col min="7" max="7" width="11" customWidth="1"/>
    <col min="8" max="8" width="11" bestFit="1" customWidth="1"/>
    <col min="9" max="9" width="10.3828125" customWidth="1"/>
    <col min="11" max="11" width="12" customWidth="1"/>
    <col min="14" max="14" width="11" bestFit="1" customWidth="1"/>
    <col min="15" max="15" width="10.69140625" bestFit="1" customWidth="1"/>
    <col min="16" max="16" width="9.53515625" bestFit="1" customWidth="1"/>
    <col min="17" max="17" width="12.53515625" customWidth="1"/>
    <col min="18" max="20" width="9.3046875" bestFit="1" customWidth="1"/>
  </cols>
  <sheetData>
    <row r="1" spans="1:12" x14ac:dyDescent="0.4">
      <c r="A1" s="1" t="s">
        <v>0</v>
      </c>
      <c r="F1" t="s">
        <v>1</v>
      </c>
      <c r="G1" t="str">
        <f>[1]!unf_version()</f>
        <v>7.49</v>
      </c>
      <c r="H1" t="s">
        <v>54</v>
      </c>
      <c r="I1" s="22">
        <v>45230</v>
      </c>
      <c r="J1" s="23"/>
      <c r="K1" s="23"/>
      <c r="L1" s="23"/>
    </row>
    <row r="2" spans="1:12" x14ac:dyDescent="0.4">
      <c r="A2" t="s">
        <v>68</v>
      </c>
      <c r="H2" t="s">
        <v>55</v>
      </c>
      <c r="I2" s="24">
        <v>7.49</v>
      </c>
      <c r="J2" s="23"/>
      <c r="K2" s="23"/>
      <c r="L2" s="23"/>
    </row>
    <row r="3" spans="1:12" x14ac:dyDescent="0.4">
      <c r="A3" s="25" t="s">
        <v>56</v>
      </c>
      <c r="B3" s="50" t="s">
        <v>57</v>
      </c>
      <c r="C3" s="51"/>
      <c r="D3" s="51"/>
      <c r="E3" s="52"/>
      <c r="H3" t="s">
        <v>58</v>
      </c>
      <c r="I3" s="23" t="s">
        <v>57</v>
      </c>
      <c r="J3" s="23"/>
      <c r="K3" s="23"/>
      <c r="L3" s="23"/>
    </row>
    <row r="4" spans="1:12" x14ac:dyDescent="0.4">
      <c r="A4" s="25" t="s">
        <v>59</v>
      </c>
      <c r="B4" s="50" t="s">
        <v>60</v>
      </c>
      <c r="C4" s="51"/>
      <c r="D4" s="51"/>
      <c r="E4" s="52"/>
      <c r="H4" t="s">
        <v>61</v>
      </c>
      <c r="I4" s="23" t="s">
        <v>60</v>
      </c>
      <c r="J4" s="23"/>
      <c r="K4" s="23"/>
      <c r="L4" s="23"/>
    </row>
    <row r="5" spans="1:12" x14ac:dyDescent="0.4">
      <c r="A5" s="25" t="s">
        <v>62</v>
      </c>
      <c r="B5" s="50" t="s">
        <v>63</v>
      </c>
      <c r="C5" s="51"/>
      <c r="D5" s="51"/>
      <c r="E5" s="52"/>
      <c r="H5" t="s">
        <v>64</v>
      </c>
      <c r="I5" s="23" t="s">
        <v>63</v>
      </c>
      <c r="J5" s="23"/>
      <c r="K5" s="23"/>
      <c r="L5" s="23"/>
    </row>
    <row r="6" spans="1:12" x14ac:dyDescent="0.4">
      <c r="A6" s="26" t="s">
        <v>65</v>
      </c>
      <c r="B6" s="53" t="s">
        <v>66</v>
      </c>
      <c r="C6" s="54"/>
      <c r="D6" s="54"/>
      <c r="E6" s="55"/>
      <c r="H6" s="27" t="s">
        <v>67</v>
      </c>
      <c r="I6" s="28" t="s">
        <v>66</v>
      </c>
      <c r="J6" s="28"/>
      <c r="K6" s="28"/>
      <c r="L6" s="28"/>
    </row>
    <row r="7" spans="1:12" x14ac:dyDescent="0.4">
      <c r="A7" s="29"/>
      <c r="B7" s="56"/>
      <c r="C7" s="57"/>
      <c r="D7" s="57"/>
      <c r="E7" s="58"/>
      <c r="H7" s="27"/>
      <c r="I7" s="28"/>
      <c r="J7" s="28"/>
      <c r="K7" s="28"/>
      <c r="L7" s="28"/>
    </row>
    <row r="8" spans="1:12" x14ac:dyDescent="0.4">
      <c r="A8" s="30"/>
      <c r="B8" s="59"/>
      <c r="C8" s="60"/>
      <c r="D8" s="60"/>
      <c r="E8" s="61"/>
      <c r="H8" s="27"/>
      <c r="I8" s="28"/>
      <c r="J8" s="28"/>
      <c r="K8" s="28"/>
      <c r="L8" s="28"/>
    </row>
    <row r="10" spans="1:12" x14ac:dyDescent="0.4">
      <c r="A10" s="1" t="s">
        <v>2</v>
      </c>
    </row>
    <row r="11" spans="1:12" ht="17.600000000000001" x14ac:dyDescent="0.55000000000000004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7.600000000000001" x14ac:dyDescent="0.55000000000000004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7.600000000000001" x14ac:dyDescent="0.55000000000000004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7.600000000000001" x14ac:dyDescent="0.55000000000000004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7.149999999999999" x14ac:dyDescent="0.55000000000000004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7.149999999999999" x14ac:dyDescent="0.55000000000000004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7.600000000000001" x14ac:dyDescent="0.55000000000000004">
      <c r="B17" s="7" t="s">
        <v>17</v>
      </c>
      <c r="C17" s="3">
        <v>1.2</v>
      </c>
      <c r="D17" s="6" t="s">
        <v>8</v>
      </c>
    </row>
    <row r="18" spans="1:17" ht="17.149999999999999" x14ac:dyDescent="0.55000000000000004">
      <c r="B18" s="9" t="s">
        <v>18</v>
      </c>
      <c r="C18" s="3">
        <v>1</v>
      </c>
      <c r="D18" s="4" t="s">
        <v>19</v>
      </c>
    </row>
    <row r="20" spans="1:17" x14ac:dyDescent="0.4">
      <c r="A20" s="1" t="s">
        <v>20</v>
      </c>
      <c r="N20" s="1" t="s">
        <v>69</v>
      </c>
    </row>
    <row r="21" spans="1:17" ht="17.149999999999999" x14ac:dyDescent="0.55000000000000004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7.600000000000001" x14ac:dyDescent="0.55000000000000004">
      <c r="B22" s="7" t="s">
        <v>10</v>
      </c>
      <c r="C22" s="3">
        <v>80</v>
      </c>
      <c r="D22" s="6" t="s">
        <v>8</v>
      </c>
      <c r="E22" s="8">
        <f>Rp_/gamma_oil_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7.149999999999999" x14ac:dyDescent="0.55000000000000004">
      <c r="B23" s="9" t="s">
        <v>23</v>
      </c>
      <c r="C23" s="3">
        <v>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7.149999999999999" x14ac:dyDescent="0.55000000000000004">
      <c r="B24" s="9" t="s">
        <v>49</v>
      </c>
      <c r="C24" s="3">
        <v>0</v>
      </c>
      <c r="D24" s="6" t="s">
        <v>50</v>
      </c>
    </row>
    <row r="25" spans="1:17" x14ac:dyDescent="0.4">
      <c r="F25" s="48" t="s">
        <v>73</v>
      </c>
      <c r="G25" s="49"/>
      <c r="H25" s="3">
        <v>0</v>
      </c>
    </row>
    <row r="26" spans="1:17" ht="18" customHeight="1" x14ac:dyDescent="0.4">
      <c r="F26" s="48" t="s">
        <v>74</v>
      </c>
      <c r="G26" s="49"/>
      <c r="H26" s="3">
        <v>0</v>
      </c>
    </row>
    <row r="27" spans="1:17" ht="15.75" customHeight="1" x14ac:dyDescent="0.4">
      <c r="F27" s="48" t="s">
        <v>75</v>
      </c>
      <c r="G27" s="49"/>
      <c r="H27" s="3">
        <v>0</v>
      </c>
    </row>
    <row r="28" spans="1:17" ht="15" customHeight="1" x14ac:dyDescent="0.4">
      <c r="A28" s="35" t="s">
        <v>25</v>
      </c>
      <c r="B28" s="10"/>
    </row>
    <row r="29" spans="1:17" ht="15" customHeight="1" x14ac:dyDescent="0.4">
      <c r="B29" s="9" t="s">
        <v>28</v>
      </c>
      <c r="C29" s="31">
        <v>50</v>
      </c>
      <c r="D29" s="6" t="s">
        <v>12</v>
      </c>
      <c r="F29" s="48" t="s">
        <v>80</v>
      </c>
      <c r="G29" s="49"/>
      <c r="H29" s="3">
        <v>0</v>
      </c>
    </row>
    <row r="30" spans="1:17" x14ac:dyDescent="0.4">
      <c r="B30" s="9" t="s">
        <v>29</v>
      </c>
      <c r="C30" s="31">
        <v>180</v>
      </c>
      <c r="D30" s="6" t="s">
        <v>12</v>
      </c>
      <c r="F30" s="62" t="s">
        <v>76</v>
      </c>
      <c r="G30" s="62"/>
    </row>
    <row r="31" spans="1:17" ht="15" customHeight="1" x14ac:dyDescent="0.4">
      <c r="B31" s="9" t="s">
        <v>30</v>
      </c>
      <c r="C31" s="3">
        <v>100</v>
      </c>
      <c r="D31" s="6" t="s">
        <v>31</v>
      </c>
      <c r="F31" s="48" t="s">
        <v>77</v>
      </c>
      <c r="G31" s="49"/>
      <c r="H31" s="3">
        <v>1</v>
      </c>
    </row>
    <row r="32" spans="1:17" ht="15" customHeight="1" x14ac:dyDescent="0.4">
      <c r="B32" s="9" t="s">
        <v>32</v>
      </c>
      <c r="C32" s="3">
        <v>50</v>
      </c>
      <c r="D32" s="6" t="s">
        <v>31</v>
      </c>
      <c r="F32" s="48" t="s">
        <v>78</v>
      </c>
      <c r="G32" s="49"/>
      <c r="H32" s="3">
        <v>1</v>
      </c>
    </row>
    <row r="34" spans="1:25" x14ac:dyDescent="0.4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4">
      <c r="B35" s="11" t="s">
        <v>81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{"gamma_gas":0.8,"gamma_oil":0.87,"gamma_wat":1,"rsb_m3m3":80,"pb_atma":120,"t_res_C":100,"bob_m3m3":1.2,"muob_cP":1,"PVT_corr_set":0,"q_liq_sm3day":40,"fw_perc":0,"rp_m3m3":80}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9.15" x14ac:dyDescent="0.4">
      <c r="B37" s="11" t="s">
        <v>82</v>
      </c>
      <c r="C37" s="12" t="str" cm="1">
        <f t="array" ref="C37">[1]!encode_t_model(temp_model,E57:F59,T0,T1_)</f>
        <v>{"t_model":1,"t_list_C":{"hvert_m":[0,1000,2500],"t_C":[20,25,90]}}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4">
      <c r="B38" s="11" t="s">
        <v>83</v>
      </c>
      <c r="C38" s="12" t="str" cm="1">
        <f t="array" ref="C38">[1]!encode_pipe_construction(B57:C77,H57:I62)</f>
        <v>{"h_list_m":{"hmes_m":[0,1000.234,1100,1200,1300,1400,1500,1600,1700,1800,1900,2000,2100,2200,2300,2400,2500,2600,2700,2800,3500],"hvert_m":[0,1000,1096,1191,1284,1375,1464,1551,1636,1719,1800,1879,1956,2031,2104,2175,2244,2311,2376,2439,2500]},"diam_list_mm":{"hmes_m":[0,2500,3500],"diam_int_mm":[62,125,125]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39" spans="1:25" x14ac:dyDescent="0.4">
      <c r="B39" s="63"/>
      <c r="C39" s="64" t="str" cm="1">
        <f t="array" ref="C39">[1]!encode_pipe(construction,t_model,hcor,flow_along_coord,calibr_grav,calibr_fric)</f>
        <v>{"construction":{"h_list_m":{"hmes_m":[0,1000.234,1100,1200,1300,1400,1500,1600,1700,1800,1900,2000,2100,2200,2300,2400,2500,2600,2700,2800,3500],"hvert_m":[0,1000,1096,1191,1284,1375,1464,1551,1636,1719,1800,1879,1956,2031,2104,2175,2244,2311,2376,2439,2500]},"diam_list_mm":{"hmes_m":[0,2500,3500],"diam_int_mm":[62,125,125]}},"t_model":{"t_model":1,"t_list_C":{"hvert_m":[0,1000,2500],"t_C":[20,25,90]}},"flow_correlation":1,"flow_along_coord":false,"calibr_grav":1,"calibr_fric":1,"znlf":false}</v>
      </c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</row>
    <row r="41" spans="1:25" ht="14.5" customHeight="1" x14ac:dyDescent="0.4">
      <c r="I41" s="38"/>
      <c r="K41" s="35" t="s">
        <v>88</v>
      </c>
      <c r="O41" s="35" t="s">
        <v>90</v>
      </c>
    </row>
    <row r="42" spans="1:25" ht="14.5" customHeight="1" x14ac:dyDescent="0.4">
      <c r="I42" s="38"/>
      <c r="K42" s="6" t="s">
        <v>85</v>
      </c>
      <c r="L42" s="36">
        <v>0</v>
      </c>
      <c r="O42" s="6" t="s">
        <v>91</v>
      </c>
      <c r="P42" s="36">
        <v>0</v>
      </c>
    </row>
    <row r="43" spans="1:25" x14ac:dyDescent="0.4">
      <c r="K43" s="6" t="s">
        <v>86</v>
      </c>
      <c r="L43" s="36">
        <v>5</v>
      </c>
      <c r="O43" s="6" t="s">
        <v>92</v>
      </c>
      <c r="P43" s="36">
        <v>0</v>
      </c>
    </row>
    <row r="44" spans="1:25" x14ac:dyDescent="0.4">
      <c r="K44" s="6" t="s">
        <v>87</v>
      </c>
      <c r="L44" s="36">
        <v>1</v>
      </c>
    </row>
    <row r="45" spans="1:25" x14ac:dyDescent="0.4">
      <c r="K45" s="23" t="str" cm="1">
        <f t="array" ref="K45">[1]!encode_json(K42:L44)</f>
        <v>{"show_log":0,"num_value":5,"show_array":1}</v>
      </c>
      <c r="L45" s="23"/>
      <c r="M45" s="23"/>
      <c r="N45" s="23"/>
      <c r="O45" s="23"/>
      <c r="P45" s="23"/>
      <c r="Q45" s="23"/>
      <c r="R45" s="23"/>
    </row>
    <row r="46" spans="1:25" x14ac:dyDescent="0.4">
      <c r="A46" s="35" t="s">
        <v>34</v>
      </c>
      <c r="F46" s="13" t="s">
        <v>52</v>
      </c>
      <c r="G46" s="14"/>
      <c r="H46" s="14"/>
      <c r="R46">
        <f>LEN(R47)</f>
        <v>44</v>
      </c>
    </row>
    <row r="47" spans="1:25" ht="17.149999999999999" x14ac:dyDescent="0.55000000000000004">
      <c r="B47" s="6" t="s">
        <v>35</v>
      </c>
      <c r="C47" s="36">
        <v>3500</v>
      </c>
      <c r="D47" s="37" t="s">
        <v>26</v>
      </c>
      <c r="F47" s="32"/>
      <c r="G47" s="33" t="s">
        <v>84</v>
      </c>
      <c r="H47" s="3">
        <v>1</v>
      </c>
      <c r="K47" s="40" cm="1">
        <f t="array" ref="K47:R69">[1]!MF_pipe_p_atma(P0,T0,C39,feed,calc_along_coord,param)</f>
        <v>1</v>
      </c>
      <c r="L47" s="20">
        <v>247.54400000000001</v>
      </c>
      <c r="M47" s="20">
        <v>20</v>
      </c>
      <c r="N47" s="40">
        <v>50</v>
      </c>
      <c r="O47" s="20">
        <v>90</v>
      </c>
      <c r="P47" s="20">
        <v>1</v>
      </c>
      <c r="Q47" s="20">
        <v>1</v>
      </c>
      <c r="R47" s="20" t="str">
        <v>["set show_log=1 in param to show calc log"]</v>
      </c>
    </row>
    <row r="48" spans="1:25" ht="18" customHeight="1" x14ac:dyDescent="0.55000000000000004">
      <c r="B48" s="6" t="s">
        <v>36</v>
      </c>
      <c r="C48" s="36">
        <v>2500</v>
      </c>
      <c r="D48" s="37" t="s">
        <v>37</v>
      </c>
      <c r="F48" s="32"/>
      <c r="G48" s="33" t="s">
        <v>48</v>
      </c>
      <c r="H48" s="3">
        <v>1</v>
      </c>
      <c r="K48" s="20" t="str">
        <v>p_result_atma</v>
      </c>
      <c r="L48" s="20" t="str">
        <v>p_1, atma</v>
      </c>
      <c r="M48" s="20" t="str">
        <v>t_1, C</v>
      </c>
      <c r="N48" s="20" t="str">
        <v>p_2, atma</v>
      </c>
      <c r="O48" s="20" t="str">
        <v>t_2, C</v>
      </c>
      <c r="P48" s="20" t="str">
        <v>calibr_grav</v>
      </c>
      <c r="Q48" s="20" t="str">
        <v>calibr_fric</v>
      </c>
      <c r="R48" s="20" t="str">
        <v>log</v>
      </c>
    </row>
    <row r="49" spans="2:19" ht="18" customHeight="1" x14ac:dyDescent="0.55000000000000004">
      <c r="B49" s="6" t="s">
        <v>38</v>
      </c>
      <c r="C49" s="36">
        <v>140</v>
      </c>
      <c r="D49" s="37" t="s">
        <v>27</v>
      </c>
      <c r="F49" s="32"/>
      <c r="G49" s="33" t="s">
        <v>46</v>
      </c>
      <c r="H49" s="3">
        <v>0</v>
      </c>
      <c r="I49" s="3">
        <v>0</v>
      </c>
      <c r="K49" s="20" t="str">
        <v>h,m</v>
      </c>
      <c r="L49" s="20" t="str">
        <v>hvert,m</v>
      </c>
      <c r="M49" s="20" t="str">
        <v>p,atma</v>
      </c>
      <c r="N49" s="20" t="str">
        <v>t,C</v>
      </c>
      <c r="O49" s="20" t="str">
        <v>t_amb, C</v>
      </c>
      <c r="P49" s="20" t="str">
        <v>Hl, %</v>
      </c>
      <c r="Q49" s="20" t="str">
        <v>fpat</v>
      </c>
      <c r="R49" s="20" t="str">
        <v>diam, mm</v>
      </c>
      <c r="S49" s="23" t="s">
        <v>89</v>
      </c>
    </row>
    <row r="50" spans="2:19" ht="18" customHeight="1" x14ac:dyDescent="0.55000000000000004">
      <c r="B50" s="6" t="s">
        <v>39</v>
      </c>
      <c r="C50" s="36">
        <v>65</v>
      </c>
      <c r="D50" s="37" t="s">
        <v>27</v>
      </c>
      <c r="F50" s="32"/>
      <c r="G50" s="33" t="s">
        <v>47</v>
      </c>
      <c r="H50" s="3">
        <v>0</v>
      </c>
      <c r="I50" s="3">
        <v>0</v>
      </c>
      <c r="K50" s="21">
        <v>0</v>
      </c>
      <c r="L50" s="21">
        <v>0</v>
      </c>
      <c r="M50" s="21">
        <v>247.54373330080665</v>
      </c>
      <c r="N50" s="21">
        <v>20</v>
      </c>
      <c r="O50" s="21">
        <v>20</v>
      </c>
      <c r="P50" s="21">
        <v>100</v>
      </c>
      <c r="Q50" s="21">
        <v>100</v>
      </c>
      <c r="R50" s="21">
        <v>62</v>
      </c>
      <c r="S50" s="41">
        <f>K50-L50</f>
        <v>0</v>
      </c>
    </row>
    <row r="51" spans="2:19" ht="18" customHeight="1" x14ac:dyDescent="0.55000000000000004">
      <c r="B51" s="6" t="s">
        <v>40</v>
      </c>
      <c r="C51" s="36">
        <v>12</v>
      </c>
      <c r="D51" s="37" t="s">
        <v>27</v>
      </c>
      <c r="F51" s="32"/>
      <c r="G51" s="34" t="s">
        <v>79</v>
      </c>
      <c r="H51" s="5">
        <f>calc_along_coord*10+flow_along_coord</f>
        <v>0</v>
      </c>
      <c r="I51" s="5">
        <f>calc_along_coord1*10+flow_along_coord1</f>
        <v>0</v>
      </c>
      <c r="K51" s="21">
        <v>194.44444444444446</v>
      </c>
      <c r="L51" s="21">
        <v>194.39895508895364</v>
      </c>
      <c r="M51" s="21">
        <v>231.68260942474819</v>
      </c>
      <c r="N51" s="21">
        <v>20.97199477544477</v>
      </c>
      <c r="O51" s="21">
        <v>20.97199477544477</v>
      </c>
      <c r="P51" s="21">
        <v>100</v>
      </c>
      <c r="Q51" s="21">
        <v>100</v>
      </c>
      <c r="R51" s="21">
        <v>62</v>
      </c>
      <c r="S51" s="41">
        <f t="shared" ref="S51:S69" si="0">K51-L51</f>
        <v>4.5489355490815342E-2</v>
      </c>
    </row>
    <row r="52" spans="2:19" x14ac:dyDescent="0.4">
      <c r="G52" s="10"/>
      <c r="K52" s="21">
        <v>388.88888888888891</v>
      </c>
      <c r="L52" s="21">
        <v>388.79791017790728</v>
      </c>
      <c r="M52" s="21">
        <v>215.83575234907858</v>
      </c>
      <c r="N52" s="21">
        <v>21.943989550889537</v>
      </c>
      <c r="O52" s="21">
        <v>21.943989550889537</v>
      </c>
      <c r="P52" s="21">
        <v>100</v>
      </c>
      <c r="Q52" s="21">
        <v>100</v>
      </c>
      <c r="R52" s="21">
        <v>62</v>
      </c>
      <c r="S52" s="41">
        <f t="shared" si="0"/>
        <v>9.0978710981630684E-2</v>
      </c>
    </row>
    <row r="53" spans="2:19" x14ac:dyDescent="0.4">
      <c r="G53" s="10"/>
      <c r="K53" s="21">
        <v>583.33333333333337</v>
      </c>
      <c r="L53" s="21">
        <v>583.19686526686087</v>
      </c>
      <c r="M53" s="21">
        <v>200.00438604245153</v>
      </c>
      <c r="N53" s="21">
        <v>22.915984326334307</v>
      </c>
      <c r="O53" s="21">
        <v>22.915984326334307</v>
      </c>
      <c r="P53" s="21">
        <v>100</v>
      </c>
      <c r="Q53" s="21">
        <v>100</v>
      </c>
      <c r="R53" s="21">
        <v>62</v>
      </c>
      <c r="S53" s="41">
        <f t="shared" si="0"/>
        <v>0.13646806647250287</v>
      </c>
    </row>
    <row r="54" spans="2:19" x14ac:dyDescent="0.4">
      <c r="B54" t="s">
        <v>41</v>
      </c>
      <c r="E54" t="s">
        <v>53</v>
      </c>
      <c r="G54" s="10"/>
      <c r="H54" t="s">
        <v>51</v>
      </c>
      <c r="I54" s="10"/>
      <c r="K54" s="21">
        <v>777.77777777777783</v>
      </c>
      <c r="L54" s="21">
        <v>777.59582035581457</v>
      </c>
      <c r="M54" s="21">
        <v>184.19003950106085</v>
      </c>
      <c r="N54" s="21">
        <v>23.88797910177907</v>
      </c>
      <c r="O54" s="21">
        <v>23.88797910177907</v>
      </c>
      <c r="P54" s="21">
        <v>100</v>
      </c>
      <c r="Q54" s="21">
        <v>100</v>
      </c>
      <c r="R54" s="21">
        <v>62</v>
      </c>
      <c r="S54" s="41">
        <f t="shared" si="0"/>
        <v>0.18195742196326137</v>
      </c>
    </row>
    <row r="55" spans="2:19" ht="17.149999999999999" x14ac:dyDescent="0.55000000000000004">
      <c r="B55" s="17" t="s">
        <v>42</v>
      </c>
      <c r="C55" s="17" t="s">
        <v>43</v>
      </c>
      <c r="E55" s="17" t="s">
        <v>43</v>
      </c>
      <c r="F55" s="17" t="s">
        <v>44</v>
      </c>
      <c r="G55" s="10"/>
      <c r="H55" s="17" t="s">
        <v>42</v>
      </c>
      <c r="I55" s="15" t="s">
        <v>45</v>
      </c>
      <c r="K55" s="21">
        <v>972.22222222222229</v>
      </c>
      <c r="L55" s="21">
        <v>971.99477544476815</v>
      </c>
      <c r="M55" s="21">
        <v>168.39465311272235</v>
      </c>
      <c r="N55" s="21">
        <v>24.85997387722384</v>
      </c>
      <c r="O55" s="21">
        <v>24.85997387722384</v>
      </c>
      <c r="P55" s="21">
        <v>100</v>
      </c>
      <c r="Q55" s="21">
        <v>100</v>
      </c>
      <c r="R55" s="21">
        <v>62</v>
      </c>
      <c r="S55" s="41">
        <f t="shared" si="0"/>
        <v>0.22744677745413355</v>
      </c>
    </row>
    <row r="56" spans="2:19" x14ac:dyDescent="0.4">
      <c r="B56" s="17" t="s">
        <v>26</v>
      </c>
      <c r="C56" s="17" t="s">
        <v>26</v>
      </c>
      <c r="E56" s="17" t="s">
        <v>26</v>
      </c>
      <c r="F56" s="17" t="s">
        <v>37</v>
      </c>
      <c r="G56" s="10"/>
      <c r="H56" s="17" t="s">
        <v>26</v>
      </c>
      <c r="I56" s="17" t="s">
        <v>27</v>
      </c>
      <c r="K56" s="21">
        <v>1166.6666666666667</v>
      </c>
      <c r="L56" s="21">
        <v>1159.3333333333335</v>
      </c>
      <c r="M56" s="21">
        <v>153.09663678280063</v>
      </c>
      <c r="N56" s="21">
        <v>31.904444444444451</v>
      </c>
      <c r="O56" s="21">
        <v>31.904444444444451</v>
      </c>
      <c r="P56" s="21">
        <v>100</v>
      </c>
      <c r="Q56" s="21">
        <v>100</v>
      </c>
      <c r="R56" s="21">
        <v>62</v>
      </c>
      <c r="S56" s="41">
        <f t="shared" si="0"/>
        <v>7.3333333333332575</v>
      </c>
    </row>
    <row r="57" spans="2:19" x14ac:dyDescent="0.4">
      <c r="B57" s="16">
        <v>0</v>
      </c>
      <c r="C57" s="16">
        <v>0</v>
      </c>
      <c r="E57" s="42">
        <v>0</v>
      </c>
      <c r="F57" s="42">
        <v>20</v>
      </c>
      <c r="G57" s="10"/>
      <c r="H57" s="42">
        <v>0</v>
      </c>
      <c r="I57" s="43">
        <v>62</v>
      </c>
      <c r="K57" s="21">
        <v>1361.1111111111113</v>
      </c>
      <c r="L57" s="21">
        <v>1339.6111111111113</v>
      </c>
      <c r="M57" s="21">
        <v>138.72852378558946</v>
      </c>
      <c r="N57" s="21">
        <v>39.716481481481495</v>
      </c>
      <c r="O57" s="21">
        <v>39.716481481481495</v>
      </c>
      <c r="P57" s="21">
        <v>100</v>
      </c>
      <c r="Q57" s="21">
        <v>100</v>
      </c>
      <c r="R57" s="21">
        <v>62</v>
      </c>
      <c r="S57" s="41">
        <f t="shared" si="0"/>
        <v>21.5</v>
      </c>
    </row>
    <row r="58" spans="2:19" x14ac:dyDescent="0.4">
      <c r="B58" s="16">
        <v>1000.23423423423</v>
      </c>
      <c r="C58" s="16">
        <v>1000</v>
      </c>
      <c r="E58" s="42">
        <v>1000</v>
      </c>
      <c r="F58" s="42">
        <v>25</v>
      </c>
      <c r="G58" s="10"/>
      <c r="H58" s="42">
        <v>2500</v>
      </c>
      <c r="I58" s="43">
        <v>125</v>
      </c>
      <c r="K58" s="21">
        <v>1555.5555555555557</v>
      </c>
      <c r="L58" s="21">
        <v>1512.3333333333335</v>
      </c>
      <c r="M58" s="21">
        <v>125.05796300467773</v>
      </c>
      <c r="N58" s="21">
        <v>47.201111111111118</v>
      </c>
      <c r="O58" s="21">
        <v>47.201111111111118</v>
      </c>
      <c r="P58" s="21">
        <v>100</v>
      </c>
      <c r="Q58" s="21">
        <v>100</v>
      </c>
      <c r="R58" s="21">
        <v>62</v>
      </c>
      <c r="S58" s="41">
        <f t="shared" si="0"/>
        <v>43.222222222222172</v>
      </c>
    </row>
    <row r="59" spans="2:19" x14ac:dyDescent="0.4">
      <c r="B59" s="16">
        <v>1100</v>
      </c>
      <c r="C59" s="16">
        <v>1096</v>
      </c>
      <c r="E59" s="42">
        <v>2500</v>
      </c>
      <c r="F59" s="42">
        <v>90</v>
      </c>
      <c r="G59" s="10"/>
      <c r="H59" s="42">
        <v>4000</v>
      </c>
      <c r="I59" s="43">
        <v>125</v>
      </c>
      <c r="K59" s="21">
        <v>1750</v>
      </c>
      <c r="L59" s="21">
        <v>1677.5</v>
      </c>
      <c r="M59" s="21">
        <v>112.08364384076603</v>
      </c>
      <c r="N59" s="21">
        <v>54.358333333333334</v>
      </c>
      <c r="O59" s="21">
        <v>54.358333333333334</v>
      </c>
      <c r="P59" s="21">
        <v>100</v>
      </c>
      <c r="Q59" s="21">
        <v>100</v>
      </c>
      <c r="R59" s="21">
        <v>62</v>
      </c>
      <c r="S59" s="41">
        <f t="shared" si="0"/>
        <v>72.5</v>
      </c>
    </row>
    <row r="60" spans="2:19" x14ac:dyDescent="0.4">
      <c r="B60" s="16">
        <v>1200</v>
      </c>
      <c r="C60" s="16">
        <v>1191</v>
      </c>
      <c r="E60" s="42"/>
      <c r="F60" s="42"/>
      <c r="G60" s="10"/>
      <c r="H60" s="42"/>
      <c r="I60" s="42"/>
      <c r="K60" s="21">
        <v>1944.4444444444446</v>
      </c>
      <c r="L60" s="21">
        <v>1835.1111111111113</v>
      </c>
      <c r="M60" s="21">
        <v>99.808872234221411</v>
      </c>
      <c r="N60" s="21">
        <v>61.188148148148159</v>
      </c>
      <c r="O60" s="21">
        <v>61.188148148148159</v>
      </c>
      <c r="P60" s="21">
        <v>99.814062322783116</v>
      </c>
      <c r="Q60" s="21">
        <v>102</v>
      </c>
      <c r="R60" s="21">
        <v>62</v>
      </c>
      <c r="S60" s="41">
        <f t="shared" si="0"/>
        <v>109.33333333333326</v>
      </c>
    </row>
    <row r="61" spans="2:19" x14ac:dyDescent="0.4">
      <c r="B61" s="16">
        <v>1300</v>
      </c>
      <c r="C61" s="16">
        <v>1284</v>
      </c>
      <c r="E61" s="42"/>
      <c r="F61" s="42"/>
      <c r="G61" s="10"/>
      <c r="H61" s="42"/>
      <c r="I61" s="42"/>
      <c r="K61" s="21">
        <v>2138.8888888888891</v>
      </c>
      <c r="L61" s="21">
        <v>1985.166666666667</v>
      </c>
      <c r="M61" s="21">
        <v>88.139968918551602</v>
      </c>
      <c r="N61" s="21">
        <v>67.690555555555576</v>
      </c>
      <c r="O61" s="21">
        <v>67.690555555555576</v>
      </c>
      <c r="P61" s="21">
        <v>99.708327285296335</v>
      </c>
      <c r="Q61" s="21">
        <v>102</v>
      </c>
      <c r="R61" s="21">
        <v>62</v>
      </c>
      <c r="S61" s="41">
        <f t="shared" si="0"/>
        <v>153.72222222222217</v>
      </c>
    </row>
    <row r="62" spans="2:19" x14ac:dyDescent="0.4">
      <c r="B62" s="16">
        <v>1400</v>
      </c>
      <c r="C62" s="16">
        <v>1375</v>
      </c>
      <c r="E62" s="42"/>
      <c r="F62" s="42"/>
      <c r="G62" s="10"/>
      <c r="H62" s="42"/>
      <c r="I62" s="42"/>
      <c r="K62" s="21">
        <v>2333.3333333333335</v>
      </c>
      <c r="L62" s="21">
        <v>2127.666666666667</v>
      </c>
      <c r="M62" s="21">
        <v>77.062488040382505</v>
      </c>
      <c r="N62" s="21">
        <v>73.865555555555559</v>
      </c>
      <c r="O62" s="21">
        <v>73.865555555555559</v>
      </c>
      <c r="P62" s="21">
        <v>99.352650988929199</v>
      </c>
      <c r="Q62" s="21">
        <v>102</v>
      </c>
      <c r="R62" s="21">
        <v>62</v>
      </c>
      <c r="S62" s="41">
        <f t="shared" si="0"/>
        <v>205.66666666666652</v>
      </c>
    </row>
    <row r="63" spans="2:19" x14ac:dyDescent="0.4">
      <c r="B63" s="16">
        <v>1500</v>
      </c>
      <c r="C63" s="16">
        <v>1464</v>
      </c>
      <c r="E63" s="42"/>
      <c r="F63" s="42"/>
      <c r="G63" s="10"/>
      <c r="H63" s="42"/>
      <c r="I63" s="42"/>
      <c r="K63" s="21">
        <v>2500</v>
      </c>
      <c r="L63" s="21">
        <v>2244</v>
      </c>
      <c r="M63" s="21">
        <v>68.047106542443899</v>
      </c>
      <c r="N63" s="21">
        <v>78.906666666666666</v>
      </c>
      <c r="O63" s="21">
        <v>78.906666666666666</v>
      </c>
      <c r="P63" s="21">
        <v>99.754766290776232</v>
      </c>
      <c r="Q63" s="21">
        <v>102</v>
      </c>
      <c r="R63" s="21">
        <v>125</v>
      </c>
      <c r="S63" s="41">
        <f t="shared" si="0"/>
        <v>256</v>
      </c>
    </row>
    <row r="64" spans="2:19" x14ac:dyDescent="0.4">
      <c r="B64" s="16">
        <v>1600</v>
      </c>
      <c r="C64" s="16">
        <v>1551</v>
      </c>
      <c r="E64" s="42"/>
      <c r="F64" s="42"/>
      <c r="G64" s="10"/>
      <c r="H64" s="42"/>
      <c r="I64" s="42"/>
      <c r="K64" s="21">
        <v>2527.7777777777778</v>
      </c>
      <c r="L64" s="21">
        <v>2262.6111111111113</v>
      </c>
      <c r="M64" s="21">
        <v>66.58428311326189</v>
      </c>
      <c r="N64" s="21">
        <v>79.71314814814815</v>
      </c>
      <c r="O64" s="21">
        <v>79.71314814814815</v>
      </c>
      <c r="P64" s="21">
        <v>99.7358673033645</v>
      </c>
      <c r="Q64" s="21">
        <v>102</v>
      </c>
      <c r="R64" s="21">
        <v>125</v>
      </c>
      <c r="S64" s="41">
        <f t="shared" si="0"/>
        <v>265.16666666666652</v>
      </c>
    </row>
    <row r="65" spans="2:31" x14ac:dyDescent="0.4">
      <c r="B65" s="16">
        <v>1700</v>
      </c>
      <c r="C65" s="16">
        <v>1636</v>
      </c>
      <c r="E65" s="42"/>
      <c r="F65" s="42"/>
      <c r="G65" s="10"/>
      <c r="H65" s="42"/>
      <c r="I65" s="42"/>
      <c r="K65" s="21">
        <v>2722.2222222222226</v>
      </c>
      <c r="L65" s="21">
        <v>2390.0000000000005</v>
      </c>
      <c r="M65" s="21">
        <v>56.861463774528488</v>
      </c>
      <c r="N65" s="21">
        <v>85.233333333333348</v>
      </c>
      <c r="O65" s="21">
        <v>85.233333333333348</v>
      </c>
      <c r="P65" s="21">
        <v>99.601575089742454</v>
      </c>
      <c r="Q65" s="21">
        <v>102</v>
      </c>
      <c r="R65" s="21">
        <v>125</v>
      </c>
      <c r="S65" s="41">
        <f t="shared" si="0"/>
        <v>332.22222222222217</v>
      </c>
    </row>
    <row r="66" spans="2:31" x14ac:dyDescent="0.4">
      <c r="B66" s="16">
        <v>1800</v>
      </c>
      <c r="C66" s="16">
        <v>1719</v>
      </c>
      <c r="E66" s="42"/>
      <c r="F66" s="42"/>
      <c r="G66" s="10"/>
      <c r="H66" s="42"/>
      <c r="I66" s="42"/>
      <c r="K66" s="21">
        <v>2916.666666666667</v>
      </c>
      <c r="L66" s="21">
        <v>2449.166666666667</v>
      </c>
      <c r="M66" s="21">
        <v>54.021342802108414</v>
      </c>
      <c r="N66" s="21">
        <v>87.797222222222231</v>
      </c>
      <c r="O66" s="21">
        <v>87.797222222222231</v>
      </c>
      <c r="P66" s="21">
        <v>99.788127502191756</v>
      </c>
      <c r="Q66" s="21">
        <v>102</v>
      </c>
      <c r="R66" s="21">
        <v>125</v>
      </c>
      <c r="S66" s="41">
        <f t="shared" si="0"/>
        <v>467.5</v>
      </c>
    </row>
    <row r="67" spans="2:31" x14ac:dyDescent="0.4">
      <c r="B67" s="16">
        <v>1900</v>
      </c>
      <c r="C67" s="16">
        <v>1800</v>
      </c>
      <c r="E67" s="42"/>
      <c r="F67" s="42"/>
      <c r="G67" s="10"/>
      <c r="H67" s="42"/>
      <c r="I67" s="42"/>
      <c r="K67" s="21">
        <v>3111.1111111111113</v>
      </c>
      <c r="L67" s="21">
        <v>2466.1111111111113</v>
      </c>
      <c r="M67" s="21">
        <v>52.679759138301172</v>
      </c>
      <c r="N67" s="21">
        <v>88.531481481481492</v>
      </c>
      <c r="O67" s="21">
        <v>88.531481481481492</v>
      </c>
      <c r="P67" s="21">
        <v>99.526623550336396</v>
      </c>
      <c r="Q67" s="21">
        <v>102</v>
      </c>
      <c r="R67" s="21">
        <v>125</v>
      </c>
      <c r="S67" s="41">
        <f t="shared" si="0"/>
        <v>645</v>
      </c>
    </row>
    <row r="68" spans="2:31" x14ac:dyDescent="0.4">
      <c r="B68" s="16">
        <v>2000</v>
      </c>
      <c r="C68" s="16">
        <v>1879</v>
      </c>
      <c r="E68" s="42"/>
      <c r="F68" s="42"/>
      <c r="G68" s="10"/>
      <c r="H68" s="42"/>
      <c r="I68" s="42"/>
      <c r="K68" s="21">
        <v>3305.5555555555557</v>
      </c>
      <c r="L68" s="21">
        <v>2483.0555555555557</v>
      </c>
      <c r="M68" s="21">
        <v>51.339780031715925</v>
      </c>
      <c r="N68" s="21">
        <v>89.265740740740739</v>
      </c>
      <c r="O68" s="21">
        <v>89.265740740740739</v>
      </c>
      <c r="P68" s="21">
        <v>99.504649101128095</v>
      </c>
      <c r="Q68" s="21">
        <v>102</v>
      </c>
      <c r="R68" s="21">
        <v>125</v>
      </c>
      <c r="S68" s="41">
        <f t="shared" si="0"/>
        <v>822.5</v>
      </c>
    </row>
    <row r="69" spans="2:31" x14ac:dyDescent="0.4">
      <c r="B69" s="16">
        <v>2100</v>
      </c>
      <c r="C69" s="16">
        <v>1956</v>
      </c>
      <c r="E69" s="42"/>
      <c r="F69" s="42"/>
      <c r="G69" s="10"/>
      <c r="H69" s="42"/>
      <c r="I69" s="42"/>
      <c r="K69" s="21">
        <v>3500</v>
      </c>
      <c r="L69" s="21">
        <v>2500</v>
      </c>
      <c r="M69" s="21">
        <v>50</v>
      </c>
      <c r="N69" s="21">
        <v>90</v>
      </c>
      <c r="O69" s="21">
        <v>90</v>
      </c>
      <c r="P69" s="21">
        <v>99.505201470576338</v>
      </c>
      <c r="Q69" s="21">
        <v>102</v>
      </c>
      <c r="R69" s="21">
        <v>125</v>
      </c>
      <c r="S69" s="41">
        <f t="shared" si="0"/>
        <v>1000</v>
      </c>
    </row>
    <row r="70" spans="2:31" x14ac:dyDescent="0.4">
      <c r="B70" s="16">
        <v>2200</v>
      </c>
      <c r="C70" s="16">
        <v>2031</v>
      </c>
      <c r="E70" s="42"/>
      <c r="F70" s="42"/>
      <c r="G70" s="10"/>
      <c r="H70" s="42"/>
      <c r="I70" s="42"/>
    </row>
    <row r="71" spans="2:31" x14ac:dyDescent="0.4">
      <c r="B71" s="16">
        <v>2300</v>
      </c>
      <c r="C71" s="16">
        <v>2104</v>
      </c>
      <c r="E71" s="42"/>
      <c r="F71" s="42"/>
      <c r="G71" s="10"/>
      <c r="H71" s="42"/>
      <c r="I71" s="42"/>
    </row>
    <row r="72" spans="2:31" x14ac:dyDescent="0.4">
      <c r="B72" s="16">
        <v>2400</v>
      </c>
      <c r="C72" s="16">
        <v>2175</v>
      </c>
      <c r="E72" s="42"/>
      <c r="F72" s="42"/>
      <c r="G72" s="10"/>
      <c r="H72" s="42"/>
      <c r="I72" s="42"/>
      <c r="AA72" s="39"/>
      <c r="AB72" s="39"/>
      <c r="AC72" s="39"/>
      <c r="AD72" s="39"/>
      <c r="AE72" s="39"/>
    </row>
    <row r="73" spans="2:31" x14ac:dyDescent="0.4">
      <c r="B73" s="16">
        <v>2500</v>
      </c>
      <c r="C73" s="16">
        <v>2244</v>
      </c>
      <c r="E73" s="42"/>
      <c r="F73" s="42"/>
      <c r="G73" s="10"/>
      <c r="H73" s="42"/>
      <c r="I73" s="42"/>
      <c r="AA73" s="39"/>
      <c r="AB73" s="39"/>
      <c r="AC73" s="39"/>
      <c r="AD73" s="39"/>
      <c r="AE73" s="39"/>
    </row>
    <row r="74" spans="2:31" x14ac:dyDescent="0.4">
      <c r="B74" s="16">
        <v>2600</v>
      </c>
      <c r="C74" s="16">
        <v>2311</v>
      </c>
      <c r="E74" s="42"/>
      <c r="F74" s="42"/>
      <c r="G74" s="10"/>
      <c r="H74" s="42"/>
      <c r="I74" s="42"/>
      <c r="AA74" s="39"/>
      <c r="AB74" s="39"/>
      <c r="AC74" s="39"/>
      <c r="AD74" s="39"/>
      <c r="AE74" s="39"/>
    </row>
    <row r="75" spans="2:31" x14ac:dyDescent="0.4">
      <c r="B75" s="16">
        <v>2700</v>
      </c>
      <c r="C75" s="16">
        <v>2376</v>
      </c>
      <c r="E75" s="42"/>
      <c r="F75" s="42"/>
      <c r="G75" s="10"/>
      <c r="H75" s="42"/>
      <c r="I75" s="42"/>
      <c r="AA75" s="39"/>
      <c r="AB75" s="39"/>
      <c r="AC75" s="39"/>
      <c r="AD75" s="39"/>
      <c r="AE75" s="39"/>
    </row>
    <row r="76" spans="2:31" x14ac:dyDescent="0.4">
      <c r="B76" s="16">
        <v>2800</v>
      </c>
      <c r="C76" s="16">
        <v>2439</v>
      </c>
      <c r="E76" s="42"/>
      <c r="F76" s="42"/>
      <c r="G76" s="10"/>
      <c r="H76" s="42"/>
      <c r="I76" s="42"/>
      <c r="AA76" s="39"/>
      <c r="AB76" s="39"/>
      <c r="AC76" s="39"/>
      <c r="AD76" s="39"/>
      <c r="AE76" s="39"/>
    </row>
    <row r="77" spans="2:31" x14ac:dyDescent="0.4">
      <c r="B77" s="16">
        <v>3500</v>
      </c>
      <c r="C77" s="16">
        <v>2500</v>
      </c>
      <c r="G77" s="10"/>
      <c r="AA77" s="39"/>
      <c r="AB77" s="47"/>
      <c r="AC77" s="39"/>
      <c r="AD77" s="39"/>
      <c r="AE77" s="39"/>
    </row>
    <row r="78" spans="2:31" x14ac:dyDescent="0.4">
      <c r="B78" s="16"/>
      <c r="C78" s="16"/>
      <c r="G78" s="10"/>
      <c r="AA78" s="39"/>
      <c r="AB78" s="39"/>
      <c r="AC78" s="39"/>
      <c r="AD78" s="39"/>
      <c r="AE78" s="39"/>
    </row>
    <row r="79" spans="2:31" x14ac:dyDescent="0.4">
      <c r="B79" s="16"/>
      <c r="C79" s="16"/>
      <c r="G79" s="10"/>
      <c r="AA79" s="39"/>
      <c r="AB79" s="39"/>
      <c r="AC79" s="39"/>
      <c r="AD79" s="39"/>
      <c r="AE79" s="39"/>
    </row>
    <row r="80" spans="2:31" x14ac:dyDescent="0.4">
      <c r="AA80" s="39"/>
      <c r="AB80" s="39"/>
      <c r="AC80" s="39"/>
      <c r="AD80" s="39"/>
      <c r="AE80" s="39"/>
    </row>
    <row r="126" spans="27:31" x14ac:dyDescent="0.4">
      <c r="AA126" s="39"/>
      <c r="AB126" s="39"/>
      <c r="AC126" s="39"/>
      <c r="AD126" s="39"/>
      <c r="AE126" s="39"/>
    </row>
    <row r="127" spans="27:31" x14ac:dyDescent="0.4">
      <c r="AA127" s="39"/>
      <c r="AB127" s="39"/>
      <c r="AC127" s="39"/>
      <c r="AD127" s="39"/>
      <c r="AE127" s="39"/>
    </row>
    <row r="128" spans="27:31" x14ac:dyDescent="0.4">
      <c r="AA128" s="39"/>
      <c r="AB128" s="39"/>
    </row>
    <row r="129" spans="14:28" x14ac:dyDescent="0.4">
      <c r="AA129" s="39"/>
      <c r="AB129" s="39"/>
    </row>
    <row r="141" spans="14:28" x14ac:dyDescent="0.4">
      <c r="N141" s="46"/>
      <c r="O141" s="45"/>
    </row>
    <row r="142" spans="14:28" x14ac:dyDescent="0.4">
      <c r="N142" s="46"/>
      <c r="O142" s="45"/>
    </row>
    <row r="143" spans="14:28" x14ac:dyDescent="0.4">
      <c r="N143" s="46"/>
      <c r="O143" s="45"/>
    </row>
    <row r="144" spans="14:28" x14ac:dyDescent="0.4">
      <c r="N144" s="46"/>
      <c r="O144" s="45"/>
    </row>
    <row r="145" spans="14:15" x14ac:dyDescent="0.4">
      <c r="N145" s="46"/>
      <c r="O145" s="45"/>
    </row>
    <row r="146" spans="14:15" x14ac:dyDescent="0.4">
      <c r="N146" s="46"/>
      <c r="O146" s="45"/>
    </row>
    <row r="147" spans="14:15" x14ac:dyDescent="0.4">
      <c r="N147" s="39"/>
      <c r="O147" s="45"/>
    </row>
    <row r="148" spans="14:15" x14ac:dyDescent="0.4">
      <c r="N148" s="39"/>
      <c r="O148" s="45"/>
    </row>
    <row r="149" spans="14:15" x14ac:dyDescent="0.4">
      <c r="N149" s="39"/>
      <c r="O149" s="45"/>
    </row>
    <row r="150" spans="14:15" x14ac:dyDescent="0.4">
      <c r="N150" s="39"/>
      <c r="O150" s="45"/>
    </row>
    <row r="151" spans="14:15" x14ac:dyDescent="0.4">
      <c r="O151" s="44"/>
    </row>
  </sheetData>
  <mergeCells count="11">
    <mergeCell ref="F27:G27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56</vt:i4>
      </vt:variant>
    </vt:vector>
  </HeadingPairs>
  <TitlesOfParts>
    <vt:vector size="57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H_from</vt:lpstr>
      <vt:lpstr>H_to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param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2023-10-31T17:08:14Z</dcterms:modified>
</cp:coreProperties>
</file>