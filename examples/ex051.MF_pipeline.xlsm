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9765203C-11AB-4F8F-9160-42D7FEC6AA62}" xr6:coauthVersionLast="47" xr6:coauthVersionMax="47" xr10:uidLastSave="{00000000-0000-0000-0000-000000000000}"/>
  <bookViews>
    <workbookView xWindow="-26790" yWindow="-435" windowWidth="25440" windowHeight="16680" tabRatio="5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exercise_pipeline!$H$48</definedName>
    <definedName name="calc_along_coord1" localSheetId="0">exercise_pipeline!$I$48</definedName>
    <definedName name="calc_flow_direction_" localSheetId="0">exercise_pipeline!$H$50</definedName>
    <definedName name="calc_flow_direction1_" localSheetId="0">exercise_pipeline!$I$50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construction">exercise_pipeline!$C$38</definedName>
    <definedName name="feed">exercise_pipeline!$C$35</definedName>
    <definedName name="flow_along_coord" localSheetId="0">exercise_pipeline!$H$49</definedName>
    <definedName name="flow_along_coord1" localSheetId="0">exercise_pipeline!$I$49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_from">exercise_pipeline!$P$41</definedName>
    <definedName name="H_to">exercise_pipeline!$P$42</definedName>
    <definedName name="hcor" localSheetId="0">exercise_pipeline!$H$46</definedName>
    <definedName name="Hydr_corr_" localSheetId="0">exercise_pipeline!$H$26</definedName>
    <definedName name="inclinometry" localSheetId="0">exercise_pipeline!$B$56:$C$78</definedName>
    <definedName name="input_0" localSheetId="0">exercise_pipeline!$C$11:$C$32</definedName>
    <definedName name="input_1" localSheetId="0">exercise_pipeline!$C$46:$C$50</definedName>
    <definedName name="input_2" localSheetId="0">exercise_pipeline!$H$29:$H$32</definedName>
    <definedName name="input_3" localSheetId="0">exercise_pipeline!$H$47:$H$49</definedName>
    <definedName name="input_5" localSheetId="0">exercise_pipeline!$B$56:$C$78</definedName>
    <definedName name="input_6" localSheetId="0">exercise_pipeline!$E$56:$F$75</definedName>
    <definedName name="input_7" localSheetId="0">exercise_pipeline!$H$56:$I$75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exercise_pipeline!$P$21</definedName>
    <definedName name="muob_" localSheetId="0">exercise_pipeline!$C$18</definedName>
    <definedName name="P0" localSheetId="0">exercise_pipeline!$C$29</definedName>
    <definedName name="P1_" localSheetId="0">exercise_pipeline!$C$30</definedName>
    <definedName name="param">exercise_pipeline!$K$44</definedName>
    <definedName name="Pb_" localSheetId="0">exercise_pipeline!$C$15</definedName>
    <definedName name="Psep" localSheetId="0">exercise_pipeline!$P$22</definedName>
    <definedName name="PVT_corr_" localSheetId="0">exercise_pipeline!$H$25</definedName>
    <definedName name="PVTstr_" localSheetId="0">exercise_pipeline!$C$34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model">exercise_pipeline!$C$37</definedName>
    <definedName name="T0" localSheetId="0">exercise_pipeline!$C$31</definedName>
    <definedName name="T1_" localSheetId="0">exercise_pipeline!$C$32</definedName>
    <definedName name="temp_model" localSheetId="0">exercise_pipeline!$H$47</definedName>
    <definedName name="tempm" localSheetId="0">exercise_pipeline!$H$47</definedName>
    <definedName name="Tres_" localSheetId="0">exercise_pipeline!$C$16</definedName>
    <definedName name="Tsep" localSheetId="0">exercise_pipeline!$P$23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2" i="3" l="1"/>
  <c r="I50" i="3"/>
  <c r="H50" i="3"/>
  <c r="E16" i="3"/>
  <c r="E15" i="3"/>
  <c r="E14" i="3"/>
  <c r="E13" i="3"/>
  <c r="E12" i="3"/>
  <c r="E11" i="3"/>
  <c r="G1" i="3"/>
  <c r="C38" i="3" a="1"/>
  <c r="C37" i="3" a="1"/>
  <c r="K115" i="3" a="1"/>
  <c r="C34" i="3"/>
  <c r="K44" i="3" a="1"/>
  <c r="K115" i="3" l="1"/>
  <c r="C37" i="3"/>
  <c r="K44" i="3"/>
  <c r="C38" i="3"/>
  <c r="J125" i="3" a="1"/>
  <c r="C35" i="3" a="1"/>
  <c r="J125" i="3" l="1"/>
  <c r="C35" i="3"/>
  <c r="L85" i="3" a="1"/>
  <c r="K116" i="3" a="1"/>
  <c r="L86" i="3" a="1"/>
  <c r="L92" i="3" a="1"/>
  <c r="L98" i="3" a="1"/>
  <c r="L93" i="3" a="1"/>
  <c r="L99" i="3" a="1"/>
  <c r="L87" i="3" a="1"/>
  <c r="L88" i="3" a="1"/>
  <c r="L94" i="3" a="1"/>
  <c r="L100" i="3" a="1"/>
  <c r="L96" i="3" a="1"/>
  <c r="L91" i="3" a="1"/>
  <c r="L89" i="3" a="1"/>
  <c r="L95" i="3" a="1"/>
  <c r="L101" i="3" a="1"/>
  <c r="L102" i="3" a="1"/>
  <c r="L97" i="3" a="1"/>
  <c r="L103" i="3" a="1"/>
  <c r="L90" i="3" a="1"/>
  <c r="L104" i="3" a="1"/>
  <c r="L105" i="3" a="1"/>
  <c r="K46" i="3" a="1"/>
  <c r="W41" i="3" a="1"/>
  <c r="K116" i="3" l="1"/>
  <c r="L85" i="3"/>
  <c r="K46" i="3"/>
  <c r="L105" i="3"/>
  <c r="L104" i="3"/>
  <c r="L90" i="3"/>
  <c r="L103" i="3"/>
  <c r="L97" i="3"/>
  <c r="L102" i="3"/>
  <c r="L101" i="3"/>
  <c r="L95" i="3"/>
  <c r="L89" i="3"/>
  <c r="L91" i="3"/>
  <c r="L96" i="3"/>
  <c r="L100" i="3"/>
  <c r="L94" i="3"/>
  <c r="L88" i="3"/>
  <c r="L87" i="3"/>
  <c r="L99" i="3"/>
  <c r="L93" i="3"/>
  <c r="L98" i="3"/>
  <c r="L92" i="3"/>
  <c r="L86" i="3"/>
  <c r="W41" i="3"/>
  <c r="S59" i="3"/>
  <c r="S60" i="3"/>
  <c r="S50" i="3"/>
  <c r="S64" i="3"/>
  <c r="S63" i="3"/>
  <c r="S52" i="3"/>
  <c r="S65" i="3"/>
  <c r="S56" i="3"/>
  <c r="S61" i="3"/>
  <c r="S62" i="3"/>
  <c r="S53" i="3"/>
  <c r="S67" i="3"/>
  <c r="S58" i="3"/>
  <c r="S51" i="3"/>
  <c r="S54" i="3"/>
  <c r="S68" i="3"/>
  <c r="S55" i="3"/>
  <c r="S57" i="3"/>
  <c r="S49" i="3"/>
  <c r="S66" i="3"/>
  <c r="R45" i="3"/>
  <c r="K119" i="3" a="1"/>
  <c r="M125" i="3" a="1"/>
  <c r="L125" i="3" a="1"/>
  <c r="K125" i="3" a="1"/>
  <c r="K125" i="3" l="1"/>
  <c r="L125" i="3"/>
  <c r="M125" i="3"/>
  <c r="K1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6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7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<sst xmlns="http://schemas.openxmlformats.org/spreadsheetml/2006/main" count="127" uniqueCount="103">
  <si>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</si>
  <si>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</si>
  <si>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</si>
  <si>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</si>
  <si>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</si>
  <si>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</si>
  <si>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</si>
  <si>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</si>
  <si>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</si>
  <si>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</si>
  <si>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</si>
  <si>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</si>
  <si>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</si>
  <si>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</si>
  <si>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</si>
  <si>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</si>
  <si>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</si>
  <si>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</si>
  <si>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</si>
  <si>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</si>
  <si>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</si>
  <si>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</si>
  <si>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</si>
  <si>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</si>
  <si>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</si>
  <si>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</si>
  <si>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</si>
  <si>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</si>
  <si>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</si>
  <si>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</si>
  <si>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</si>
  <si>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</si>
  <si>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</si>
  <si>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</si>
  <si>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</si>
  <si>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</si>
  <si>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</si>
  <si>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</si>
  <si>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</si>
  <si>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</si>
  <si>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</si>
  <si>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</si>
  <si>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</si>
  <si>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</si>
  <si>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</si>
  <si>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</si>
  <si>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</si>
  <si>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</si>
  <si>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</si>
  <si>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</si>
  <si>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</si>
  <si>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</si>
  <si>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Настройки модели</t>
  </si>
  <si>
    <t xml:space="preserve">Температура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</si>
  <si>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</si>
  <si>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</si>
  <si>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</si>
  <si>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</si>
  <si>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</si>
  <si>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</si>
  <si>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</si>
  <si>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</si>
  <si>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</si>
  <si>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</si>
  <si>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</si>
  <si>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</si>
  <si>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</si>
  <si>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</si>
  <si>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</si>
  <si>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</si>
  <si>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</si>
  <si>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</si>
  <si>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</si>
  <si>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</si>
  <si>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</si>
  <si>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</si>
  <si>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</si>
  <si>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</si>
  <si>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</si>
  <si>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</si>
  <si>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</si>
  <si>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</si>
  <si>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</si>
  <si>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</si>
  <si>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</si>
  <si>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</si>
  <si>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</si>
  <si>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</si>
  <si>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</si>
  <si>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отклонение</t>
  </si>
  <si>
    <t>Q</t>
  </si>
  <si>
    <t>Границы расчета</t>
  </si>
  <si>
    <t xml:space="preserve">От </t>
  </si>
  <si>
    <t>До</t>
  </si>
  <si>
    <t>Pend</t>
  </si>
  <si>
    <t>Диапазон дебитов</t>
  </si>
  <si>
    <t>Расчет давлений</t>
  </si>
  <si>
    <t>Декодирование результатов расчета</t>
  </si>
  <si>
    <t>Вторая волна декодирования</t>
  </si>
  <si>
    <t>Давления</t>
  </si>
  <si>
    <t>Дебиты</t>
  </si>
  <si>
    <t>Температура</t>
  </si>
  <si>
    <t>feeds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</si>
</sst>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0" fontId="0" fillId="7" borderId="0" xfId="0" applyFill="1" applyBorder="1"/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7" borderId="0" xfId="0" applyNumberFormat="1" applyFill="1" applyAlignment="1">
      <alignment horizontal="center"/>
    </xf>
    <xf numFmtId="1" fontId="0" fillId="7" borderId="0" xfId="0" applyNumberFormat="1" applyFill="1" applyBorder="1"/>
    <xf numFmtId="1" fontId="0" fillId="5" borderId="0" xfId="0" applyNumberFormat="1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0" fillId="0" borderId="0" xfId="0" applyAlignment="1">
      <alignment horizontal="left"/>
    </xf>
    <xf numFmtId="1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2" fontId="0" fillId="0" borderId="0" xfId="0" applyNumberFormat="1" applyFill="1" applyBorder="1" applyAlignment="1">
      <alignment horizontal="center"/>
    </xf>
    <xf numFmtId="0" fontId="0" fillId="2" borderId="0" xfId="0" applyFill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exercise_pipeline!$M$48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exercise_pipeline!$M$49:$M$68</c:f>
              <c:numCache>
                <c:formatCode>0</c:formatCode>
                <c:ptCount val="20"/>
                <c:pt idx="0">
                  <c:v>0.9400576834763984</c:v>
                </c:pt>
                <c:pt idx="1">
                  <c:v>0.9400576834763984</c:v>
                </c:pt>
                <c:pt idx="2">
                  <c:v>0.9400576834763984</c:v>
                </c:pt>
                <c:pt idx="3">
                  <c:v>1.1734709760889146</c:v>
                </c:pt>
                <c:pt idx="4">
                  <c:v>2.2643294028341634</c:v>
                </c:pt>
                <c:pt idx="5">
                  <c:v>3.4259775907397789</c:v>
                </c:pt>
                <c:pt idx="6">
                  <c:v>4.733062544539357</c:v>
                </c:pt>
                <c:pt idx="7">
                  <c:v>6.24473036217619</c:v>
                </c:pt>
                <c:pt idx="8">
                  <c:v>7.9688393169985199</c:v>
                </c:pt>
                <c:pt idx="9">
                  <c:v>9.9928624688757317</c:v>
                </c:pt>
                <c:pt idx="10">
                  <c:v>12.294638437004485</c:v>
                </c:pt>
                <c:pt idx="11">
                  <c:v>14.914044942267662</c:v>
                </c:pt>
                <c:pt idx="12">
                  <c:v>17.967704015734654</c:v>
                </c:pt>
                <c:pt idx="13">
                  <c:v>21.831995558849702</c:v>
                </c:pt>
                <c:pt idx="14">
                  <c:v>26.002057932906116</c:v>
                </c:pt>
                <c:pt idx="15">
                  <c:v>30.443838102186113</c:v>
                </c:pt>
                <c:pt idx="16">
                  <c:v>35.104369876827732</c:v>
                </c:pt>
                <c:pt idx="17">
                  <c:v>39.935004431062026</c:v>
                </c:pt>
                <c:pt idx="18">
                  <c:v>44.891210199463877</c:v>
                </c:pt>
                <c:pt idx="19">
                  <c:v>50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exercise_pipeline!$N$48</c:f>
              <c:strCache>
                <c:ptCount val="1"/>
                <c:pt idx="0">
                  <c:v>t,C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exercise_pipeline!$N$49:$N$68</c:f>
              <c:numCache>
                <c:formatCode>0</c:formatCode>
                <c:ptCount val="20"/>
                <c:pt idx="0">
                  <c:v>20</c:v>
                </c:pt>
                <c:pt idx="1">
                  <c:v>20.55263157894737</c:v>
                </c:pt>
                <c:pt idx="2">
                  <c:v>21.105263157894736</c:v>
                </c:pt>
                <c:pt idx="3">
                  <c:v>21.657894736842106</c:v>
                </c:pt>
                <c:pt idx="4">
                  <c:v>22.210526315789473</c:v>
                </c:pt>
                <c:pt idx="5">
                  <c:v>22.763157894736842</c:v>
                </c:pt>
                <c:pt idx="6">
                  <c:v>23.315789473684209</c:v>
                </c:pt>
                <c:pt idx="7">
                  <c:v>23.868421052631579</c:v>
                </c:pt>
                <c:pt idx="8">
                  <c:v>24.421052631578949</c:v>
                </c:pt>
                <c:pt idx="9">
                  <c:v>24.973684210526315</c:v>
                </c:pt>
                <c:pt idx="10">
                  <c:v>29.376666666666669</c:v>
                </c:pt>
                <c:pt idx="11">
                  <c:v>33.912982456140362</c:v>
                </c:pt>
                <c:pt idx="12">
                  <c:v>38.344385964912277</c:v>
                </c:pt>
                <c:pt idx="13">
                  <c:v>42.670877192982459</c:v>
                </c:pt>
                <c:pt idx="14">
                  <c:v>46.89245614035088</c:v>
                </c:pt>
                <c:pt idx="15">
                  <c:v>51.00912280701754</c:v>
                </c:pt>
                <c:pt idx="16">
                  <c:v>55.020877192982454</c:v>
                </c:pt>
                <c:pt idx="17">
                  <c:v>58.92771929824562</c:v>
                </c:pt>
                <c:pt idx="18">
                  <c:v>62.729649122807018</c:v>
                </c:pt>
                <c:pt idx="19">
                  <c:v>66.426666666666677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0"/>
          <c:order val="1"/>
          <c:tx>
            <c:strRef>
              <c:f>exercise_pipeline!$O$48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exercise_pipeline!$O$49:$O$68</c:f>
              <c:numCache>
                <c:formatCode>0</c:formatCode>
                <c:ptCount val="20"/>
                <c:pt idx="0">
                  <c:v>20</c:v>
                </c:pt>
                <c:pt idx="1">
                  <c:v>20.55263157894737</c:v>
                </c:pt>
                <c:pt idx="2">
                  <c:v>21.105263157894736</c:v>
                </c:pt>
                <c:pt idx="3">
                  <c:v>21.657894736842106</c:v>
                </c:pt>
                <c:pt idx="4">
                  <c:v>22.210526315789473</c:v>
                </c:pt>
                <c:pt idx="5">
                  <c:v>22.763157894736842</c:v>
                </c:pt>
                <c:pt idx="6">
                  <c:v>23.315789473684209</c:v>
                </c:pt>
                <c:pt idx="7">
                  <c:v>23.868421052631579</c:v>
                </c:pt>
                <c:pt idx="8">
                  <c:v>24.421052631578949</c:v>
                </c:pt>
                <c:pt idx="9">
                  <c:v>24.973684210526315</c:v>
                </c:pt>
                <c:pt idx="10">
                  <c:v>29.376666666666669</c:v>
                </c:pt>
                <c:pt idx="11">
                  <c:v>33.912982456140362</c:v>
                </c:pt>
                <c:pt idx="12">
                  <c:v>38.344385964912277</c:v>
                </c:pt>
                <c:pt idx="13">
                  <c:v>42.670877192982459</c:v>
                </c:pt>
                <c:pt idx="14">
                  <c:v>46.89245614035088</c:v>
                </c:pt>
                <c:pt idx="15">
                  <c:v>51.00912280701754</c:v>
                </c:pt>
                <c:pt idx="16">
                  <c:v>55.020877192982454</c:v>
                </c:pt>
                <c:pt idx="17">
                  <c:v>58.92771929824562</c:v>
                </c:pt>
                <c:pt idx="18">
                  <c:v>62.729649122807018</c:v>
                </c:pt>
                <c:pt idx="19">
                  <c:v>66.426666666666677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13-4D35-9D4E-5600DFDD1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exercise_pipeline!$S$48</c:f>
              <c:strCache>
                <c:ptCount val="1"/>
                <c:pt idx="0">
                  <c:v>отклонение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exercise_pipeline!$S$49:$S$68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4.263157894736878</c:v>
                </c:pt>
                <c:pt idx="11">
                  <c:v>10.105263157894797</c:v>
                </c:pt>
                <c:pt idx="12">
                  <c:v>18.368421052631675</c:v>
                </c:pt>
                <c:pt idx="13">
                  <c:v>29.052631578947285</c:v>
                </c:pt>
                <c:pt idx="14">
                  <c:v>42.157894736842081</c:v>
                </c:pt>
                <c:pt idx="15">
                  <c:v>57.684210526315837</c:v>
                </c:pt>
                <c:pt idx="16">
                  <c:v>75.631578947368325</c:v>
                </c:pt>
                <c:pt idx="17">
                  <c:v>96</c:v>
                </c:pt>
                <c:pt idx="18">
                  <c:v>118.78947368421041</c:v>
                </c:pt>
                <c:pt idx="19">
                  <c:v>144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1101</c:v>
                </c:pt>
                <c:pt idx="11">
                  <c:v>1205.6842105263158</c:v>
                </c:pt>
                <c:pt idx="12">
                  <c:v>1307.9473684210525</c:v>
                </c:pt>
                <c:pt idx="13">
                  <c:v>1407.7894736842106</c:v>
                </c:pt>
                <c:pt idx="14">
                  <c:v>1505.2105263157896</c:v>
                </c:pt>
                <c:pt idx="15">
                  <c:v>1600.2105263157894</c:v>
                </c:pt>
                <c:pt idx="16">
                  <c:v>1692.7894736842106</c:v>
                </c:pt>
                <c:pt idx="17">
                  <c:v>1782.9473684210527</c:v>
                </c:pt>
                <c:pt idx="18">
                  <c:v>1870.6842105263158</c:v>
                </c:pt>
                <c:pt idx="19">
                  <c:v>1956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exercise_pipeline!$L$84</c:f>
              <c:strCache>
                <c:ptCount val="1"/>
                <c:pt idx="0">
                  <c:v>Pend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exercise_pipeline!$K$85:$K$105</c:f>
              <c:numCache>
                <c:formatCode>General</c:formatCode>
                <c:ptCount val="21"/>
                <c:pt idx="0">
                  <c:v>1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xVal>
          <c:yVal>
            <c:numRef>
              <c:f>exercise_pipeline!$L$85:$L$105</c:f>
              <c:numCache>
                <c:formatCode>0</c:formatCode>
                <c:ptCount val="21"/>
                <c:pt idx="0">
                  <c:v>207.02555113263571</c:v>
                </c:pt>
                <c:pt idx="1">
                  <c:v>206.07525540773685</c:v>
                </c:pt>
                <c:pt idx="2">
                  <c:v>205.32813210766861</c:v>
                </c:pt>
                <c:pt idx="3">
                  <c:v>204.80615969374924</c:v>
                </c:pt>
                <c:pt idx="4">
                  <c:v>204.43330809616276</c:v>
                </c:pt>
                <c:pt idx="5">
                  <c:v>204.16836578187178</c:v>
                </c:pt>
                <c:pt idx="6">
                  <c:v>203.98317535422305</c:v>
                </c:pt>
                <c:pt idx="7">
                  <c:v>203.90021716178501</c:v>
                </c:pt>
                <c:pt idx="8">
                  <c:v>203.86727767508455</c:v>
                </c:pt>
                <c:pt idx="9">
                  <c:v>203.91920183149384</c:v>
                </c:pt>
                <c:pt idx="10">
                  <c:v>203.96076647313944</c:v>
                </c:pt>
                <c:pt idx="11">
                  <c:v>204.07424959210493</c:v>
                </c:pt>
                <c:pt idx="12">
                  <c:v>204.1932319790246</c:v>
                </c:pt>
                <c:pt idx="13">
                  <c:v>204.33513281365427</c:v>
                </c:pt>
                <c:pt idx="14">
                  <c:v>204.50586923272689</c:v>
                </c:pt>
                <c:pt idx="15">
                  <c:v>204.71052264465791</c:v>
                </c:pt>
                <c:pt idx="16">
                  <c:v>204.93301189748718</c:v>
                </c:pt>
                <c:pt idx="17">
                  <c:v>205.17499836022526</c:v>
                </c:pt>
                <c:pt idx="18">
                  <c:v>205.43964623624376</c:v>
                </c:pt>
                <c:pt idx="19">
                  <c:v>205.72966789474438</c:v>
                </c:pt>
                <c:pt idx="20">
                  <c:v>206.03891633910271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E9-45DC-96F3-7671D918C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278367"/>
        <c:axId val="880283359"/>
      </c:scatterChart>
      <c:valAx>
        <c:axId val="880278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0283359"/>
        <c:crosses val="autoZero"/>
        <c:crossBetween val="midCat"/>
      </c:valAx>
      <c:valAx>
        <c:axId val="880283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0278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exercise_pipeline!$K$124</c:f>
              <c:strCache>
                <c:ptCount val="1"/>
                <c:pt idx="0">
                  <c:v>Давления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exercise_pipeline!$J$125:$J$138</c:f>
              <c:numCache>
                <c:formatCode>General</c:formatCode>
                <c:ptCount val="14"/>
                <c:pt idx="0">
                  <c:v>10</c:v>
                </c:pt>
                <c:pt idx="1">
                  <c:v>40</c:v>
                </c:pt>
                <c:pt idx="2">
                  <c:v>70</c:v>
                </c:pt>
                <c:pt idx="3">
                  <c:v>100</c:v>
                </c:pt>
                <c:pt idx="4">
                  <c:v>130</c:v>
                </c:pt>
                <c:pt idx="5">
                  <c:v>160</c:v>
                </c:pt>
                <c:pt idx="6">
                  <c:v>190</c:v>
                </c:pt>
                <c:pt idx="7">
                  <c:v>220</c:v>
                </c:pt>
                <c:pt idx="8">
                  <c:v>250</c:v>
                </c:pt>
                <c:pt idx="9">
                  <c:v>280</c:v>
                </c:pt>
                <c:pt idx="10">
                  <c:v>310</c:v>
                </c:pt>
                <c:pt idx="11">
                  <c:v>340</c:v>
                </c:pt>
                <c:pt idx="12">
                  <c:v>370</c:v>
                </c:pt>
                <c:pt idx="13">
                  <c:v>400</c:v>
                </c:pt>
              </c:numCache>
            </c:numRef>
          </c:xVal>
          <c:yVal>
            <c:numRef>
              <c:f>exercise_pipeline!$K$125:$K$138</c:f>
              <c:numCache>
                <c:formatCode>General</c:formatCode>
                <c:ptCount val="14"/>
                <c:pt idx="0">
                  <c:v>206.07499999999999</c:v>
                </c:pt>
                <c:pt idx="1">
                  <c:v>204.43299999999999</c:v>
                </c:pt>
                <c:pt idx="2">
                  <c:v>203.9</c:v>
                </c:pt>
                <c:pt idx="3">
                  <c:v>203.96100000000001</c:v>
                </c:pt>
                <c:pt idx="4">
                  <c:v>204.33500000000001</c:v>
                </c:pt>
                <c:pt idx="5">
                  <c:v>204.93299999999999</c:v>
                </c:pt>
                <c:pt idx="6">
                  <c:v>205.73</c:v>
                </c:pt>
                <c:pt idx="7">
                  <c:v>206.71299999999999</c:v>
                </c:pt>
                <c:pt idx="8">
                  <c:v>207.82300000000001</c:v>
                </c:pt>
                <c:pt idx="9">
                  <c:v>209.137</c:v>
                </c:pt>
                <c:pt idx="10">
                  <c:v>210.62100000000001</c:v>
                </c:pt>
                <c:pt idx="11">
                  <c:v>212.26400000000001</c:v>
                </c:pt>
                <c:pt idx="12">
                  <c:v>213.93700000000001</c:v>
                </c:pt>
                <c:pt idx="13">
                  <c:v>215.726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A2-4921-9E56-BE43FFD92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758399"/>
        <c:axId val="769743423"/>
      </c:scatterChart>
      <c:valAx>
        <c:axId val="769758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9743423"/>
        <c:crosses val="autoZero"/>
        <c:crossBetween val="midCat"/>
      </c:valAx>
      <c:valAx>
        <c:axId val="769743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97583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475766</xdr:colOff>
      <xdr:row>47</xdr:row>
      <xdr:rowOff>106245</xdr:rowOff>
    </xdr:from>
    <xdr:to>
      <xdr:col>31</xdr:col>
      <xdr:colOff>155896</xdr:colOff>
      <xdr:row>70</xdr:row>
      <xdr:rowOff>53858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209685</xdr:colOff>
      <xdr:row>47</xdr:row>
      <xdr:rowOff>87195</xdr:rowOff>
    </xdr:from>
    <xdr:to>
      <xdr:col>36</xdr:col>
      <xdr:colOff>489219</xdr:colOff>
      <xdr:row>70</xdr:row>
      <xdr:rowOff>34808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5867805" y="614421"/>
          <a:ext cx="4183593" cy="5044550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MF_pipe_p_atma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19</xdr:col>
      <xdr:colOff>179070</xdr:colOff>
      <xdr:row>47</xdr:row>
      <xdr:rowOff>93345</xdr:rowOff>
    </xdr:from>
    <xdr:to>
      <xdr:col>24</xdr:col>
      <xdr:colOff>78441</xdr:colOff>
      <xdr:row>70</xdr:row>
      <xdr:rowOff>87630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3C6D5EEA-E38D-4C34-8EF5-06DFC23FD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22411</xdr:colOff>
      <xdr:row>38</xdr:row>
      <xdr:rowOff>156882</xdr:rowOff>
    </xdr:from>
    <xdr:to>
      <xdr:col>8</xdr:col>
      <xdr:colOff>358589</xdr:colOff>
      <xdr:row>42</xdr:row>
      <xdr:rowOff>67235</xdr:rowOff>
    </xdr:to>
    <xdr:sp macro="" textlink="">
      <xdr:nvSpPr>
        <xdr:cNvPr id="17" name="Прямоугольник 16">
          <a:extLst>
            <a:ext uri="{FF2B5EF4-FFF2-40B4-BE49-F238E27FC236}">
              <a16:creationId xmlns:a16="http://schemas.microsoft.com/office/drawing/2014/main" id="{14F7BAB2-6CF2-4E92-BE26-4914484F3C54}"/>
            </a:ext>
          </a:extLst>
        </xdr:cNvPr>
        <xdr:cNvSpPr/>
      </xdr:nvSpPr>
      <xdr:spPr>
        <a:xfrm>
          <a:off x="627529" y="8101853"/>
          <a:ext cx="5322795" cy="6499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</a:t>
          </a:r>
          <a:r>
            <a:rPr lang="en-US" sz="1100" baseline="0"/>
            <a:t> </a:t>
          </a:r>
          <a:r>
            <a:rPr lang="ru-RU" sz="1100" baseline="0"/>
            <a:t>Пример единичного расчета</a:t>
          </a:r>
        </a:p>
        <a:p>
          <a:pPr algn="l"/>
          <a:endParaRPr lang="ru-RU" sz="1100" baseline="0"/>
        </a:p>
        <a:p>
          <a:pPr algn="l"/>
          <a:r>
            <a:rPr lang="ru-RU" sz="1100" baseline="0"/>
            <a:t>Расчет распределения давления и температуры в трубе</a:t>
          </a:r>
          <a:endParaRPr lang="ru-RU" sz="1100"/>
        </a:p>
      </xdr:txBody>
    </xdr:sp>
    <xdr:clientData/>
  </xdr:twoCellAnchor>
  <xdr:twoCellAnchor>
    <xdr:from>
      <xdr:col>1</xdr:col>
      <xdr:colOff>22412</xdr:colOff>
      <xdr:row>78</xdr:row>
      <xdr:rowOff>168088</xdr:rowOff>
    </xdr:from>
    <xdr:to>
      <xdr:col>8</xdr:col>
      <xdr:colOff>358590</xdr:colOff>
      <xdr:row>82</xdr:row>
      <xdr:rowOff>56029</xdr:rowOff>
    </xdr:to>
    <xdr:sp macro="" textlink="">
      <xdr:nvSpPr>
        <xdr:cNvPr id="20" name="Прямоугольник 19">
          <a:extLst>
            <a:ext uri="{FF2B5EF4-FFF2-40B4-BE49-F238E27FC236}">
              <a16:creationId xmlns:a16="http://schemas.microsoft.com/office/drawing/2014/main" id="{41C5E646-0BC9-44D0-B0C5-F0B4084490EF}"/>
            </a:ext>
          </a:extLst>
        </xdr:cNvPr>
        <xdr:cNvSpPr/>
      </xdr:nvSpPr>
      <xdr:spPr>
        <a:xfrm>
          <a:off x="627530" y="15912353"/>
          <a:ext cx="5322795" cy="6499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</a:t>
          </a:r>
          <a:r>
            <a:rPr lang="en-US" sz="1100"/>
            <a:t>.</a:t>
          </a:r>
          <a:r>
            <a:rPr lang="en-US" sz="1100" baseline="0"/>
            <a:t> </a:t>
          </a:r>
          <a:r>
            <a:rPr lang="ru-RU" sz="1100" baseline="0"/>
            <a:t>Пример массового расчета</a:t>
          </a:r>
        </a:p>
        <a:p>
          <a:pPr algn="l"/>
          <a:endParaRPr lang="ru-RU" sz="1100" baseline="0"/>
        </a:p>
        <a:p>
          <a:pPr algn="l"/>
          <a:r>
            <a:rPr lang="ru-RU" sz="1100" baseline="0"/>
            <a:t>Построить кривую зависимости давления на конце трубы от дебита</a:t>
          </a:r>
          <a:endParaRPr lang="ru-RU" sz="1100"/>
        </a:p>
      </xdr:txBody>
    </xdr:sp>
    <xdr:clientData/>
  </xdr:twoCellAnchor>
  <xdr:twoCellAnchor>
    <xdr:from>
      <xdr:col>1</xdr:col>
      <xdr:colOff>22412</xdr:colOff>
      <xdr:row>108</xdr:row>
      <xdr:rowOff>56029</xdr:rowOff>
    </xdr:from>
    <xdr:to>
      <xdr:col>8</xdr:col>
      <xdr:colOff>358590</xdr:colOff>
      <xdr:row>113</xdr:row>
      <xdr:rowOff>89647</xdr:rowOff>
    </xdr:to>
    <xdr:sp macro="" textlink="">
      <xdr:nvSpPr>
        <xdr:cNvPr id="21" name="Прямоугольник 20">
          <a:extLst>
            <a:ext uri="{FF2B5EF4-FFF2-40B4-BE49-F238E27FC236}">
              <a16:creationId xmlns:a16="http://schemas.microsoft.com/office/drawing/2014/main" id="{949B7BB5-B0CA-48BC-9D10-20AB08254EDE}"/>
            </a:ext>
          </a:extLst>
        </xdr:cNvPr>
        <xdr:cNvSpPr/>
      </xdr:nvSpPr>
      <xdr:spPr>
        <a:xfrm>
          <a:off x="627530" y="21515294"/>
          <a:ext cx="5322795" cy="98611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</a:t>
          </a:r>
          <a:r>
            <a:rPr lang="en-US" sz="1100" baseline="0"/>
            <a:t> </a:t>
          </a:r>
          <a:r>
            <a:rPr lang="ru-RU" sz="1100" baseline="0"/>
            <a:t>Пример массового расчета</a:t>
          </a:r>
        </a:p>
        <a:p>
          <a:pPr algn="l"/>
          <a:endParaRPr lang="ru-RU" sz="1100" baseline="0"/>
        </a:p>
        <a:p>
          <a:pPr algn="l"/>
          <a:r>
            <a:rPr lang="ru-RU" sz="1100" baseline="0"/>
            <a:t>Построить кривую зависимости давления на конце трубы от дебита</a:t>
          </a:r>
          <a:r>
            <a:rPr lang="en-US" sz="1100" baseline="0"/>
            <a:t> </a:t>
          </a:r>
          <a:r>
            <a:rPr lang="ru-RU" sz="1100" baseline="0"/>
            <a:t>с использованием векторных расчетов</a:t>
          </a:r>
          <a:endParaRPr lang="ru-RU" sz="1100"/>
        </a:p>
      </xdr:txBody>
    </xdr:sp>
    <xdr:clientData/>
  </xdr:twoCellAnchor>
  <xdr:twoCellAnchor>
    <xdr:from>
      <xdr:col>12</xdr:col>
      <xdr:colOff>240924</xdr:colOff>
      <xdr:row>84</xdr:row>
      <xdr:rowOff>57149</xdr:rowOff>
    </xdr:from>
    <xdr:to>
      <xdr:col>19</xdr:col>
      <xdr:colOff>145676</xdr:colOff>
      <xdr:row>104</xdr:row>
      <xdr:rowOff>190499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6C6DD1C5-0EA2-4773-91CC-BD3FD03CAA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218513</xdr:colOff>
      <xdr:row>138</xdr:row>
      <xdr:rowOff>135590</xdr:rowOff>
    </xdr:from>
    <xdr:to>
      <xdr:col>19</xdr:col>
      <xdr:colOff>78441</xdr:colOff>
      <xdr:row>155</xdr:row>
      <xdr:rowOff>11206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9B64F11A-C641-48D8-8352-1F7DD445B5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arange"/>
      <definedName name="encode_feed"/>
      <definedName name="encode_json"/>
      <definedName name="encode_pipe"/>
      <definedName name="encode_PVT"/>
      <definedName name="encode_t_model"/>
      <definedName name="MF_pipe_p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E150"/>
  <sheetViews>
    <sheetView tabSelected="1" topLeftCell="A29" zoomScale="85" zoomScaleNormal="85" workbookViewId="0">
      <selection activeCell="K46" sqref="K46"/>
    </sheetView>
  </sheetViews>
  <sheetFormatPr defaultRowHeight="15" x14ac:dyDescent="0.25"/>
  <cols>
    <col min="2" max="2" width="14.85546875" customWidth="1"/>
    <col min="3" max="3" width="10.85546875" customWidth="1"/>
    <col min="7" max="7" width="11" customWidth="1"/>
    <col min="8" max="8" width="11" bestFit="1" customWidth="1"/>
    <col min="9" max="9" width="10.42578125" customWidth="1"/>
    <col min="11" max="11" width="12" customWidth="1"/>
    <col min="14" max="14" width="11" bestFit="1" customWidth="1"/>
    <col min="15" max="15" width="10.7109375" bestFit="1" customWidth="1"/>
    <col min="16" max="16" width="9.5703125" bestFit="1" customWidth="1"/>
    <col min="17" max="17" width="12.5703125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7.40</v>
      </c>
      <c r="H1" t="s">
        <v>54</v>
      </c>
      <c r="I1" s="22">
        <v>44973</v>
      </c>
      <c r="J1" s="23"/>
      <c r="K1" s="23"/>
      <c r="L1" s="23"/>
    </row>
    <row r="2" spans="1:12" x14ac:dyDescent="0.25">
      <c r="A2" t="s">
        <v>68</v>
      </c>
      <c r="H2" t="s">
        <v>55</v>
      </c>
      <c r="I2" s="24">
        <v>7.4</v>
      </c>
      <c r="J2" s="23"/>
      <c r="K2" s="23"/>
      <c r="L2" s="23"/>
    </row>
    <row r="3" spans="1:12" x14ac:dyDescent="0.25">
      <c r="A3" s="25" t="s">
        <v>56</v>
      </c>
      <c r="B3" s="54" t="s">
        <v>57</v>
      </c>
      <c r="C3" s="55"/>
      <c r="D3" s="55"/>
      <c r="E3" s="56"/>
      <c r="H3" t="s">
        <v>58</v>
      </c>
      <c r="I3" s="23" t="s">
        <v>57</v>
      </c>
      <c r="J3" s="23"/>
      <c r="K3" s="23"/>
      <c r="L3" s="23"/>
    </row>
    <row r="4" spans="1:12" x14ac:dyDescent="0.25">
      <c r="A4" s="25" t="s">
        <v>59</v>
      </c>
      <c r="B4" s="54" t="s">
        <v>60</v>
      </c>
      <c r="C4" s="55"/>
      <c r="D4" s="55"/>
      <c r="E4" s="56"/>
      <c r="H4" t="s">
        <v>61</v>
      </c>
      <c r="I4" s="23" t="s">
        <v>60</v>
      </c>
      <c r="J4" s="23"/>
      <c r="K4" s="23"/>
      <c r="L4" s="23"/>
    </row>
    <row r="5" spans="1:12" x14ac:dyDescent="0.25">
      <c r="A5" s="25" t="s">
        <v>62</v>
      </c>
      <c r="B5" s="54" t="s">
        <v>63</v>
      </c>
      <c r="C5" s="55"/>
      <c r="D5" s="55"/>
      <c r="E5" s="56"/>
      <c r="H5" t="s">
        <v>64</v>
      </c>
      <c r="I5" s="23" t="s">
        <v>63</v>
      </c>
      <c r="J5" s="23"/>
      <c r="K5" s="23"/>
      <c r="L5" s="23"/>
    </row>
    <row r="6" spans="1:12" x14ac:dyDescent="0.25">
      <c r="A6" s="26" t="s">
        <v>65</v>
      </c>
      <c r="B6" s="57" t="s">
        <v>66</v>
      </c>
      <c r="C6" s="58"/>
      <c r="D6" s="58"/>
      <c r="E6" s="59"/>
      <c r="H6" s="27" t="s">
        <v>67</v>
      </c>
      <c r="I6" s="28" t="s">
        <v>66</v>
      </c>
      <c r="J6" s="28"/>
      <c r="K6" s="28"/>
      <c r="L6" s="28"/>
    </row>
    <row r="7" spans="1:12" x14ac:dyDescent="0.25">
      <c r="A7" s="29"/>
      <c r="B7" s="60"/>
      <c r="C7" s="61"/>
      <c r="D7" s="61"/>
      <c r="E7" s="62"/>
      <c r="H7" s="27"/>
      <c r="I7" s="28"/>
      <c r="J7" s="28"/>
      <c r="K7" s="28"/>
      <c r="L7" s="28"/>
    </row>
    <row r="8" spans="1:12" x14ac:dyDescent="0.25">
      <c r="A8" s="30"/>
      <c r="B8" s="63"/>
      <c r="C8" s="64"/>
      <c r="D8" s="64"/>
      <c r="E8" s="65"/>
      <c r="H8" s="27"/>
      <c r="I8" s="28"/>
      <c r="J8" s="28"/>
      <c r="K8" s="28"/>
      <c r="L8" s="28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</row>
    <row r="16" spans="1:12" ht="18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17" ht="18.75" x14ac:dyDescent="0.35">
      <c r="B17" s="7" t="s">
        <v>17</v>
      </c>
      <c r="C17" s="3">
        <v>1.2</v>
      </c>
      <c r="D17" s="6" t="s">
        <v>8</v>
      </c>
    </row>
    <row r="18" spans="1:17" ht="18" x14ac:dyDescent="0.35">
      <c r="B18" s="9" t="s">
        <v>18</v>
      </c>
      <c r="C18" s="3">
        <v>1</v>
      </c>
      <c r="D18" s="4" t="s">
        <v>19</v>
      </c>
    </row>
    <row r="20" spans="1:17" x14ac:dyDescent="0.25">
      <c r="A20" s="1" t="s">
        <v>20</v>
      </c>
      <c r="N20" s="1" t="s">
        <v>69</v>
      </c>
    </row>
    <row r="21" spans="1:17" ht="18" x14ac:dyDescent="0.35">
      <c r="B21" s="9" t="s">
        <v>21</v>
      </c>
      <c r="C21" s="3">
        <v>40</v>
      </c>
      <c r="D21" s="6" t="s">
        <v>22</v>
      </c>
      <c r="O21" s="9" t="s">
        <v>70</v>
      </c>
      <c r="P21" s="3">
        <v>0</v>
      </c>
      <c r="Q21" s="6"/>
    </row>
    <row r="22" spans="1:17" ht="18.75" x14ac:dyDescent="0.35">
      <c r="B22" s="7" t="s">
        <v>10</v>
      </c>
      <c r="C22" s="3">
        <v>80</v>
      </c>
      <c r="D22" s="6" t="s">
        <v>8</v>
      </c>
      <c r="E22" s="8">
        <f>Rp_/gamma_oil_</f>
        <v>91.954022988505741</v>
      </c>
      <c r="F22" s="6" t="s">
        <v>9</v>
      </c>
      <c r="O22" s="9" t="s">
        <v>71</v>
      </c>
      <c r="P22" s="3">
        <v>50</v>
      </c>
      <c r="Q22" s="4" t="s">
        <v>12</v>
      </c>
    </row>
    <row r="23" spans="1:17" ht="18" x14ac:dyDescent="0.35">
      <c r="B23" s="9" t="s">
        <v>23</v>
      </c>
      <c r="C23" s="3">
        <v>0</v>
      </c>
      <c r="D23" s="4" t="s">
        <v>24</v>
      </c>
      <c r="O23" s="9" t="s">
        <v>72</v>
      </c>
      <c r="P23" s="3">
        <v>30</v>
      </c>
      <c r="Q23" s="4" t="s">
        <v>15</v>
      </c>
    </row>
    <row r="24" spans="1:17" ht="18" x14ac:dyDescent="0.35">
      <c r="B24" s="9" t="s">
        <v>49</v>
      </c>
      <c r="C24" s="3">
        <v>0</v>
      </c>
      <c r="D24" s="6" t="s">
        <v>50</v>
      </c>
    </row>
    <row r="25" spans="1:17" x14ac:dyDescent="0.25">
      <c r="F25" s="51" t="s">
        <v>73</v>
      </c>
      <c r="G25" s="52"/>
      <c r="H25" s="3">
        <v>0</v>
      </c>
    </row>
    <row r="26" spans="1:17" ht="18" customHeight="1" x14ac:dyDescent="0.25">
      <c r="F26" s="51" t="s">
        <v>74</v>
      </c>
      <c r="G26" s="52"/>
      <c r="H26" s="3">
        <v>0</v>
      </c>
    </row>
    <row r="27" spans="1:17" ht="15.75" customHeight="1" x14ac:dyDescent="0.25">
      <c r="F27" s="51" t="s">
        <v>75</v>
      </c>
      <c r="G27" s="52"/>
      <c r="H27" s="3">
        <v>0</v>
      </c>
    </row>
    <row r="28" spans="1:17" ht="15" customHeight="1" x14ac:dyDescent="0.25">
      <c r="A28" s="35" t="s">
        <v>25</v>
      </c>
      <c r="B28" s="10"/>
    </row>
    <row r="29" spans="1:17" ht="15" customHeight="1" x14ac:dyDescent="0.25">
      <c r="B29" s="9" t="s">
        <v>28</v>
      </c>
      <c r="C29" s="31">
        <v>50</v>
      </c>
      <c r="D29" s="6" t="s">
        <v>12</v>
      </c>
      <c r="F29" s="51" t="s">
        <v>80</v>
      </c>
      <c r="G29" s="52"/>
      <c r="H29" s="3">
        <v>0</v>
      </c>
    </row>
    <row r="30" spans="1:17" x14ac:dyDescent="0.25">
      <c r="B30" s="9" t="s">
        <v>29</v>
      </c>
      <c r="C30" s="31">
        <v>180</v>
      </c>
      <c r="D30" s="6" t="s">
        <v>12</v>
      </c>
      <c r="F30" s="53" t="s">
        <v>76</v>
      </c>
      <c r="G30" s="53"/>
    </row>
    <row r="31" spans="1:17" ht="15" customHeight="1" x14ac:dyDescent="0.25">
      <c r="B31" s="9" t="s">
        <v>30</v>
      </c>
      <c r="C31" s="3">
        <v>100</v>
      </c>
      <c r="D31" s="6" t="s">
        <v>31</v>
      </c>
      <c r="F31" s="51" t="s">
        <v>77</v>
      </c>
      <c r="G31" s="52"/>
      <c r="H31" s="3">
        <v>1</v>
      </c>
    </row>
    <row r="32" spans="1:17" ht="15" customHeight="1" x14ac:dyDescent="0.25">
      <c r="B32" s="9" t="s">
        <v>32</v>
      </c>
      <c r="C32" s="3">
        <v>50</v>
      </c>
      <c r="D32" s="6" t="s">
        <v>31</v>
      </c>
      <c r="F32" s="51" t="s">
        <v>78</v>
      </c>
      <c r="G32" s="52"/>
      <c r="H32" s="3">
        <v>1</v>
      </c>
    </row>
    <row r="34" spans="1:25" x14ac:dyDescent="0.25">
      <c r="B34" s="11" t="s">
        <v>33</v>
      </c>
      <c r="C34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D34" s="12"/>
      <c r="E34" s="12"/>
      <c r="F34" s="12"/>
      <c r="G34" s="12"/>
      <c r="H34" s="12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9"/>
    </row>
    <row r="35" spans="1:25" x14ac:dyDescent="0.25">
      <c r="B35" s="11" t="s">
        <v>81</v>
      </c>
      <c r="C35" s="12" t="str" cm="1">
        <f t="array" ref="C35">[1]!encode_feed(qliq_,fw_,Rp_,Qgas_free,PVTstr_)</f>
        <v>{"gamma_gas":0.8,"gamma_oil":0.87,"gamma_wat":1,"rsb_m3m3":80,"pb_atma":120,"t_res_C":100,"bob_m3m3":1.2,"muob_cP":1,"PVT_corr_set":0,"q_liq_sm3day":40,"fw_perc":0,"rp_m3m3":80}</v>
      </c>
      <c r="D35" s="12"/>
      <c r="E35" s="12"/>
      <c r="F35" s="12"/>
      <c r="G35" s="12"/>
      <c r="H35" s="12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9"/>
    </row>
    <row r="37" spans="1:25" ht="30" x14ac:dyDescent="0.25">
      <c r="B37" s="11" t="s">
        <v>82</v>
      </c>
      <c r="C37" s="12" t="str" cm="1">
        <f t="array" ref="C37">[1]!encode_t_model(temp_model,E56:F58,T0,T1_)</f>
        <v>{"t_model":1,"t_list_C":{"curve_x":"hvert_m","curve_y":"t_C","hvert_m":[0,1000,2500],"t_C":[20,25,90]}}</v>
      </c>
      <c r="D37" s="12"/>
      <c r="E37" s="12"/>
      <c r="F37" s="12"/>
      <c r="G37" s="12"/>
      <c r="H37" s="12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9"/>
    </row>
    <row r="38" spans="1:25" x14ac:dyDescent="0.25">
      <c r="B38" s="11" t="s">
        <v>83</v>
      </c>
      <c r="C38" s="12" t="str" cm="1">
        <f t="array" ref="C38">[1]!encode_pipe(B56:C68,H56:I58)</f>
        <v>{"h_list_m":{"curve_x":"hmes_m","curve_y":"hvert_m","hmes_m":[0,1000,1100,1200,1300,1400,1500,1600,1700,1800,1900,2000,2100],"hvert_m":[0,1000,1096,1191,1284,1375,1464,1551,1636,1719,1800,1879,1956]},"diam_list_mm":{"curve_x":"hmes_m","curve_y":"diam_int_mm","hmes_m":[0,2100],"diam_int_mm":[62,125]}}</v>
      </c>
      <c r="D38" s="12"/>
      <c r="E38" s="12"/>
      <c r="F38" s="12"/>
      <c r="G38" s="12"/>
      <c r="H38" s="12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9"/>
    </row>
    <row r="40" spans="1:25" ht="14.45" customHeight="1" x14ac:dyDescent="0.25">
      <c r="I40" s="40"/>
      <c r="K40" s="36" t="s">
        <v>88</v>
      </c>
      <c r="O40" s="36" t="s">
        <v>91</v>
      </c>
    </row>
    <row r="41" spans="1:25" ht="14.45" customHeight="1" x14ac:dyDescent="0.25">
      <c r="I41" s="40"/>
      <c r="K41" s="6" t="s">
        <v>85</v>
      </c>
      <c r="L41" s="38">
        <v>0</v>
      </c>
      <c r="O41" s="6" t="s">
        <v>92</v>
      </c>
      <c r="P41" s="38">
        <v>0</v>
      </c>
      <c r="W41" t="str" cm="1">
        <f t="array" ref="W41">[1]!decode_json(R46)</f>
        <v>set show_log=1 in param to show calc log</v>
      </c>
    </row>
    <row r="42" spans="1:25" x14ac:dyDescent="0.25">
      <c r="K42" s="6" t="s">
        <v>86</v>
      </c>
      <c r="L42" s="38">
        <v>0</v>
      </c>
      <c r="O42" s="6" t="s">
        <v>93</v>
      </c>
      <c r="P42" s="38">
        <v>0</v>
      </c>
    </row>
    <row r="43" spans="1:25" x14ac:dyDescent="0.25">
      <c r="K43" s="6" t="s">
        <v>87</v>
      </c>
      <c r="L43" s="38">
        <v>1</v>
      </c>
    </row>
    <row r="44" spans="1:25" x14ac:dyDescent="0.25">
      <c r="K44" s="23" t="str" cm="1">
        <f t="array" ref="K44">[1]!encode_json(K41:L43)</f>
        <v>{"show_log":0,"num_value":0,"show_array":1}</v>
      </c>
      <c r="L44" s="23"/>
      <c r="M44" s="23"/>
      <c r="N44" s="23"/>
      <c r="O44" s="23"/>
      <c r="P44" s="23"/>
      <c r="Q44" s="23"/>
      <c r="R44" s="23"/>
    </row>
    <row r="45" spans="1:25" x14ac:dyDescent="0.25">
      <c r="A45" s="36" t="s">
        <v>34</v>
      </c>
      <c r="B45" s="37"/>
      <c r="C45" s="37"/>
      <c r="D45" s="37"/>
      <c r="F45" s="13" t="s">
        <v>52</v>
      </c>
      <c r="G45" s="14"/>
      <c r="H45" s="14"/>
      <c r="R45">
        <f>LEN(R46)</f>
        <v>44</v>
      </c>
    </row>
    <row r="46" spans="1:25" ht="18" x14ac:dyDescent="0.35">
      <c r="B46" s="6" t="s">
        <v>35</v>
      </c>
      <c r="C46" s="38">
        <v>3500</v>
      </c>
      <c r="D46" s="39" t="s">
        <v>26</v>
      </c>
      <c r="F46" s="32"/>
      <c r="G46" s="33" t="s">
        <v>84</v>
      </c>
      <c r="H46" s="3">
        <v>1</v>
      </c>
      <c r="K46" s="44" cm="1">
        <f t="array" ref="K46:R68">[1]!MF_pipe_p_atma(P0,T0,construction,feed,t_model,calc_along_coord,flow_along_coord,hcor,calibr_grav,calibr_fric,param,H_from,H_from,znlf)</f>
        <v>0.9400576834763984</v>
      </c>
      <c r="L46" s="20">
        <v>0.9400576834763984</v>
      </c>
      <c r="M46" s="20">
        <v>20</v>
      </c>
      <c r="N46" s="44">
        <v>50</v>
      </c>
      <c r="O46" s="20">
        <v>66.426666666666677</v>
      </c>
      <c r="P46" s="20">
        <v>1</v>
      </c>
      <c r="Q46" s="20">
        <v>1</v>
      </c>
      <c r="R46" s="20" t="str">
        <v>["set show_log=1 in param to show calc log"]</v>
      </c>
    </row>
    <row r="47" spans="1:25" ht="18" customHeight="1" x14ac:dyDescent="0.35">
      <c r="B47" s="6" t="s">
        <v>36</v>
      </c>
      <c r="C47" s="38">
        <v>2500</v>
      </c>
      <c r="D47" s="39" t="s">
        <v>37</v>
      </c>
      <c r="F47" s="32"/>
      <c r="G47" s="33" t="s">
        <v>48</v>
      </c>
      <c r="H47" s="3">
        <v>1</v>
      </c>
      <c r="K47" s="20" t="str">
        <v>p_result_atma</v>
      </c>
      <c r="L47" s="20" t="str">
        <v>p_1, atma</v>
      </c>
      <c r="M47" s="20" t="str">
        <v>t_1, C</v>
      </c>
      <c r="N47" s="20" t="str">
        <v>p_2, atma</v>
      </c>
      <c r="O47" s="20" t="str">
        <v>t_2, C</v>
      </c>
      <c r="P47" s="20" t="str">
        <v>calibr_grav</v>
      </c>
      <c r="Q47" s="20" t="str">
        <v>calibr_fric</v>
      </c>
      <c r="R47" s="20" t="str">
        <v>log</v>
      </c>
    </row>
    <row r="48" spans="1:25" ht="18" customHeight="1" x14ac:dyDescent="0.35">
      <c r="B48" s="6" t="s">
        <v>38</v>
      </c>
      <c r="C48" s="38">
        <v>140</v>
      </c>
      <c r="D48" s="39" t="s">
        <v>27</v>
      </c>
      <c r="F48" s="32"/>
      <c r="G48" s="33" t="s">
        <v>46</v>
      </c>
      <c r="H48" s="3">
        <v>0</v>
      </c>
      <c r="I48" s="3">
        <v>0</v>
      </c>
      <c r="K48" s="20" t="str">
        <v>h,m</v>
      </c>
      <c r="L48" s="20" t="str">
        <v>hvert,m</v>
      </c>
      <c r="M48" s="20" t="str">
        <v>p,atma</v>
      </c>
      <c r="N48" s="20" t="str">
        <v>t,C</v>
      </c>
      <c r="O48" s="20" t="str">
        <v>t_amb, C</v>
      </c>
      <c r="P48" s="20" t="str">
        <v>Hl, %</v>
      </c>
      <c r="Q48" s="20" t="str">
        <v>fpat</v>
      </c>
      <c r="R48" s="20" t="str">
        <v>diam, mm</v>
      </c>
      <c r="S48" s="23" t="s">
        <v>89</v>
      </c>
    </row>
    <row r="49" spans="2:19" ht="18" customHeight="1" x14ac:dyDescent="0.35">
      <c r="B49" s="6" t="s">
        <v>39</v>
      </c>
      <c r="C49" s="38">
        <v>65</v>
      </c>
      <c r="D49" s="39" t="s">
        <v>27</v>
      </c>
      <c r="F49" s="32"/>
      <c r="G49" s="33" t="s">
        <v>47</v>
      </c>
      <c r="H49" s="3">
        <v>0</v>
      </c>
      <c r="I49" s="3">
        <v>0</v>
      </c>
      <c r="K49" s="21">
        <v>0</v>
      </c>
      <c r="L49" s="21">
        <v>0</v>
      </c>
      <c r="M49" s="21">
        <v>0.9400576834763984</v>
      </c>
      <c r="N49" s="21">
        <v>20</v>
      </c>
      <c r="O49" s="21">
        <v>20</v>
      </c>
      <c r="P49" s="21">
        <v>0</v>
      </c>
      <c r="Q49" s="21">
        <v>101</v>
      </c>
      <c r="R49" s="21">
        <v>62</v>
      </c>
      <c r="S49" s="45">
        <f>K49-L49</f>
        <v>0</v>
      </c>
    </row>
    <row r="50" spans="2:19" ht="18" customHeight="1" x14ac:dyDescent="0.35">
      <c r="B50" s="6" t="s">
        <v>40</v>
      </c>
      <c r="C50" s="38">
        <v>12</v>
      </c>
      <c r="D50" s="39" t="s">
        <v>27</v>
      </c>
      <c r="F50" s="32"/>
      <c r="G50" s="34" t="s">
        <v>79</v>
      </c>
      <c r="H50" s="5">
        <f>calc_along_coord*10+flow_along_coord</f>
        <v>0</v>
      </c>
      <c r="I50" s="5">
        <f>calc_along_coord1*10+flow_along_coord1</f>
        <v>0</v>
      </c>
      <c r="K50" s="43">
        <v>110.52631578947368</v>
      </c>
      <c r="L50" s="43">
        <v>110.52631578947368</v>
      </c>
      <c r="M50" s="43">
        <v>0.9400576834763984</v>
      </c>
      <c r="N50" s="43">
        <v>20.55263157894737</v>
      </c>
      <c r="O50" s="43">
        <v>20.55263157894737</v>
      </c>
      <c r="P50" s="43">
        <v>0</v>
      </c>
      <c r="Q50" s="43">
        <v>101</v>
      </c>
      <c r="R50" s="43">
        <v>62</v>
      </c>
      <c r="S50" s="45">
        <f t="shared" ref="S50:S68" si="0">K50-L50</f>
        <v>0</v>
      </c>
    </row>
    <row r="51" spans="2:19" x14ac:dyDescent="0.25">
      <c r="G51" s="10"/>
      <c r="K51" s="43">
        <v>221.05263157894737</v>
      </c>
      <c r="L51" s="43">
        <v>221.05263157894737</v>
      </c>
      <c r="M51" s="43">
        <v>0.9400576834763984</v>
      </c>
      <c r="N51" s="43">
        <v>21.105263157894736</v>
      </c>
      <c r="O51" s="43">
        <v>21.105263157894736</v>
      </c>
      <c r="P51" s="43">
        <v>0</v>
      </c>
      <c r="Q51" s="43">
        <v>101</v>
      </c>
      <c r="R51" s="43">
        <v>62</v>
      </c>
      <c r="S51" s="45">
        <f t="shared" si="0"/>
        <v>0</v>
      </c>
    </row>
    <row r="52" spans="2:19" x14ac:dyDescent="0.25">
      <c r="G52" s="10"/>
      <c r="K52" s="43">
        <v>331.57894736842104</v>
      </c>
      <c r="L52" s="43">
        <v>331.57894736842104</v>
      </c>
      <c r="M52" s="43">
        <v>1.1734709760889146</v>
      </c>
      <c r="N52" s="43">
        <v>21.657894736842106</v>
      </c>
      <c r="O52" s="43">
        <v>21.657894736842106</v>
      </c>
      <c r="P52" s="43">
        <v>12.693860177202431</v>
      </c>
      <c r="Q52" s="43">
        <v>103</v>
      </c>
      <c r="R52" s="43">
        <v>62</v>
      </c>
      <c r="S52" s="45">
        <f t="shared" si="0"/>
        <v>0</v>
      </c>
    </row>
    <row r="53" spans="2:19" x14ac:dyDescent="0.25">
      <c r="B53" s="37" t="s">
        <v>41</v>
      </c>
      <c r="C53" s="37"/>
      <c r="E53" t="s">
        <v>53</v>
      </c>
      <c r="G53" s="10"/>
      <c r="H53" t="s">
        <v>51</v>
      </c>
      <c r="I53" s="10"/>
      <c r="K53" s="43">
        <v>442.10526315789474</v>
      </c>
      <c r="L53" s="43">
        <v>442.10526315789474</v>
      </c>
      <c r="M53" s="43">
        <v>2.2643294028341634</v>
      </c>
      <c r="N53" s="43">
        <v>22.210526315789473</v>
      </c>
      <c r="O53" s="43">
        <v>22.210526315789473</v>
      </c>
      <c r="P53" s="43">
        <v>15.063931939688285</v>
      </c>
      <c r="Q53" s="43">
        <v>103</v>
      </c>
      <c r="R53" s="43">
        <v>62</v>
      </c>
      <c r="S53" s="45">
        <f t="shared" si="0"/>
        <v>0</v>
      </c>
    </row>
    <row r="54" spans="2:19" ht="18" x14ac:dyDescent="0.35">
      <c r="B54" s="17" t="s">
        <v>42</v>
      </c>
      <c r="C54" s="17" t="s">
        <v>43</v>
      </c>
      <c r="E54" s="17" t="s">
        <v>43</v>
      </c>
      <c r="F54" s="17" t="s">
        <v>44</v>
      </c>
      <c r="G54" s="10"/>
      <c r="H54" s="17" t="s">
        <v>42</v>
      </c>
      <c r="I54" s="15" t="s">
        <v>45</v>
      </c>
      <c r="K54" s="43">
        <v>552.63157894736844</v>
      </c>
      <c r="L54" s="43">
        <v>552.63157894736844</v>
      </c>
      <c r="M54" s="43">
        <v>3.4259775907397789</v>
      </c>
      <c r="N54" s="43">
        <v>22.763157894736842</v>
      </c>
      <c r="O54" s="43">
        <v>22.763157894736842</v>
      </c>
      <c r="P54" s="43">
        <v>17.349772325672436</v>
      </c>
      <c r="Q54" s="43">
        <v>103</v>
      </c>
      <c r="R54" s="43">
        <v>62</v>
      </c>
      <c r="S54" s="45">
        <f t="shared" si="0"/>
        <v>0</v>
      </c>
    </row>
    <row r="55" spans="2:19" x14ac:dyDescent="0.25">
      <c r="B55" s="17" t="s">
        <v>26</v>
      </c>
      <c r="C55" s="17" t="s">
        <v>26</v>
      </c>
      <c r="E55" s="17" t="s">
        <v>26</v>
      </c>
      <c r="F55" s="17" t="s">
        <v>37</v>
      </c>
      <c r="G55" s="10"/>
      <c r="H55" s="17" t="s">
        <v>26</v>
      </c>
      <c r="I55" s="17" t="s">
        <v>27</v>
      </c>
      <c r="K55" s="43">
        <v>663.15789473684208</v>
      </c>
      <c r="L55" s="43">
        <v>663.15789473684208</v>
      </c>
      <c r="M55" s="43">
        <v>4.733062544539357</v>
      </c>
      <c r="N55" s="43">
        <v>23.315789473684209</v>
      </c>
      <c r="O55" s="43">
        <v>23.315789473684209</v>
      </c>
      <c r="P55" s="43">
        <v>19.834813256078686</v>
      </c>
      <c r="Q55" s="43">
        <v>103</v>
      </c>
      <c r="R55" s="43">
        <v>62</v>
      </c>
      <c r="S55" s="45">
        <f t="shared" si="0"/>
        <v>0</v>
      </c>
    </row>
    <row r="56" spans="2:19" x14ac:dyDescent="0.25">
      <c r="B56" s="16">
        <v>0</v>
      </c>
      <c r="C56" s="16">
        <v>0</v>
      </c>
      <c r="E56" s="46">
        <v>0</v>
      </c>
      <c r="F56" s="46">
        <v>20</v>
      </c>
      <c r="G56" s="10"/>
      <c r="H56" s="46">
        <v>0</v>
      </c>
      <c r="I56" s="47">
        <v>62</v>
      </c>
      <c r="K56" s="43">
        <v>773.68421052631584</v>
      </c>
      <c r="L56" s="43">
        <v>773.68421052631584</v>
      </c>
      <c r="M56" s="43">
        <v>6.24473036217619</v>
      </c>
      <c r="N56" s="43">
        <v>23.868421052631579</v>
      </c>
      <c r="O56" s="43">
        <v>23.868421052631579</v>
      </c>
      <c r="P56" s="43">
        <v>22.631170528593309</v>
      </c>
      <c r="Q56" s="43">
        <v>103</v>
      </c>
      <c r="R56" s="43">
        <v>62</v>
      </c>
      <c r="S56" s="45">
        <f t="shared" si="0"/>
        <v>0</v>
      </c>
    </row>
    <row r="57" spans="2:19" x14ac:dyDescent="0.25">
      <c r="B57" s="16">
        <v>1000</v>
      </c>
      <c r="C57" s="16">
        <v>1000</v>
      </c>
      <c r="E57" s="46">
        <v>1000</v>
      </c>
      <c r="F57" s="46">
        <v>25</v>
      </c>
      <c r="G57" s="10"/>
      <c r="H57" s="46">
        <v>2500</v>
      </c>
      <c r="I57" s="47">
        <v>125</v>
      </c>
      <c r="K57" s="43">
        <v>884.21052631578948</v>
      </c>
      <c r="L57" s="43">
        <v>884.21052631578948</v>
      </c>
      <c r="M57" s="43">
        <v>7.9688393169985199</v>
      </c>
      <c r="N57" s="43">
        <v>24.421052631578949</v>
      </c>
      <c r="O57" s="43">
        <v>24.421052631578949</v>
      </c>
      <c r="P57" s="43">
        <v>25.669814144754849</v>
      </c>
      <c r="Q57" s="43">
        <v>103</v>
      </c>
      <c r="R57" s="43">
        <v>62</v>
      </c>
      <c r="S57" s="45">
        <f t="shared" si="0"/>
        <v>0</v>
      </c>
    </row>
    <row r="58" spans="2:19" x14ac:dyDescent="0.25">
      <c r="B58" s="16">
        <v>1100</v>
      </c>
      <c r="C58" s="16">
        <v>1096</v>
      </c>
      <c r="E58" s="46">
        <v>2500</v>
      </c>
      <c r="F58" s="46">
        <v>90</v>
      </c>
      <c r="G58" s="10"/>
      <c r="H58" s="46">
        <v>4000</v>
      </c>
      <c r="I58" s="47">
        <v>125</v>
      </c>
      <c r="K58" s="43">
        <v>994.73684210526312</v>
      </c>
      <c r="L58" s="43">
        <v>994.73684210526312</v>
      </c>
      <c r="M58" s="43">
        <v>9.9928624688757317</v>
      </c>
      <c r="N58" s="43">
        <v>24.973684210526315</v>
      </c>
      <c r="O58" s="43">
        <v>24.973684210526315</v>
      </c>
      <c r="P58" s="43">
        <v>29.123500458616537</v>
      </c>
      <c r="Q58" s="43">
        <v>103</v>
      </c>
      <c r="R58" s="43">
        <v>62</v>
      </c>
      <c r="S58" s="45">
        <f t="shared" si="0"/>
        <v>0</v>
      </c>
    </row>
    <row r="59" spans="2:19" x14ac:dyDescent="0.25">
      <c r="B59" s="16">
        <v>1200</v>
      </c>
      <c r="C59" s="16">
        <v>1191</v>
      </c>
      <c r="E59" s="46"/>
      <c r="F59" s="46"/>
      <c r="G59" s="10"/>
      <c r="H59" s="46"/>
      <c r="I59" s="46"/>
      <c r="K59" s="43">
        <v>1105.2631578947369</v>
      </c>
      <c r="L59" s="43">
        <v>1101</v>
      </c>
      <c r="M59" s="43">
        <v>12.294638437004485</v>
      </c>
      <c r="N59" s="43">
        <v>29.376666666666669</v>
      </c>
      <c r="O59" s="43">
        <v>29.376666666666669</v>
      </c>
      <c r="P59" s="43">
        <v>32.61079651745915</v>
      </c>
      <c r="Q59" s="43">
        <v>103</v>
      </c>
      <c r="R59" s="43">
        <v>62</v>
      </c>
      <c r="S59" s="45">
        <f t="shared" si="0"/>
        <v>4.263157894736878</v>
      </c>
    </row>
    <row r="60" spans="2:19" x14ac:dyDescent="0.25">
      <c r="B60" s="16">
        <v>1300</v>
      </c>
      <c r="C60" s="16">
        <v>1284</v>
      </c>
      <c r="E60" s="46"/>
      <c r="F60" s="46"/>
      <c r="G60" s="10"/>
      <c r="H60" s="46"/>
      <c r="I60" s="46"/>
      <c r="K60" s="43">
        <v>1215.7894736842106</v>
      </c>
      <c r="L60" s="43">
        <v>1205.6842105263158</v>
      </c>
      <c r="M60" s="43">
        <v>14.914044942267662</v>
      </c>
      <c r="N60" s="43">
        <v>33.912982456140362</v>
      </c>
      <c r="O60" s="43">
        <v>33.912982456140362</v>
      </c>
      <c r="P60" s="43">
        <v>36.314774063504544</v>
      </c>
      <c r="Q60" s="43">
        <v>103</v>
      </c>
      <c r="R60" s="43">
        <v>62</v>
      </c>
      <c r="S60" s="45">
        <f t="shared" si="0"/>
        <v>10.105263157894797</v>
      </c>
    </row>
    <row r="61" spans="2:19" x14ac:dyDescent="0.25">
      <c r="B61" s="16">
        <v>1400</v>
      </c>
      <c r="C61" s="16">
        <v>1375</v>
      </c>
      <c r="E61" s="46"/>
      <c r="F61" s="46"/>
      <c r="G61" s="10"/>
      <c r="H61" s="46"/>
      <c r="I61" s="46"/>
      <c r="K61" s="43">
        <v>1326.3157894736842</v>
      </c>
      <c r="L61" s="43">
        <v>1307.9473684210525</v>
      </c>
      <c r="M61" s="43">
        <v>17.967704015734654</v>
      </c>
      <c r="N61" s="43">
        <v>38.344385964912277</v>
      </c>
      <c r="O61" s="43">
        <v>38.344385964912277</v>
      </c>
      <c r="P61" s="43">
        <v>48.069323781233884</v>
      </c>
      <c r="Q61" s="43">
        <v>103</v>
      </c>
      <c r="R61" s="43">
        <v>62</v>
      </c>
      <c r="S61" s="45">
        <f t="shared" si="0"/>
        <v>18.368421052631675</v>
      </c>
    </row>
    <row r="62" spans="2:19" x14ac:dyDescent="0.25">
      <c r="B62" s="16">
        <v>1500</v>
      </c>
      <c r="C62" s="16">
        <v>1464</v>
      </c>
      <c r="E62" s="46"/>
      <c r="F62" s="46"/>
      <c r="G62" s="10"/>
      <c r="H62" s="46"/>
      <c r="I62" s="46"/>
      <c r="K62" s="43">
        <v>1436.8421052631579</v>
      </c>
      <c r="L62" s="43">
        <v>1407.7894736842106</v>
      </c>
      <c r="M62" s="43">
        <v>21.831995558849702</v>
      </c>
      <c r="N62" s="43">
        <v>42.670877192982459</v>
      </c>
      <c r="O62" s="43">
        <v>42.670877192982459</v>
      </c>
      <c r="P62" s="43">
        <v>52.753015349951305</v>
      </c>
      <c r="Q62" s="43">
        <v>103</v>
      </c>
      <c r="R62" s="43">
        <v>62</v>
      </c>
      <c r="S62" s="45">
        <f t="shared" si="0"/>
        <v>29.052631578947285</v>
      </c>
    </row>
    <row r="63" spans="2:19" x14ac:dyDescent="0.25">
      <c r="B63" s="16">
        <v>1600</v>
      </c>
      <c r="C63" s="16">
        <v>1551</v>
      </c>
      <c r="E63" s="46"/>
      <c r="F63" s="46"/>
      <c r="G63" s="10"/>
      <c r="H63" s="46"/>
      <c r="I63" s="46"/>
      <c r="K63" s="43">
        <v>1547.3684210526317</v>
      </c>
      <c r="L63" s="43">
        <v>1505.2105263157896</v>
      </c>
      <c r="M63" s="43">
        <v>26.002057932906116</v>
      </c>
      <c r="N63" s="43">
        <v>46.89245614035088</v>
      </c>
      <c r="O63" s="43">
        <v>46.89245614035088</v>
      </c>
      <c r="P63" s="43">
        <v>57.296883610929783</v>
      </c>
      <c r="Q63" s="43">
        <v>103</v>
      </c>
      <c r="R63" s="43">
        <v>62</v>
      </c>
      <c r="S63" s="45">
        <f t="shared" si="0"/>
        <v>42.157894736842081</v>
      </c>
    </row>
    <row r="64" spans="2:19" x14ac:dyDescent="0.25">
      <c r="B64" s="16">
        <v>1700</v>
      </c>
      <c r="C64" s="16">
        <v>1636</v>
      </c>
      <c r="E64" s="46"/>
      <c r="F64" s="46"/>
      <c r="G64" s="10"/>
      <c r="H64" s="46"/>
      <c r="I64" s="46"/>
      <c r="K64" s="43">
        <v>1657.8947368421052</v>
      </c>
      <c r="L64" s="43">
        <v>1600.2105263157894</v>
      </c>
      <c r="M64" s="43">
        <v>30.443838102186113</v>
      </c>
      <c r="N64" s="43">
        <v>51.00912280701754</v>
      </c>
      <c r="O64" s="43">
        <v>51.00912280701754</v>
      </c>
      <c r="P64" s="43">
        <v>61.628373242239611</v>
      </c>
      <c r="Q64" s="43">
        <v>103</v>
      </c>
      <c r="R64" s="43">
        <v>62</v>
      </c>
      <c r="S64" s="45">
        <f t="shared" si="0"/>
        <v>57.684210526315837</v>
      </c>
    </row>
    <row r="65" spans="2:31" x14ac:dyDescent="0.25">
      <c r="B65" s="16">
        <v>1800</v>
      </c>
      <c r="C65" s="16">
        <v>1719</v>
      </c>
      <c r="E65" s="46"/>
      <c r="F65" s="46"/>
      <c r="G65" s="10"/>
      <c r="H65" s="46"/>
      <c r="I65" s="46"/>
      <c r="K65" s="43">
        <v>1768.421052631579</v>
      </c>
      <c r="L65" s="43">
        <v>1692.7894736842106</v>
      </c>
      <c r="M65" s="43">
        <v>35.104369876827732</v>
      </c>
      <c r="N65" s="43">
        <v>55.020877192982454</v>
      </c>
      <c r="O65" s="43">
        <v>55.020877192982454</v>
      </c>
      <c r="P65" s="43">
        <v>65.694668836280513</v>
      </c>
      <c r="Q65" s="43">
        <v>103</v>
      </c>
      <c r="R65" s="43">
        <v>62</v>
      </c>
      <c r="S65" s="45">
        <f t="shared" si="0"/>
        <v>75.631578947368325</v>
      </c>
    </row>
    <row r="66" spans="2:31" x14ac:dyDescent="0.25">
      <c r="B66" s="16">
        <v>1900</v>
      </c>
      <c r="C66" s="16">
        <v>1800</v>
      </c>
      <c r="E66" s="46"/>
      <c r="F66" s="46"/>
      <c r="G66" s="10"/>
      <c r="H66" s="46"/>
      <c r="I66" s="46"/>
      <c r="K66" s="43">
        <v>1878.9473684210527</v>
      </c>
      <c r="L66" s="43">
        <v>1782.9473684210527</v>
      </c>
      <c r="M66" s="43">
        <v>39.935004431062026</v>
      </c>
      <c r="N66" s="43">
        <v>58.92771929824562</v>
      </c>
      <c r="O66" s="43">
        <v>58.92771929824562</v>
      </c>
      <c r="P66" s="43">
        <v>69.462878508063426</v>
      </c>
      <c r="Q66" s="43">
        <v>103</v>
      </c>
      <c r="R66" s="43">
        <v>62</v>
      </c>
      <c r="S66" s="45">
        <f t="shared" si="0"/>
        <v>96</v>
      </c>
    </row>
    <row r="67" spans="2:31" x14ac:dyDescent="0.25">
      <c r="B67" s="16">
        <v>2000</v>
      </c>
      <c r="C67" s="16">
        <v>1879</v>
      </c>
      <c r="E67" s="46"/>
      <c r="F67" s="46"/>
      <c r="G67" s="10"/>
      <c r="H67" s="46"/>
      <c r="I67" s="46"/>
      <c r="K67" s="43">
        <v>1989.4736842105262</v>
      </c>
      <c r="L67" s="43">
        <v>1870.6842105263158</v>
      </c>
      <c r="M67" s="43">
        <v>44.891210199463877</v>
      </c>
      <c r="N67" s="43">
        <v>62.729649122807018</v>
      </c>
      <c r="O67" s="43">
        <v>62.729649122807018</v>
      </c>
      <c r="P67" s="43">
        <v>72.919006808978622</v>
      </c>
      <c r="Q67" s="43">
        <v>103</v>
      </c>
      <c r="R67" s="43">
        <v>62</v>
      </c>
      <c r="S67" s="45">
        <f t="shared" si="0"/>
        <v>118.78947368421041</v>
      </c>
    </row>
    <row r="68" spans="2:31" x14ac:dyDescent="0.25">
      <c r="B68" s="16">
        <v>2100</v>
      </c>
      <c r="C68" s="16">
        <v>1956</v>
      </c>
      <c r="E68" s="46"/>
      <c r="F68" s="46"/>
      <c r="G68" s="10"/>
      <c r="H68" s="46"/>
      <c r="I68" s="46"/>
      <c r="K68" s="43">
        <v>2100</v>
      </c>
      <c r="L68" s="43">
        <v>1956</v>
      </c>
      <c r="M68" s="43">
        <v>50</v>
      </c>
      <c r="N68" s="43">
        <v>66.426666666666677</v>
      </c>
      <c r="O68" s="43">
        <v>66.426666666666677</v>
      </c>
      <c r="P68" s="43">
        <v>88.75706535842248</v>
      </c>
      <c r="Q68" s="43">
        <v>102</v>
      </c>
      <c r="R68" s="43">
        <v>125</v>
      </c>
      <c r="S68" s="45">
        <f t="shared" si="0"/>
        <v>144</v>
      </c>
    </row>
    <row r="69" spans="2:31" x14ac:dyDescent="0.25">
      <c r="B69" s="16">
        <v>2200</v>
      </c>
      <c r="C69" s="16">
        <v>2031</v>
      </c>
      <c r="E69" s="46"/>
      <c r="F69" s="46"/>
      <c r="G69" s="10"/>
      <c r="H69" s="46"/>
      <c r="I69" s="46"/>
    </row>
    <row r="70" spans="2:31" x14ac:dyDescent="0.25">
      <c r="B70" s="16">
        <v>2300</v>
      </c>
      <c r="C70" s="16">
        <v>2104</v>
      </c>
      <c r="E70" s="46"/>
      <c r="F70" s="46"/>
      <c r="G70" s="10"/>
      <c r="H70" s="46"/>
      <c r="I70" s="46"/>
    </row>
    <row r="71" spans="2:31" x14ac:dyDescent="0.25">
      <c r="B71" s="16">
        <v>2400</v>
      </c>
      <c r="C71" s="16">
        <v>2175</v>
      </c>
      <c r="E71" s="46"/>
      <c r="F71" s="46"/>
      <c r="G71" s="10"/>
      <c r="H71" s="46"/>
      <c r="I71" s="46"/>
      <c r="AA71" s="41"/>
      <c r="AB71" s="41"/>
      <c r="AC71" s="42"/>
      <c r="AD71" s="42"/>
      <c r="AE71" s="41"/>
    </row>
    <row r="72" spans="2:31" x14ac:dyDescent="0.25">
      <c r="B72" s="16">
        <v>2500</v>
      </c>
      <c r="C72" s="16">
        <v>2244</v>
      </c>
      <c r="E72" s="46"/>
      <c r="F72" s="46"/>
      <c r="G72" s="10"/>
      <c r="H72" s="46"/>
      <c r="I72" s="46"/>
      <c r="AA72" s="41"/>
      <c r="AB72" s="41"/>
      <c r="AC72" s="42"/>
      <c r="AD72" s="42"/>
      <c r="AE72" s="41"/>
    </row>
    <row r="73" spans="2:31" x14ac:dyDescent="0.25">
      <c r="B73" s="16">
        <v>2600</v>
      </c>
      <c r="C73" s="16">
        <v>2311</v>
      </c>
      <c r="E73" s="46"/>
      <c r="F73" s="46"/>
      <c r="G73" s="10"/>
      <c r="H73" s="46"/>
      <c r="I73" s="46"/>
      <c r="AA73" s="41"/>
      <c r="AB73" s="41"/>
      <c r="AC73" s="42"/>
      <c r="AD73" s="42"/>
      <c r="AE73" s="41"/>
    </row>
    <row r="74" spans="2:31" x14ac:dyDescent="0.25">
      <c r="B74" s="16">
        <v>2700</v>
      </c>
      <c r="C74" s="16">
        <v>2376</v>
      </c>
      <c r="E74" s="46"/>
      <c r="F74" s="46"/>
      <c r="G74" s="10"/>
      <c r="H74" s="46"/>
      <c r="I74" s="46"/>
      <c r="AA74" s="41"/>
      <c r="AB74" s="41"/>
      <c r="AC74" s="42"/>
      <c r="AD74" s="42"/>
      <c r="AE74" s="41"/>
    </row>
    <row r="75" spans="2:31" x14ac:dyDescent="0.25">
      <c r="B75" s="16">
        <v>2800</v>
      </c>
      <c r="C75" s="16">
        <v>2439</v>
      </c>
      <c r="E75" s="46"/>
      <c r="F75" s="46"/>
      <c r="G75" s="10"/>
      <c r="H75" s="46"/>
      <c r="I75" s="46"/>
      <c r="AA75" s="41"/>
      <c r="AB75" s="41"/>
      <c r="AC75" s="42"/>
      <c r="AD75" s="42"/>
      <c r="AE75" s="41"/>
    </row>
    <row r="76" spans="2:31" x14ac:dyDescent="0.25">
      <c r="B76" s="16">
        <v>3500</v>
      </c>
      <c r="C76" s="16">
        <v>2500</v>
      </c>
      <c r="G76" s="10"/>
      <c r="AA76" s="41"/>
      <c r="AB76" s="41"/>
      <c r="AC76" s="42"/>
      <c r="AD76" s="42"/>
      <c r="AE76" s="41"/>
    </row>
    <row r="77" spans="2:31" x14ac:dyDescent="0.25">
      <c r="B77" s="16"/>
      <c r="C77" s="16"/>
      <c r="G77" s="10"/>
      <c r="AA77" s="41"/>
      <c r="AB77" s="41"/>
      <c r="AC77" s="42"/>
      <c r="AD77" s="42"/>
      <c r="AE77" s="41"/>
    </row>
    <row r="78" spans="2:31" x14ac:dyDescent="0.25">
      <c r="B78" s="16"/>
      <c r="C78" s="16"/>
      <c r="G78" s="10"/>
      <c r="AA78" s="41"/>
      <c r="AB78" s="41"/>
      <c r="AC78" s="42"/>
      <c r="AD78" s="42"/>
      <c r="AE78" s="41"/>
    </row>
    <row r="79" spans="2:31" x14ac:dyDescent="0.25">
      <c r="AA79" s="41"/>
      <c r="AB79" s="41"/>
      <c r="AC79" s="42"/>
      <c r="AD79" s="42"/>
      <c r="AE79" s="41"/>
    </row>
    <row r="84" spans="11:12" x14ac:dyDescent="0.25">
      <c r="K84" s="50" t="s">
        <v>90</v>
      </c>
      <c r="L84" s="50" t="s">
        <v>94</v>
      </c>
    </row>
    <row r="85" spans="11:12" x14ac:dyDescent="0.25">
      <c r="K85" s="50">
        <v>1</v>
      </c>
      <c r="L85" s="42" cm="1">
        <f t="array" ref="L85">[1]!MF_pipe_p_atma(P0,T0,construction,feed,t_model,1,0,hcor,calibr_grav,calibr_fric,,H_from,H_from,znlf,K85)</f>
        <v>207.02555113263571</v>
      </c>
    </row>
    <row r="86" spans="11:12" x14ac:dyDescent="0.25">
      <c r="K86" s="50">
        <v>10</v>
      </c>
      <c r="L86" s="42" cm="1">
        <f t="array" ref="L86">[1]!MF_pipe_p_atma(P0,T0,construction,feed,t_model,1,0,hcor,calibr_grav,calibr_fric,,H_from,H_from,znlf,K86)</f>
        <v>206.07525540773685</v>
      </c>
    </row>
    <row r="87" spans="11:12" x14ac:dyDescent="0.25">
      <c r="K87" s="50">
        <v>20</v>
      </c>
      <c r="L87" s="42" cm="1">
        <f t="array" ref="L87">[1]!MF_pipe_p_atma(P0,T0,construction,feed,t_model,1,0,hcor,calibr_grav,calibr_fric,,H_from,H_from,znlf,K87)</f>
        <v>205.32813210766861</v>
      </c>
    </row>
    <row r="88" spans="11:12" x14ac:dyDescent="0.25">
      <c r="K88" s="50">
        <v>30</v>
      </c>
      <c r="L88" s="42" cm="1">
        <f t="array" ref="L88">[1]!MF_pipe_p_atma(P0,T0,construction,feed,t_model,1,0,hcor,calibr_grav,calibr_fric,,H_from,H_from,znlf,K88)</f>
        <v>204.80615969374924</v>
      </c>
    </row>
    <row r="89" spans="11:12" x14ac:dyDescent="0.25">
      <c r="K89" s="50">
        <v>40</v>
      </c>
      <c r="L89" s="42" cm="1">
        <f t="array" ref="L89">[1]!MF_pipe_p_atma(P0,T0,construction,feed,t_model,1,0,hcor,calibr_grav,calibr_fric,,H_from,H_from,znlf,K89)</f>
        <v>204.43330809616276</v>
      </c>
    </row>
    <row r="90" spans="11:12" x14ac:dyDescent="0.25">
      <c r="K90" s="50">
        <v>50</v>
      </c>
      <c r="L90" s="42" cm="1">
        <f t="array" ref="L90">[1]!MF_pipe_p_atma(P0,T0,construction,feed,t_model,1,0,hcor,calibr_grav,calibr_fric,,H_from,H_from,znlf,K90)</f>
        <v>204.16836578187178</v>
      </c>
    </row>
    <row r="91" spans="11:12" x14ac:dyDescent="0.25">
      <c r="K91" s="50">
        <v>60</v>
      </c>
      <c r="L91" s="42" cm="1">
        <f t="array" ref="L91">[1]!MF_pipe_p_atma(P0,T0,construction,feed,t_model,1,0,hcor,calibr_grav,calibr_fric,,H_from,H_from,znlf,K91)</f>
        <v>203.98317535422305</v>
      </c>
    </row>
    <row r="92" spans="11:12" x14ac:dyDescent="0.25">
      <c r="K92" s="50">
        <v>70</v>
      </c>
      <c r="L92" s="42" cm="1">
        <f t="array" ref="L92">[1]!MF_pipe_p_atma(P0,T0,construction,feed,t_model,1,0,hcor,calibr_grav,calibr_fric,,H_from,H_from,znlf,K92)</f>
        <v>203.90021716178501</v>
      </c>
    </row>
    <row r="93" spans="11:12" x14ac:dyDescent="0.25">
      <c r="K93" s="50">
        <v>80</v>
      </c>
      <c r="L93" s="42" cm="1">
        <f t="array" ref="L93">[1]!MF_pipe_p_atma(P0,T0,construction,feed,t_model,1,0,hcor,calibr_grav,calibr_fric,,H_from,H_from,znlf,K93)</f>
        <v>203.86727767508455</v>
      </c>
    </row>
    <row r="94" spans="11:12" x14ac:dyDescent="0.25">
      <c r="K94" s="50">
        <v>90</v>
      </c>
      <c r="L94" s="42" cm="1">
        <f t="array" ref="L94">[1]!MF_pipe_p_atma(P0,T0,construction,feed,t_model,1,0,hcor,calibr_grav,calibr_fric,,H_from,H_from,znlf,K94)</f>
        <v>203.91920183149384</v>
      </c>
    </row>
    <row r="95" spans="11:12" x14ac:dyDescent="0.25">
      <c r="K95" s="50">
        <v>100</v>
      </c>
      <c r="L95" s="42" cm="1">
        <f t="array" ref="L95">[1]!MF_pipe_p_atma(P0,T0,construction,feed,t_model,1,0,hcor,calibr_grav,calibr_fric,,H_from,H_from,znlf,K95)</f>
        <v>203.96076647313944</v>
      </c>
    </row>
    <row r="96" spans="11:12" x14ac:dyDescent="0.25">
      <c r="K96" s="50">
        <v>110</v>
      </c>
      <c r="L96" s="42" cm="1">
        <f t="array" ref="L96">[1]!MF_pipe_p_atma(P0,T0,construction,feed,t_model,1,0,hcor,calibr_grav,calibr_fric,,H_from,H_from,znlf,K96)</f>
        <v>204.07424959210493</v>
      </c>
    </row>
    <row r="97" spans="11:12" x14ac:dyDescent="0.25">
      <c r="K97" s="50">
        <v>120</v>
      </c>
      <c r="L97" s="42" cm="1">
        <f t="array" ref="L97">[1]!MF_pipe_p_atma(P0,T0,construction,feed,t_model,1,0,hcor,calibr_grav,calibr_fric,,H_from,H_from,znlf,K97)</f>
        <v>204.1932319790246</v>
      </c>
    </row>
    <row r="98" spans="11:12" x14ac:dyDescent="0.25">
      <c r="K98" s="50">
        <v>130</v>
      </c>
      <c r="L98" s="42" cm="1">
        <f t="array" ref="L98">[1]!MF_pipe_p_atma(P0,T0,construction,feed,t_model,1,0,hcor,calibr_grav,calibr_fric,,H_from,H_from,znlf,K98)</f>
        <v>204.33513281365427</v>
      </c>
    </row>
    <row r="99" spans="11:12" x14ac:dyDescent="0.25">
      <c r="K99" s="50">
        <v>140</v>
      </c>
      <c r="L99" s="42" cm="1">
        <f t="array" ref="L99">[1]!MF_pipe_p_atma(P0,T0,construction,feed,t_model,1,0,hcor,calibr_grav,calibr_fric,,H_from,H_from,znlf,K99)</f>
        <v>204.50586923272689</v>
      </c>
    </row>
    <row r="100" spans="11:12" x14ac:dyDescent="0.25">
      <c r="K100" s="50">
        <v>150</v>
      </c>
      <c r="L100" s="42" cm="1">
        <f t="array" ref="L100">[1]!MF_pipe_p_atma(P0,T0,construction,feed,t_model,1,0,hcor,calibr_grav,calibr_fric,,H_from,H_from,znlf,K100)</f>
        <v>204.71052264465791</v>
      </c>
    </row>
    <row r="101" spans="11:12" x14ac:dyDescent="0.25">
      <c r="K101" s="50">
        <v>160</v>
      </c>
      <c r="L101" s="42" cm="1">
        <f t="array" ref="L101">[1]!MF_pipe_p_atma(P0,T0,construction,feed,t_model,1,0,hcor,calibr_grav,calibr_fric,,H_from,H_from,znlf,K101)</f>
        <v>204.93301189748718</v>
      </c>
    </row>
    <row r="102" spans="11:12" x14ac:dyDescent="0.25">
      <c r="K102" s="50">
        <v>170</v>
      </c>
      <c r="L102" s="42" cm="1">
        <f t="array" ref="L102">[1]!MF_pipe_p_atma(P0,T0,construction,feed,t_model,1,0,hcor,calibr_grav,calibr_fric,,H_from,H_from,znlf,K102)</f>
        <v>205.17499836022526</v>
      </c>
    </row>
    <row r="103" spans="11:12" x14ac:dyDescent="0.25">
      <c r="K103" s="50">
        <v>180</v>
      </c>
      <c r="L103" s="42" cm="1">
        <f t="array" ref="L103">[1]!MF_pipe_p_atma(P0,T0,construction,feed,t_model,1,0,hcor,calibr_grav,calibr_fric,,H_from,H_from,znlf,K103)</f>
        <v>205.43964623624376</v>
      </c>
    </row>
    <row r="104" spans="11:12" x14ac:dyDescent="0.25">
      <c r="K104" s="50">
        <v>190</v>
      </c>
      <c r="L104" s="42" cm="1">
        <f t="array" ref="L104">[1]!MF_pipe_p_atma(P0,T0,construction,feed,t_model,1,0,hcor,calibr_grav,calibr_fric,,H_from,H_from,znlf,K104)</f>
        <v>205.72966789474438</v>
      </c>
    </row>
    <row r="105" spans="11:12" x14ac:dyDescent="0.25">
      <c r="K105" s="50">
        <v>200</v>
      </c>
      <c r="L105" s="42" cm="1">
        <f t="array" ref="L105">[1]!MF_pipe_p_atma(P0,T0,construction,feed,t_model,1,0,hcor,calibr_grav,calibr_fric,,H_from,H_from,znlf,K105)</f>
        <v>206.03891633910271</v>
      </c>
    </row>
    <row r="115" spans="9:31" x14ac:dyDescent="0.25">
      <c r="I115" s="14"/>
      <c r="J115" s="67" t="s">
        <v>95</v>
      </c>
      <c r="K115" t="str" cm="1">
        <f t="array" ref="K115">[1]!encode_arange(10,400,30)</f>
        <v>[10,40,70,100,130,160,190,220,250,280,310,340,370,400]</v>
      </c>
    </row>
    <row r="116" spans="9:31" x14ac:dyDescent="0.25">
      <c r="I116" s="14"/>
      <c r="J116" s="67" t="s">
        <v>96</v>
      </c>
      <c r="K116" t="str" cm="1">
        <f t="array" ref="K116">[1]!MF_pipe_p_atma(P0,T0,construction,feed,t_model,1,0,hcor,calibr_grav,calibr_fric,,H_from,H_from,znlf,K115)</f>
        <v>{"p_atma":[206.075,204.433,203.9,203.961,204.335,204.933,205.73,206.713,207.823,209.137,210.621,212.264,213.937,215.726],"t_C":[66.427,66.427,66.427,66.427,66.427,66.427,66.427,66.427,66.427,66.427,66.427,66.427,66.427,66.427],"feed":[{"gamma_gas":0.8,"gamma_oil":0.87,"gamma_wat":1,"rsb_m3m3":80,"pb_atma":120,"t_res_C":100,"bob_m3m3":1.2,"muob_cP":1,"PVT_corr_set":0,"q_liq_sm3day":10,"fw_perc":0,"rp_m3m3":80},{"gamma_gas":0.8,"gamma_oil":0.87,"gamma_wat":1,"rsb_m3m3":80,"pb_atma":120,"t_res_C":100,"bob_m3m3":1.2,"muob_cP":1,"PVT_corr_set":0,"q_liq_sm3day":40,"fw_perc":0,"rp_m3m3":80},{"gamma_gas":0.8,"gamma_oil":0.87,"gamma_wat":1,"rsb_m3m3":80,"pb_atma":120,"t_res_C":100,"bob_m3m3":1.2,"muob_cP":1,"PVT_corr_set":0,"q_liq_sm3day":70,"fw_perc":0,"rp_m3m3":80},{"gamma_gas":0.8,"gamma_oil":0.87,"gamma_wat":1,"rsb_m3m3":80,"pb_atma":120,"t_res_C":100,"bob_m3m3":1.2,"muob_cP":1,"PVT_corr_set":0,"q_liq_sm3day":100,"fw_perc":0,"rp_m3m3":80},{"gamma_gas":0.8,"gamma_oil":0.87,"gamma_wat":1,"rsb_m3m3":80,"pb_atma":120,"t_res_C":100,"bob_m3m3":1.2,"muob_cP":1,"PVT_corr_set":0,"q_liq_sm3day":130,"fw_perc":0,"rp_m3m3":80},{"gamma_gas":0.8,"gamma_oil":0.87,"gamma_wat":1,"rsb_m3m3":80,"pb_atma":120,"t_res_C":100,"bob_m3m3":1.2,"muob_cP":1,"PVT_corr_set":0,"q_liq_sm3day":160,"fw_perc":0,"rp_m3m3":80},{"gamma_gas":0.8,"gamma_oil":0.87,"gamma_wat":1,"rsb_m3m3":80,"pb_atma":120,"t_res_C":100,"bob_m3m3":1.2,"muob_cP":1,"PVT_corr_set":0,"q_liq_sm3day":190,"fw_perc":0,"rp_m3m3":80},{"gamma_gas":0.8,"gamma_oil":0.87,"gamma_wat":1,"rsb_m3m3":80,"pb_atma":120,"t_res_C":100,"bob_m3m3":1.2,"muob_cP":1,"PVT_corr_set":0,"q_liq_sm3day":220,"fw_perc":0,"rp_m3m3":80},{"gamma_gas":0.8,"gamma_oil":0.87,"gamma_wat":1,"rsb_m3m3":80,"pb_atma":120,"t_res_C":100,"bob_m3m3":1.2,"muob_cP":1,"PVT_corr_set":0,"q_liq_sm3day":250,"fw_perc":0,"rp_m3m3":80},{"gamma_gas":0.8,"gamma_oil":0.87,"gamma_wat":1,"rsb_m3m3":80,"pb_atma":120,"t_res_C":100,"bob_m3m3":1.2,"muob_cP":1,"PVT_corr_set":0,"q_liq_sm3day":280,"fw_perc":0,"rp_m3m3":80},{"gamma_gas":0.8,"gamma_oil":0.87,"gamma_wat":1,"rsb_m3m3":80,"pb_atma":120,"t_res_C":100,"bob_m3m3":1.2,"muob_cP":1,"PVT_corr_set":0,"q_liq_sm3day":310,"fw_perc":0,"rp_m3m3":80},{"gamma_gas":0.8,"gamma_oil":0.87,"gamma_wat":1,"rsb_m3m3":80,"pb_atma":120,"t_res_C":100,"bob_m3m3":1.2,"muob_cP":1,"PVT_corr_set":0,"q_liq_sm3day":340,"fw_perc":0,"rp_m3m3":80},{"gamma_gas":0.8,"gamma_oil":0.87,"gamma_wat":1,"rsb_m3m3":80,"pb_atma":120,"t_res_C":100,"bob_m3m3":1.2,"muob_cP":1,"PVT_corr_set":0,"q_liq_sm3day":370,"fw_perc":0,"rp_m3m3":80},{"gamma_gas":0.8,"gamma_oil":0.87,"gamma_wat":1,"rsb_m3m3":80,"pb_atma":120,"t_res_C":100,"bob_m3m3":1.2,"muob_cP":1,"PVT_corr_set":0,"q_liq_sm3day":400,"fw_perc":0,"rp_m3m3":80}]}</v>
      </c>
    </row>
    <row r="118" spans="9:31" x14ac:dyDescent="0.25">
      <c r="I118" s="14"/>
      <c r="J118" s="14" t="s">
        <v>97</v>
      </c>
      <c r="K118" s="14"/>
      <c r="L118" s="14"/>
      <c r="M118" s="14"/>
    </row>
    <row r="119" spans="9:31" x14ac:dyDescent="0.25">
      <c r="K119" t="str" cm="1">
        <f t="array" ref="K119:L121">[1]!decode_json(K116)</f>
        <v>p_atma</v>
      </c>
      <c r="L119" t="str">
        <v>[206.075,204.433,203.9,203.961,204.335,204.933,205.73,206.713,207.823,209.137,210.621,212.264,213.937,215.726]</v>
      </c>
    </row>
    <row r="120" spans="9:31" x14ac:dyDescent="0.25">
      <c r="K120" t="str">
        <v>t_C</v>
      </c>
      <c r="L120" t="str">
        <v>[66.427,66.427,66.427,66.427,66.427,66.427,66.427,66.427,66.427,66.427,66.427,66.427,66.427,66.427]</v>
      </c>
    </row>
    <row r="121" spans="9:31" x14ac:dyDescent="0.25">
      <c r="K121" t="str">
        <v>feed</v>
      </c>
      <c r="L121" t="str">
        <v>[{"gamma_gas":0.8,"gamma_oil":0.87,"gamma_wat":1,"rsb_m3m3":80,"pb_atma":120,"t_res_C":100,"bob_m3m3":1.2,"muob_cP":1,"PVT_corr_set":0,"q_liq_sm3day":10,"fw_perc":0,"rp_m3m3":80},{"gamma_gas":0.8,"gamma_oil":0.87,"gamma_wat":1,"rsb_m3m3":80,"pb_atma":120,"t_res_C":100,"bob_m3m3":1.2,"muob_cP":1,"PVT_corr_set":0,"q_liq_sm3day":40,"fw_perc":0,"rp_m3m3":80},{"gamma_gas":0.8,"gamma_oil":0.87,"gamma_wat":1,"rsb_m3m3":80,"pb_atma":120,"t_res_C":100,"bob_m3m3":1.2,"muob_cP":1,"PVT_corr_set":0,"q_liq_sm3day":70,"fw_perc":0,"rp_m3m3":80},{"gamma_gas":0.8,"gamma_oil":0.87,"gamma_wat":1,"rsb_m3m3":80,"pb_atma":120,"t_res_C":100,"bob_m3m3":1.2,"muob_cP":1,"PVT_corr_set":0,"q_liq_sm3day":100,"fw_perc":0,"rp_m3m3":80},{"gamma_gas":0.8,"gamma_oil":0.87,"gamma_wat":1,"rsb_m3m3":80,"pb_atma":120,"t_res_C":100,"bob_m3m3":1.2,"muob_cP":1,"PVT_corr_set":0,"q_liq_sm3day":130,"fw_perc":0,"rp_m3m3":80},{"gamma_gas":0.8,"gamma_oil":0.87,"gamma_wat":1,"rsb_m3m3":80,"pb_atma":120,"t_res_C":100,"bob_m3m3":1.2,"muob_cP":1,"PVT_corr_set":0,"q_liq_sm3day":160,"fw_perc":0,"rp_m3m3":80},{"gamma_gas":0.8,"gamma_oil":0.87,"gamma_wat":1,"rsb_m3m3":80,"pb_atma":120,"t_res_C":100,"bob_m3m3":1.2,"muob_cP":1,"PVT_corr_set":0,"q_liq_sm3day":190,"fw_perc":0,"rp_m3m3":80},{"gamma_gas":0.8,"gamma_oil":0.87,"gamma_wat":1,"rsb_m3m3":80,"pb_atma":120,"t_res_C":100,"bob_m3m3":1.2,"muob_cP":1,"PVT_corr_set":0,"q_liq_sm3day":220,"fw_perc":0,"rp_m3m3":80},{"gamma_gas":0.8,"gamma_oil":0.87,"gamma_wat":1,"rsb_m3m3":80,"pb_atma":120,"t_res_C":100,"bob_m3m3":1.2,"muob_cP":1,"PVT_corr_set":0,"q_liq_sm3day":250,"fw_perc":0,"rp_m3m3":80},{"gamma_gas":0.8,"gamma_oil":0.87,"gamma_wat":1,"rsb_m3m3":80,"pb_atma":120,"t_res_C":100,"bob_m3m3":1.2,"muob_cP":1,"PVT_corr_set":0,"q_liq_sm3day":280,"fw_perc":0,"rp_m3m3":80},{"gamma_gas":0.8,"gamma_oil":0.87,"gamma_wat":1,"rsb_m3m3":80,"pb_atma":120,"t_res_C":100,"bob_m3m3":1.2,"muob_cP":1,"PVT_corr_set":0,"q_liq_sm3day":310,"fw_perc":0,"rp_m3m3":80},{"gamma_gas":0.8,"gamma_oil":0.87,"gamma_wat":1,"rsb_m3m3":80,"pb_atma":120,"t_res_C":100,"bob_m3m3":1.2,"muob_cP":1,"PVT_corr_set":0,"q_liq_sm3day":340,"fw_perc":0,"rp_m3m3":80},{"gamma_gas":0.8,"gamma_oil":0.87,"gamma_wat":1,"rsb_m3m3":80,"pb_atma":120,"t_res_C":100,"bob_m3m3":1.2,"muob_cP":1,"PVT_corr_set":0,"q_liq_sm3day":370,"fw_perc":0,"rp_m3m3":80},{"gamma_gas":0.8,"gamma_oil":0.87,"gamma_wat":1,"rsb_m3m3":80,"pb_atma":120,"t_res_C":100,"bob_m3m3":1.2,"muob_cP":1,"PVT_corr_set":0,"q_liq_sm3day":400,"fw_perc":0,"rp_m3m3":80}]</v>
      </c>
    </row>
    <row r="123" spans="9:31" x14ac:dyDescent="0.25">
      <c r="I123" s="14"/>
      <c r="J123" s="14" t="s">
        <v>98</v>
      </c>
      <c r="K123" s="14"/>
      <c r="L123" s="14"/>
      <c r="M123" s="14"/>
    </row>
    <row r="124" spans="9:31" x14ac:dyDescent="0.25">
      <c r="I124" s="14"/>
      <c r="J124" s="14" t="s">
        <v>100</v>
      </c>
      <c r="K124" s="14" t="s">
        <v>99</v>
      </c>
      <c r="L124" s="14" t="s">
        <v>101</v>
      </c>
      <c r="M124" s="14" t="s">
        <v>102</v>
      </c>
    </row>
    <row r="125" spans="9:31" x14ac:dyDescent="0.25">
      <c r="J125" cm="1">
        <f t="array" ref="J125:J138">[1]!decode_json(K115)</f>
        <v>10</v>
      </c>
      <c r="K125" cm="1">
        <f t="array" ref="K125:K138">[1]!decode_json(L119)</f>
        <v>206.07499999999999</v>
      </c>
      <c r="L125" cm="1">
        <f t="array" ref="L125:L138">[1]!decode_json(L120)</f>
        <v>66.427000000000007</v>
      </c>
      <c r="M125" t="str" cm="1">
        <f t="array" ref="M125:M138">[1]!decode_json(L121)</f>
        <v>{"gamma_gas":0.8,"gamma_oil":0.87,"gamma_wat":1,"rsb_m3m3":80,"pb_atma":120,"t_res_C":100,"bob_m3m3":1.2,"muob_cP":1,"PVT_corr_set":0,"q_liq_sm3day":10,"fw_perc":0,"rp_m3m3":80}</v>
      </c>
      <c r="AA125" s="41"/>
      <c r="AB125" s="41"/>
      <c r="AC125" s="42"/>
      <c r="AD125" s="42"/>
      <c r="AE125" s="41"/>
    </row>
    <row r="126" spans="9:31" x14ac:dyDescent="0.25">
      <c r="J126">
        <v>40</v>
      </c>
      <c r="K126">
        <v>204.43299999999999</v>
      </c>
      <c r="L126">
        <v>66.427000000000007</v>
      </c>
      <c r="M126" t="str">
        <v>{"gamma_gas":0.8,"gamma_oil":0.87,"gamma_wat":1,"rsb_m3m3":80,"pb_atma":120,"t_res_C":100,"bob_m3m3":1.2,"muob_cP":1,"PVT_corr_set":0,"q_liq_sm3day":40,"fw_perc":0,"rp_m3m3":80}</v>
      </c>
      <c r="AA126" s="41"/>
      <c r="AB126" s="41"/>
      <c r="AC126" s="42"/>
      <c r="AD126" s="42"/>
      <c r="AE126" s="41"/>
    </row>
    <row r="127" spans="9:31" x14ac:dyDescent="0.25">
      <c r="J127">
        <v>70</v>
      </c>
      <c r="K127">
        <v>203.9</v>
      </c>
      <c r="L127">
        <v>66.427000000000007</v>
      </c>
      <c r="M127" t="str">
        <v>{"gamma_gas":0.8,"gamma_oil":0.87,"gamma_wat":1,"rsb_m3m3":80,"pb_atma":120,"t_res_C":100,"bob_m3m3":1.2,"muob_cP":1,"PVT_corr_set":0,"q_liq_sm3day":70,"fw_perc":0,"rp_m3m3":80}</v>
      </c>
      <c r="O127" s="48"/>
      <c r="AA127" s="41"/>
      <c r="AB127" s="41"/>
    </row>
    <row r="128" spans="9:31" x14ac:dyDescent="0.25">
      <c r="J128">
        <v>100</v>
      </c>
      <c r="K128">
        <v>203.96100000000001</v>
      </c>
      <c r="L128">
        <v>66.427000000000007</v>
      </c>
      <c r="M128" t="str">
        <v>{"gamma_gas":0.8,"gamma_oil":0.87,"gamma_wat":1,"rsb_m3m3":80,"pb_atma":120,"t_res_C":100,"bob_m3m3":1.2,"muob_cP":1,"PVT_corr_set":0,"q_liq_sm3day":100,"fw_perc":0,"rp_m3m3":80}</v>
      </c>
      <c r="O128" s="48"/>
      <c r="AA128" s="41"/>
      <c r="AB128" s="41"/>
    </row>
    <row r="129" spans="10:15" x14ac:dyDescent="0.25">
      <c r="J129">
        <v>130</v>
      </c>
      <c r="K129">
        <v>204.33500000000001</v>
      </c>
      <c r="L129">
        <v>66.427000000000007</v>
      </c>
      <c r="M129" t="str">
        <v>{"gamma_gas":0.8,"gamma_oil":0.87,"gamma_wat":1,"rsb_m3m3":80,"pb_atma":120,"t_res_C":100,"bob_m3m3":1.2,"muob_cP":1,"PVT_corr_set":0,"q_liq_sm3day":130,"fw_perc":0,"rp_m3m3":80}</v>
      </c>
      <c r="N129" s="41"/>
      <c r="O129" s="49"/>
    </row>
    <row r="130" spans="10:15" x14ac:dyDescent="0.25">
      <c r="J130">
        <v>160</v>
      </c>
      <c r="K130">
        <v>204.93299999999999</v>
      </c>
      <c r="L130">
        <v>66.427000000000007</v>
      </c>
      <c r="M130" t="str">
        <v>{"gamma_gas":0.8,"gamma_oil":0.87,"gamma_wat":1,"rsb_m3m3":80,"pb_atma":120,"t_res_C":100,"bob_m3m3":1.2,"muob_cP":1,"PVT_corr_set":0,"q_liq_sm3day":160,"fw_perc":0,"rp_m3m3":80}</v>
      </c>
      <c r="N130" s="41"/>
      <c r="O130" s="49"/>
    </row>
    <row r="131" spans="10:15" x14ac:dyDescent="0.25">
      <c r="J131">
        <v>190</v>
      </c>
      <c r="K131">
        <v>205.73</v>
      </c>
      <c r="L131">
        <v>66.427000000000007</v>
      </c>
      <c r="M131" t="str">
        <v>{"gamma_gas":0.8,"gamma_oil":0.87,"gamma_wat":1,"rsb_m3m3":80,"pb_atma":120,"t_res_C":100,"bob_m3m3":1.2,"muob_cP":1,"PVT_corr_set":0,"q_liq_sm3day":190,"fw_perc":0,"rp_m3m3":80}</v>
      </c>
      <c r="N131" s="41"/>
      <c r="O131" s="49"/>
    </row>
    <row r="132" spans="10:15" x14ac:dyDescent="0.25">
      <c r="J132">
        <v>220</v>
      </c>
      <c r="K132">
        <v>206.71299999999999</v>
      </c>
      <c r="L132">
        <v>66.427000000000007</v>
      </c>
      <c r="M132" t="str">
        <v>{"gamma_gas":0.8,"gamma_oil":0.87,"gamma_wat":1,"rsb_m3m3":80,"pb_atma":120,"t_res_C":100,"bob_m3m3":1.2,"muob_cP":1,"PVT_corr_set":0,"q_liq_sm3day":220,"fw_perc":0,"rp_m3m3":80}</v>
      </c>
      <c r="N132" s="66"/>
      <c r="O132" s="49"/>
    </row>
    <row r="133" spans="10:15" x14ac:dyDescent="0.25">
      <c r="J133">
        <v>250</v>
      </c>
      <c r="K133">
        <v>207.82300000000001</v>
      </c>
      <c r="L133">
        <v>66.427000000000007</v>
      </c>
      <c r="M133" t="str">
        <v>{"gamma_gas":0.8,"gamma_oil":0.87,"gamma_wat":1,"rsb_m3m3":80,"pb_atma":120,"t_res_C":100,"bob_m3m3":1.2,"muob_cP":1,"PVT_corr_set":0,"q_liq_sm3day":250,"fw_perc":0,"rp_m3m3":80}</v>
      </c>
      <c r="N133" s="66"/>
      <c r="O133" s="49"/>
    </row>
    <row r="134" spans="10:15" x14ac:dyDescent="0.25">
      <c r="J134">
        <v>280</v>
      </c>
      <c r="K134">
        <v>209.137</v>
      </c>
      <c r="L134">
        <v>66.427000000000007</v>
      </c>
      <c r="M134" t="str">
        <v>{"gamma_gas":0.8,"gamma_oil":0.87,"gamma_wat":1,"rsb_m3m3":80,"pb_atma":120,"t_res_C":100,"bob_m3m3":1.2,"muob_cP":1,"PVT_corr_set":0,"q_liq_sm3day":280,"fw_perc":0,"rp_m3m3":80}</v>
      </c>
      <c r="N134" s="66"/>
      <c r="O134" s="49"/>
    </row>
    <row r="135" spans="10:15" x14ac:dyDescent="0.25">
      <c r="J135">
        <v>310</v>
      </c>
      <c r="K135">
        <v>210.62100000000001</v>
      </c>
      <c r="L135">
        <v>66.427000000000007</v>
      </c>
      <c r="M135" t="str">
        <v>{"gamma_gas":0.8,"gamma_oil":0.87,"gamma_wat":1,"rsb_m3m3":80,"pb_atma":120,"t_res_C":100,"bob_m3m3":1.2,"muob_cP":1,"PVT_corr_set":0,"q_liq_sm3day":310,"fw_perc":0,"rp_m3m3":80}</v>
      </c>
      <c r="N135" s="66"/>
      <c r="O135" s="49"/>
    </row>
    <row r="136" spans="10:15" x14ac:dyDescent="0.25">
      <c r="J136">
        <v>340</v>
      </c>
      <c r="K136">
        <v>212.26400000000001</v>
      </c>
      <c r="L136">
        <v>66.427000000000007</v>
      </c>
      <c r="M136" t="str">
        <v>{"gamma_gas":0.8,"gamma_oil":0.87,"gamma_wat":1,"rsb_m3m3":80,"pb_atma":120,"t_res_C":100,"bob_m3m3":1.2,"muob_cP":1,"PVT_corr_set":0,"q_liq_sm3day":340,"fw_perc":0,"rp_m3m3":80}</v>
      </c>
      <c r="N136" s="66"/>
      <c r="O136" s="49"/>
    </row>
    <row r="137" spans="10:15" x14ac:dyDescent="0.25">
      <c r="J137">
        <v>370</v>
      </c>
      <c r="K137">
        <v>213.93700000000001</v>
      </c>
      <c r="L137">
        <v>66.427000000000007</v>
      </c>
      <c r="M137" t="str">
        <v>{"gamma_gas":0.8,"gamma_oil":0.87,"gamma_wat":1,"rsb_m3m3":80,"pb_atma":120,"t_res_C":100,"bob_m3m3":1.2,"muob_cP":1,"PVT_corr_set":0,"q_liq_sm3day":370,"fw_perc":0,"rp_m3m3":80}</v>
      </c>
      <c r="N137" s="66"/>
      <c r="O137" s="49"/>
    </row>
    <row r="138" spans="10:15" x14ac:dyDescent="0.25">
      <c r="J138">
        <v>400</v>
      </c>
      <c r="K138">
        <v>215.726</v>
      </c>
      <c r="L138">
        <v>66.427000000000007</v>
      </c>
      <c r="M138" t="str">
        <v>{"gamma_gas":0.8,"gamma_oil":0.87,"gamma_wat":1,"rsb_m3m3":80,"pb_atma":120,"t_res_C":100,"bob_m3m3":1.2,"muob_cP":1,"PVT_corr_set":0,"q_liq_sm3day":400,"fw_perc":0,"rp_m3m3":80}</v>
      </c>
      <c r="N138" s="66"/>
      <c r="O138" s="49"/>
    </row>
    <row r="139" spans="10:15" x14ac:dyDescent="0.25">
      <c r="N139" s="66"/>
      <c r="O139" s="49"/>
    </row>
    <row r="140" spans="10:15" x14ac:dyDescent="0.25">
      <c r="N140" s="66"/>
      <c r="O140" s="49"/>
    </row>
    <row r="141" spans="10:15" x14ac:dyDescent="0.25">
      <c r="N141" s="66"/>
      <c r="O141" s="49"/>
    </row>
    <row r="142" spans="10:15" x14ac:dyDescent="0.25">
      <c r="N142" s="66"/>
      <c r="O142" s="49"/>
    </row>
    <row r="143" spans="10:15" x14ac:dyDescent="0.25">
      <c r="N143" s="66"/>
      <c r="O143" s="49"/>
    </row>
    <row r="144" spans="10:15" x14ac:dyDescent="0.25">
      <c r="N144" s="66"/>
      <c r="O144" s="49"/>
    </row>
    <row r="145" spans="14:15" x14ac:dyDescent="0.25">
      <c r="N145" s="66"/>
      <c r="O145" s="49"/>
    </row>
    <row r="146" spans="14:15" x14ac:dyDescent="0.25">
      <c r="N146" s="41"/>
      <c r="O146" s="49"/>
    </row>
    <row r="147" spans="14:15" x14ac:dyDescent="0.25">
      <c r="N147" s="41"/>
      <c r="O147" s="49"/>
    </row>
    <row r="148" spans="14:15" x14ac:dyDescent="0.25">
      <c r="N148" s="41"/>
      <c r="O148" s="49"/>
    </row>
    <row r="149" spans="14:15" x14ac:dyDescent="0.25">
      <c r="N149" s="41"/>
      <c r="O149" s="49"/>
    </row>
    <row r="150" spans="14:15" x14ac:dyDescent="0.25">
      <c r="O150" s="48"/>
    </row>
  </sheetData>
  <mergeCells count="11">
    <mergeCell ref="F26:G26"/>
    <mergeCell ref="B3:E3"/>
    <mergeCell ref="B4:E4"/>
    <mergeCell ref="B5:E5"/>
    <mergeCell ref="B6:E8"/>
    <mergeCell ref="F25:G25"/>
    <mergeCell ref="F27:G27"/>
    <mergeCell ref="F30:G30"/>
    <mergeCell ref="F31:G31"/>
    <mergeCell ref="F32:G32"/>
    <mergeCell ref="F29:G2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56</vt:i4>
      </vt:variant>
    </vt:vector>
  </HeadingPairs>
  <TitlesOfParts>
    <vt:vector size="57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construction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H_from</vt:lpstr>
      <vt:lpstr>H_to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param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2019-10-28T06:57:59Z</dcterms:created>
  <dcterms:modified xsi:type="dcterms:W3CDTF">2023-02-16T19:15:39Z</dcterms:modified>
</cp:coreProperties>
</file>