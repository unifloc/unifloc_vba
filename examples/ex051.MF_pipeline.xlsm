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11EC4DEA-3F5A-4E62-BB50-B7EF51BA2B81}" xr6:coauthVersionLast="46" xr6:coauthVersionMax="46" xr10:uidLastSave="{00000000-0000-0000-0000-000000000000}"/>
  <bookViews>
    <workbookView xWindow="-120" yWindow="-120" windowWidth="29040" windowHeight="15840" tabRatio="510" xr2:uid="{CBB18379-7E76-40C7-BC74-A5CF898F6A9B}"/>
  </bookViews>
  <sheets>
    <sheet name="exercise_pipeline" sheetId="3" r:id="rId1"/>
  </sheets>
  <externalReferences>
    <externalReference r:id="rId2"/>
  </externalReferences>
  <definedNames>
    <definedName name="Bob_" localSheetId="0">exercise_pipeline!$C$17</definedName>
    <definedName name="calc_along_coord" localSheetId="0">exercise_pipeline!$H$48</definedName>
    <definedName name="calc_along_coord1" localSheetId="0">exercise_pipeline!$I$48</definedName>
    <definedName name="calc_flow_direction_" localSheetId="0">exercise_pipeline!$H$50</definedName>
    <definedName name="calc_flow_direction1_" localSheetId="0">exercise_pipeline!$I$50</definedName>
    <definedName name="calibr_fric" localSheetId="0">exercise_pipeline!$H$32</definedName>
    <definedName name="calibr_grav" localSheetId="0">exercise_pipeline!$H$31</definedName>
    <definedName name="calibr_type" localSheetId="0">exercise_pipeline!$H$27</definedName>
    <definedName name="flow_along_coord" localSheetId="0">exercise_pipeline!$H$49</definedName>
    <definedName name="flow_along_coord1" localSheetId="0">exercise_pipeline!$I$49</definedName>
    <definedName name="fw_" localSheetId="0">exercise_pipeline!$C$23</definedName>
    <definedName name="gamma_gas_" localSheetId="0">exercise_pipeline!$C$13</definedName>
    <definedName name="gamma_oil_" localSheetId="0">exercise_pipeline!$C$11</definedName>
    <definedName name="gamma_wat_" localSheetId="0">exercise_pipeline!$C$12</definedName>
    <definedName name="gas_only_" localSheetId="0">exercise_pipeline!$H$28</definedName>
    <definedName name="hcor" localSheetId="0">exercise_pipeline!$H$46</definedName>
    <definedName name="Hydr_corr_" localSheetId="0">exercise_pipeline!$H$26</definedName>
    <definedName name="inclinometry" localSheetId="0">exercise_pipeline!$B$56:$C$78</definedName>
    <definedName name="input_0" localSheetId="0">exercise_pipeline!$C$11:$C$32</definedName>
    <definedName name="input_1" localSheetId="0">exercise_pipeline!$C$46:$C$50</definedName>
    <definedName name="input_2" localSheetId="0">exercise_pipeline!$H$29:$H$32</definedName>
    <definedName name="input_3" localSheetId="0">exercise_pipeline!$H$47:$H$49</definedName>
    <definedName name="input_5" localSheetId="0">exercise_pipeline!$B$56:$C$78</definedName>
    <definedName name="input_6" localSheetId="0">exercise_pipeline!$E$56:$F$75</definedName>
    <definedName name="input_7" localSheetId="0">exercise_pipeline!$H$56:$I$75</definedName>
    <definedName name="input_Course" localSheetId="0">exercise_pipeline!$I$3</definedName>
    <definedName name="input_Date" localSheetId="0">exercise_pipeline!$I$1</definedName>
    <definedName name="input_Group" localSheetId="0">exercise_pipeline!$I$4</definedName>
    <definedName name="input_Notes" localSheetId="0">exercise_pipeline!$I$6</definedName>
    <definedName name="input_Student_Name" localSheetId="0">exercise_pipeline!$I$5</definedName>
    <definedName name="input_Version" localSheetId="0">exercise_pipeline!$I$2</definedName>
    <definedName name="Ksep" localSheetId="0">exercise_pipeline!$P$21</definedName>
    <definedName name="muob_" localSheetId="0">exercise_pipeline!$C$18</definedName>
    <definedName name="P0" localSheetId="0">exercise_pipeline!$C$29</definedName>
    <definedName name="P1_" localSheetId="0">exercise_pipeline!$C$30</definedName>
    <definedName name="Pb_" localSheetId="0">exercise_pipeline!$C$15</definedName>
    <definedName name="Psep" localSheetId="0">exercise_pipeline!$P$22</definedName>
    <definedName name="PVT_corr_" localSheetId="0">exercise_pipeline!$H$25</definedName>
    <definedName name="PVTstr_" localSheetId="0">exercise_pipeline!$C$34</definedName>
    <definedName name="Qgas_free" localSheetId="0">exercise_pipeline!$C$24</definedName>
    <definedName name="qliq_" localSheetId="0">exercise_pipeline!$C$21</definedName>
    <definedName name="Rp_" localSheetId="0">exercise_pipeline!$C$22</definedName>
    <definedName name="Rsb_" localSheetId="0">exercise_pipeline!$C$14</definedName>
    <definedName name="T0" localSheetId="0">exercise_pipeline!$C$31</definedName>
    <definedName name="T1_" localSheetId="0">exercise_pipeline!$C$32</definedName>
    <definedName name="temp_model" localSheetId="0">exercise_pipeline!$H$47</definedName>
    <definedName name="tempm" localSheetId="0">exercise_pipeline!$H$47</definedName>
    <definedName name="Tres_" localSheetId="0">exercise_pipeline!$C$16</definedName>
    <definedName name="Tsep" localSheetId="0">exercise_pipeline!$P$23</definedName>
    <definedName name="znlf">exercise_pipeline!$H$29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46" i="3" l="1" a="1"/>
  <c r="K83" i="3" a="1"/>
  <c r="K46" i="3" l="1"/>
  <c r="K83" i="3"/>
  <c r="I50" i="3"/>
  <c r="H50" i="3"/>
  <c r="E16" i="3"/>
  <c r="E15" i="3"/>
  <c r="E22" i="3"/>
  <c r="E14" i="3"/>
  <c r="E13" i="3"/>
  <c r="E12" i="3"/>
  <c r="E11" i="3"/>
  <c r="C38" i="3" a="1"/>
  <c r="C37" i="3" a="1"/>
  <c r="C34" i="3"/>
  <c r="C35" i="3" s="1" a="1"/>
  <c r="G1" i="3"/>
  <c r="C38" i="3" l="1"/>
  <c r="C37" i="3"/>
  <c r="C35" i="3"/>
  <c r="Q51" i="3" a="1"/>
  <c r="K51" i="3" a="1"/>
  <c r="N51" i="3" a="1"/>
  <c r="S61" i="3" s="1" a="1"/>
  <c r="P61" i="3" a="1"/>
  <c r="N61" i="3" a="1"/>
  <c r="R73" i="3" l="1"/>
  <c r="R74" i="3"/>
  <c r="R67" i="3"/>
  <c r="R68" i="3"/>
  <c r="R81" i="3"/>
  <c r="R70" i="3"/>
  <c r="R62" i="3"/>
  <c r="R71" i="3"/>
  <c r="R72" i="3"/>
  <c r="R63" i="3"/>
  <c r="R75" i="3"/>
  <c r="R64" i="3"/>
  <c r="R76" i="3"/>
  <c r="R65" i="3"/>
  <c r="R77" i="3"/>
  <c r="R66" i="3"/>
  <c r="R78" i="3"/>
  <c r="R79" i="3"/>
  <c r="R80" i="3"/>
  <c r="R69" i="3"/>
  <c r="S61" i="3"/>
  <c r="P61" i="3"/>
  <c r="N61" i="3"/>
  <c r="Q51" i="3"/>
  <c r="N51" i="3"/>
  <c r="K51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46" authorId="0" shapeId="0" xr:uid="{81930183-E6B5-4FC6-AE3A-67EC827D1E1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47" authorId="0" shapeId="0" xr:uid="{04F1681C-E4FC-4066-ADBF-ED684C47073D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<sst xmlns="http://schemas.openxmlformats.org/spreadsheetml/2006/main" count="138" uniqueCount="98">
  <si>
    <t>Упражнения по работе с макросами Unifloc VBA</t>
  </si>
  <si>
    <t>версия</t>
  </si>
  <si>
    <t>Физико - химические свойства флюида   PVT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</si>
  <si>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</si>
  <si>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</si>
  <si>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</si>
  <si>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</si>
  <si>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</si>
  <si>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</si>
  <si>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</si>
  <si>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</si>
  <si>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</si>
  <si>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</si>
  <si>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</si>
  <si>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</si>
  <si>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С</t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</si>
  <si>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</si>
  <si>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</si>
  <si>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</si>
  <si>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сП</t>
  </si>
  <si>
    <t>Параметры потока флюида</t>
  </si>
  <si>
    <r>
      <t>Q</t>
    </r>
    <r>
      <rPr>
        <vertAlign val="subscript"/>
        <sz val="10"/>
        <rFont val="Arial Cyr"/>
        <charset val="204"/>
      </rPr>
      <t>l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</si>
  <si>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</t>
    </r>
  </si>
  <si>
    <r>
      <t>f</t>
    </r>
    <r>
      <rPr>
        <vertAlign val="subscript"/>
        <sz val="10"/>
        <rFont val="Arial Cyr"/>
        <charset val="204"/>
      </rPr>
      <t>w</t>
    </r>
  </si>
  <si>
    <t>%</t>
  </si>
  <si>
    <t>Параметры трубы</t>
  </si>
  <si>
    <t>м</t>
  </si>
  <si>
    <t>мм</t>
  </si>
  <si>
    <t>P0</t>
  </si>
  <si>
    <t>P1</t>
  </si>
  <si>
    <t>T0</t>
  </si>
  <si>
    <t>°C</t>
  </si>
  <si>
    <t>T1</t>
  </si>
  <si>
    <t>PVT строка</t>
  </si>
  <si>
    <t>Конструкция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</si>
  <si>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</si>
  <si>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</si>
  <si>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scheme val="minor"/>
      </rPr>
      <t>С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</si>
  <si>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</si>
  <si>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</si>
  <si>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</si>
  <si>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t xml:space="preserve">Инклинометрия 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</si>
  <si>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</si>
  <si>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</si>
  <si>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t>T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</si>
  <si>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</si>
  <si>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t>calc_along_coord</t>
  </si>
  <si>
    <t>flow_along_coord</t>
  </si>
  <si>
    <t>temp model</t>
  </si>
  <si>
    <r>
      <t>Q</t>
    </r>
    <r>
      <rPr>
        <vertAlign val="subscript"/>
        <sz val="11"/>
        <color theme="1"/>
        <rFont val="Calibri"/>
        <family val="2"/>
        <charset val="204"/>
      </rPr>
      <t>gas free</t>
    </r>
  </si>
  <si>
    <r>
      <t>нм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</t>
    </r>
  </si>
  <si>
    <t>Диаметры</t>
  </si>
  <si>
    <t>Настройки модели</t>
  </si>
  <si>
    <t xml:space="preserve">Температура 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</si>
  <si>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</si>
  <si>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</si>
  <si>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</si>
  <si>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</si>
  <si>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</si>
  <si>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</si>
  <si>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</si>
  <si>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</si>
  <si>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</si>
  <si>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</si>
  <si>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</si>
  <si>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</si>
  <si>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</si>
  <si>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</si>
  <si>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Многофазный поток в трубопроводе</t>
  </si>
  <si>
    <t>Сепарация газа</t>
  </si>
  <si>
    <r>
      <t>K</t>
    </r>
    <r>
      <rPr>
        <vertAlign val="subscript"/>
        <sz val="11"/>
        <color theme="1"/>
        <rFont val="Calibri"/>
        <family val="2"/>
        <charset val="204"/>
      </rPr>
      <t>sep</t>
    </r>
  </si>
  <si>
    <r>
      <t>P</t>
    </r>
    <r>
      <rPr>
        <vertAlign val="subscript"/>
        <sz val="11"/>
        <color theme="1"/>
        <rFont val="Calibri"/>
        <family val="2"/>
        <charset val="204"/>
      </rPr>
      <t>sep</t>
    </r>
  </si>
  <si>
    <r>
      <t>T</t>
    </r>
    <r>
      <rPr>
        <vertAlign val="subscript"/>
        <sz val="11"/>
        <color theme="1"/>
        <rFont val="Calibri"/>
        <family val="2"/>
        <charset val="204"/>
      </rPr>
      <t>sep</t>
    </r>
  </si>
  <si>
    <t>Корреляция PVT</t>
  </si>
  <si>
    <t>Корреляция гидр</t>
  </si>
  <si>
    <t>калибровка тип</t>
  </si>
  <si>
    <t>только газ</t>
  </si>
  <si>
    <t>Поправки</t>
  </si>
  <si>
    <t>Калибровка грав</t>
  </si>
  <si>
    <t>Калибровка трение</t>
  </si>
  <si>
    <t>Параметр расчета</t>
  </si>
  <si>
    <t>Барботаж</t>
  </si>
  <si>
    <t>Поток</t>
  </si>
  <si>
    <t>Температурная модель</t>
  </si>
  <si>
    <t xml:space="preserve">Конструкция </t>
  </si>
  <si>
    <t>расчет по коорд</t>
  </si>
  <si>
    <t>поток по коорд</t>
  </si>
  <si>
    <t>гидро модель</t>
  </si>
  <si>
    <t>Результаты расчета</t>
  </si>
  <si>
    <t>Набор кривых 1</t>
  </si>
  <si>
    <t>Набор кривых 2</t>
  </si>
  <si>
    <t xml:space="preserve"> </t>
  </si>
  <si>
    <t>Для графиков</t>
  </si>
  <si>
    <t>Давления</t>
  </si>
  <si>
    <t>Траектория</t>
  </si>
  <si>
    <t>Температура</t>
  </si>
  <si>
    <t>7.26a</t>
  </si>
  <si>
    <t>Сообщения из лога расчетов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</si>
</sst>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perscript"/>
      <sz val="10"/>
      <name val="Arial Cyr"/>
      <charset val="204"/>
    </font>
    <font>
      <b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72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center" wrapText="1"/>
    </xf>
    <xf numFmtId="1" fontId="0" fillId="5" borderId="1" xfId="0" applyNumberFormat="1" applyFill="1" applyBorder="1" applyAlignment="1">
      <alignment horizontal="center"/>
    </xf>
    <xf numFmtId="0" fontId="2" fillId="2" borderId="1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4" borderId="1" xfId="0" applyFill="1" applyBorder="1" applyAlignment="1">
      <alignment horizontal="center" wrapText="1"/>
    </xf>
    <xf numFmtId="0" fontId="0" fillId="5" borderId="1" xfId="0" applyFill="1" applyBorder="1"/>
    <xf numFmtId="0" fontId="9" fillId="2" borderId="0" xfId="0" applyFont="1" applyFill="1"/>
    <xf numFmtId="0" fontId="0" fillId="2" borderId="0" xfId="0" applyFill="1"/>
    <xf numFmtId="0" fontId="0" fillId="2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6" borderId="0" xfId="0" applyFill="1"/>
    <xf numFmtId="0" fontId="0" fillId="6" borderId="0" xfId="0" applyFill="1" applyAlignment="1">
      <alignment wrapText="1"/>
    </xf>
    <xf numFmtId="0" fontId="0" fillId="5" borderId="3" xfId="0" applyFill="1" applyBorder="1"/>
    <xf numFmtId="0" fontId="0" fillId="5" borderId="2" xfId="0" applyFill="1" applyBorder="1"/>
    <xf numFmtId="0" fontId="0" fillId="7" borderId="0" xfId="0" applyFill="1" applyBorder="1"/>
    <xf numFmtId="1" fontId="0" fillId="7" borderId="0" xfId="0" applyNumberFormat="1" applyFill="1" applyBorder="1" applyAlignment="1">
      <alignment horizontal="center"/>
    </xf>
    <xf numFmtId="14" fontId="0" fillId="5" borderId="0" xfId="0" applyNumberFormat="1" applyFill="1" applyAlignment="1">
      <alignment horizontal="left" vertical="top"/>
    </xf>
    <xf numFmtId="0" fontId="0" fillId="5" borderId="0" xfId="0" applyFill="1"/>
    <xf numFmtId="0" fontId="0" fillId="5" borderId="0" xfId="0" applyFill="1" applyAlignment="1">
      <alignment horizontal="left" vertical="top"/>
    </xf>
    <xf numFmtId="0" fontId="2" fillId="2" borderId="1" xfId="0" applyFont="1" applyFill="1" applyBorder="1" applyAlignment="1">
      <alignment horizontal="left"/>
    </xf>
    <xf numFmtId="0" fontId="0" fillId="2" borderId="12" xfId="0" applyFill="1" applyBorder="1" applyAlignment="1">
      <alignment vertical="top"/>
    </xf>
    <xf numFmtId="0" fontId="0" fillId="2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2" borderId="14" xfId="0" applyFill="1" applyBorder="1" applyAlignment="1">
      <alignment vertical="top"/>
    </xf>
    <xf numFmtId="0" fontId="0" fillId="2" borderId="15" xfId="0" applyFill="1" applyBorder="1" applyAlignment="1">
      <alignment vertical="top"/>
    </xf>
    <xf numFmtId="1" fontId="0" fillId="3" borderId="1" xfId="0" applyNumberFormat="1" applyFill="1" applyBorder="1" applyAlignment="1">
      <alignment horizontal="center"/>
    </xf>
    <xf numFmtId="0" fontId="0" fillId="2" borderId="11" xfId="0" applyFill="1" applyBorder="1"/>
    <xf numFmtId="0" fontId="2" fillId="2" borderId="2" xfId="0" applyFont="1" applyFill="1" applyBorder="1" applyAlignment="1">
      <alignment horizontal="right"/>
    </xf>
    <xf numFmtId="0" fontId="0" fillId="2" borderId="2" xfId="0" applyFill="1" applyBorder="1" applyAlignment="1">
      <alignment horizontal="right"/>
    </xf>
    <xf numFmtId="0" fontId="9" fillId="0" borderId="0" xfId="0" applyFont="1"/>
    <xf numFmtId="0" fontId="9" fillId="0" borderId="0" xfId="0" applyFont="1" applyFill="1"/>
    <xf numFmtId="0" fontId="0" fillId="0" borderId="0" xfId="0" applyFill="1"/>
    <xf numFmtId="0" fontId="0" fillId="6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2" fillId="2" borderId="11" xfId="0" applyFont="1" applyFill="1" applyBorder="1" applyAlignment="1">
      <alignment horizontal="center" wrapText="1"/>
    </xf>
    <xf numFmtId="0" fontId="2" fillId="2" borderId="2" xfId="0" applyFont="1" applyFill="1" applyBorder="1" applyAlignment="1">
      <alignment horizontal="center" wrapText="1"/>
    </xf>
    <xf numFmtId="0" fontId="0" fillId="6" borderId="11" xfId="0" applyFill="1" applyBorder="1" applyAlignment="1">
      <alignment horizontal="left"/>
    </xf>
    <xf numFmtId="0" fontId="0" fillId="6" borderId="3" xfId="0" applyFill="1" applyBorder="1" applyAlignment="1">
      <alignment horizontal="left"/>
    </xf>
    <xf numFmtId="0" fontId="0" fillId="6" borderId="2" xfId="0" applyFill="1" applyBorder="1" applyAlignment="1">
      <alignment horizontal="left"/>
    </xf>
    <xf numFmtId="0" fontId="0" fillId="6" borderId="13" xfId="0" applyFill="1" applyBorder="1" applyAlignment="1">
      <alignment horizontal="left" vertical="top"/>
    </xf>
    <xf numFmtId="0" fontId="0" fillId="6" borderId="4" xfId="0" applyFill="1" applyBorder="1" applyAlignment="1">
      <alignment horizontal="left" vertical="top"/>
    </xf>
    <xf numFmtId="0" fontId="0" fillId="6" borderId="5" xfId="0" applyFill="1" applyBorder="1" applyAlignment="1">
      <alignment horizontal="left" vertical="top"/>
    </xf>
    <xf numFmtId="0" fontId="0" fillId="6" borderId="6" xfId="0" applyFill="1" applyBorder="1" applyAlignment="1">
      <alignment horizontal="left" vertical="top"/>
    </xf>
    <xf numFmtId="0" fontId="0" fillId="6" borderId="0" xfId="0" applyFill="1" applyAlignment="1">
      <alignment horizontal="left" vertical="top"/>
    </xf>
    <xf numFmtId="0" fontId="0" fillId="6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  <xf numFmtId="0" fontId="0" fillId="0" borderId="0" xfId="0" applyAlignment="1">
      <alignment horizontal="center"/>
    </xf>
    <xf numFmtId="1" fontId="0" fillId="7" borderId="0" xfId="0" applyNumberFormat="1" applyFill="1" applyBorder="1" applyAlignment="1">
      <alignment horizontal="left"/>
    </xf>
    <xf numFmtId="0" fontId="0" fillId="0" borderId="0" xfId="0" applyFill="1" applyBorder="1"/>
    <xf numFmtId="1" fontId="0" fillId="0" borderId="0" xfId="0" applyNumberFormat="1" applyFill="1" applyBorder="1" applyAlignment="1">
      <alignment horizontal="center"/>
    </xf>
    <xf numFmtId="1" fontId="0" fillId="0" borderId="0" xfId="0" applyNumberFormat="1" applyFill="1" applyBorder="1" applyAlignment="1">
      <alignment horizontal="left"/>
    </xf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0" fontId="0" fillId="7" borderId="19" xfId="0" applyFill="1" applyBorder="1"/>
    <xf numFmtId="0" fontId="0" fillId="7" borderId="20" xfId="0" applyFill="1" applyBorder="1"/>
    <xf numFmtId="0" fontId="0" fillId="7" borderId="21" xfId="0" applyFill="1" applyBorder="1"/>
    <xf numFmtId="0" fontId="0" fillId="7" borderId="22" xfId="0" applyFill="1" applyBorder="1"/>
    <xf numFmtId="0" fontId="0" fillId="7" borderId="23" xfId="0" applyFill="1" applyBorder="1"/>
    <xf numFmtId="1" fontId="0" fillId="0" borderId="0" xfId="0" applyNumberFormat="1" applyAlignment="1">
      <alignment horizontal="center"/>
    </xf>
    <xf numFmtId="1" fontId="0" fillId="7" borderId="0" xfId="0" applyNumberFormat="1" applyFill="1" applyBorder="1" applyAlignme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exercise_pipeline!$N$60</c:f>
              <c:strCache>
                <c:ptCount val="1"/>
                <c:pt idx="0">
                  <c:v>Давления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exercise_pipeline!$O$62:$O$81</c:f>
              <c:numCache>
                <c:formatCode>0</c:formatCode>
                <c:ptCount val="20"/>
                <c:pt idx="0">
                  <c:v>80</c:v>
                </c:pt>
                <c:pt idx="1">
                  <c:v>86.524096626720706</c:v>
                </c:pt>
                <c:pt idx="2">
                  <c:v>93.321061965732397</c:v>
                </c:pt>
                <c:pt idx="3">
                  <c:v>100.30853583496901</c:v>
                </c:pt>
                <c:pt idx="4">
                  <c:v>107.465374529592</c:v>
                </c:pt>
                <c:pt idx="5">
                  <c:v>114.7699568604</c:v>
                </c:pt>
                <c:pt idx="6">
                  <c:v>122.202114930162</c:v>
                </c:pt>
                <c:pt idx="7">
                  <c:v>129.73833329371399</c:v>
                </c:pt>
                <c:pt idx="8">
                  <c:v>137.362098284833</c:v>
                </c:pt>
                <c:pt idx="9">
                  <c:v>144.749032289703</c:v>
                </c:pt>
                <c:pt idx="10">
                  <c:v>151.76916693348801</c:v>
                </c:pt>
                <c:pt idx="11">
                  <c:v>158.708396667107</c:v>
                </c:pt>
                <c:pt idx="12">
                  <c:v>165.52683429790599</c:v>
                </c:pt>
                <c:pt idx="13">
                  <c:v>172.21727973552001</c:v>
                </c:pt>
                <c:pt idx="14">
                  <c:v>178.77370458588601</c:v>
                </c:pt>
                <c:pt idx="15">
                  <c:v>185.18639581961901</c:v>
                </c:pt>
                <c:pt idx="16">
                  <c:v>191.45397337370201</c:v>
                </c:pt>
                <c:pt idx="17">
                  <c:v>197.574430833116</c:v>
                </c:pt>
                <c:pt idx="18">
                  <c:v>203.54476938368299</c:v>
                </c:pt>
                <c:pt idx="19">
                  <c:v>209.431418291623</c:v>
                </c:pt>
              </c:numCache>
            </c:numRef>
          </c:xVal>
          <c:yVal>
            <c:numRef>
              <c:f>exercise_pipeline!$N$62:$N$81</c:f>
              <c:numCache>
                <c:formatCode>0</c:formatCode>
                <c:ptCount val="20"/>
                <c:pt idx="0">
                  <c:v>0</c:v>
                </c:pt>
                <c:pt idx="1">
                  <c:v>110.526315789474</c:v>
                </c:pt>
                <c:pt idx="2">
                  <c:v>221.052631578947</c:v>
                </c:pt>
                <c:pt idx="3">
                  <c:v>331.57894736842098</c:v>
                </c:pt>
                <c:pt idx="4">
                  <c:v>442.10526315789502</c:v>
                </c:pt>
                <c:pt idx="5">
                  <c:v>552.63157894736798</c:v>
                </c:pt>
                <c:pt idx="6">
                  <c:v>663.15789473684197</c:v>
                </c:pt>
                <c:pt idx="7">
                  <c:v>773.68421052631595</c:v>
                </c:pt>
                <c:pt idx="8">
                  <c:v>884.21052631578902</c:v>
                </c:pt>
                <c:pt idx="9">
                  <c:v>994.73684210526301</c:v>
                </c:pt>
                <c:pt idx="10">
                  <c:v>1105.2631578947401</c:v>
                </c:pt>
                <c:pt idx="11">
                  <c:v>1215.78947368421</c:v>
                </c:pt>
                <c:pt idx="12">
                  <c:v>1326.3157894736801</c:v>
                </c:pt>
                <c:pt idx="13">
                  <c:v>1436.84210526316</c:v>
                </c:pt>
                <c:pt idx="14">
                  <c:v>1547.3684210526301</c:v>
                </c:pt>
                <c:pt idx="15">
                  <c:v>1657.89473684211</c:v>
                </c:pt>
                <c:pt idx="16">
                  <c:v>1768.4210526315801</c:v>
                </c:pt>
                <c:pt idx="17">
                  <c:v>1878.94736842105</c:v>
                </c:pt>
                <c:pt idx="18">
                  <c:v>1989.4736842105301</c:v>
                </c:pt>
                <c:pt idx="19">
                  <c:v>2100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52-4867-9BA9-5C7289205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Измереная</a:t>
                </a:r>
                <a:r>
                  <a:rPr lang="ru-RU" baseline="0"/>
                  <a:t> глубина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Температура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exercise_pipeline!$S$60</c:f>
              <c:strCache>
                <c:ptCount val="1"/>
                <c:pt idx="0">
                  <c:v>Температура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exercise_pipeline!$T$62:$T$81</c:f>
              <c:numCache>
                <c:formatCode>General</c:formatCode>
                <c:ptCount val="20"/>
                <c:pt idx="0">
                  <c:v>20</c:v>
                </c:pt>
                <c:pt idx="1">
                  <c:v>21.105263157894701</c:v>
                </c:pt>
                <c:pt idx="2">
                  <c:v>22.210526315789501</c:v>
                </c:pt>
                <c:pt idx="3">
                  <c:v>23.315789473684202</c:v>
                </c:pt>
                <c:pt idx="4">
                  <c:v>24.421052631578899</c:v>
                </c:pt>
                <c:pt idx="5">
                  <c:v>25.526315789473699</c:v>
                </c:pt>
                <c:pt idx="6">
                  <c:v>26.6315789473684</c:v>
                </c:pt>
                <c:pt idx="7">
                  <c:v>27.7368421052632</c:v>
                </c:pt>
                <c:pt idx="8">
                  <c:v>28.842105263157901</c:v>
                </c:pt>
                <c:pt idx="9">
                  <c:v>29.947368421052602</c:v>
                </c:pt>
                <c:pt idx="10">
                  <c:v>31.01</c:v>
                </c:pt>
                <c:pt idx="11">
                  <c:v>32.0568421052632</c:v>
                </c:pt>
                <c:pt idx="12">
                  <c:v>33.079473684210498</c:v>
                </c:pt>
                <c:pt idx="13">
                  <c:v>34.077894736842097</c:v>
                </c:pt>
                <c:pt idx="14">
                  <c:v>35.052105263157898</c:v>
                </c:pt>
                <c:pt idx="15">
                  <c:v>36.002105263157901</c:v>
                </c:pt>
                <c:pt idx="16">
                  <c:v>36.927894736842099</c:v>
                </c:pt>
                <c:pt idx="17">
                  <c:v>37.829473684210498</c:v>
                </c:pt>
                <c:pt idx="18">
                  <c:v>38.706842105263199</c:v>
                </c:pt>
                <c:pt idx="19">
                  <c:v>39.56</c:v>
                </c:pt>
              </c:numCache>
            </c:numRef>
          </c:xVal>
          <c:yVal>
            <c:numRef>
              <c:f>exercise_pipeline!$S$62:$S$81</c:f>
              <c:numCache>
                <c:formatCode>General</c:formatCode>
                <c:ptCount val="20"/>
                <c:pt idx="0">
                  <c:v>0</c:v>
                </c:pt>
                <c:pt idx="1">
                  <c:v>110.526315789474</c:v>
                </c:pt>
                <c:pt idx="2">
                  <c:v>221.052631578947</c:v>
                </c:pt>
                <c:pt idx="3">
                  <c:v>331.57894736842098</c:v>
                </c:pt>
                <c:pt idx="4">
                  <c:v>442.10526315789502</c:v>
                </c:pt>
                <c:pt idx="5">
                  <c:v>552.63157894736798</c:v>
                </c:pt>
                <c:pt idx="6">
                  <c:v>663.15789473684197</c:v>
                </c:pt>
                <c:pt idx="7">
                  <c:v>773.68421052631595</c:v>
                </c:pt>
                <c:pt idx="8">
                  <c:v>884.21052631578902</c:v>
                </c:pt>
                <c:pt idx="9">
                  <c:v>994.73684210526301</c:v>
                </c:pt>
                <c:pt idx="10">
                  <c:v>1105.2631578947401</c:v>
                </c:pt>
                <c:pt idx="11">
                  <c:v>1215.78947368421</c:v>
                </c:pt>
                <c:pt idx="12">
                  <c:v>1326.3157894736801</c:v>
                </c:pt>
                <c:pt idx="13">
                  <c:v>1436.84210526316</c:v>
                </c:pt>
                <c:pt idx="14">
                  <c:v>1547.3684210526301</c:v>
                </c:pt>
                <c:pt idx="15">
                  <c:v>1657.89473684211</c:v>
                </c:pt>
                <c:pt idx="16">
                  <c:v>1768.4210526315801</c:v>
                </c:pt>
                <c:pt idx="17">
                  <c:v>1878.94736842105</c:v>
                </c:pt>
                <c:pt idx="18">
                  <c:v>1989.4736842105301</c:v>
                </c:pt>
                <c:pt idx="19">
                  <c:v>2100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C4-42F2-A47B-A1EA80C54F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exercise_pipeline!$P$60</c:f>
              <c:strCache>
                <c:ptCount val="1"/>
                <c:pt idx="0">
                  <c:v>Траектория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exercise_pipeline!$R$62:$R$81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4.2631578947400612</c:v>
                </c:pt>
                <c:pt idx="11">
                  <c:v>10.105263157890022</c:v>
                </c:pt>
                <c:pt idx="12">
                  <c:v>18.368421052630083</c:v>
                </c:pt>
                <c:pt idx="13">
                  <c:v>29.052631578950013</c:v>
                </c:pt>
                <c:pt idx="14">
                  <c:v>42.157894736840035</c:v>
                </c:pt>
                <c:pt idx="15">
                  <c:v>57.68421052631993</c:v>
                </c:pt>
                <c:pt idx="16">
                  <c:v>75.631578947370144</c:v>
                </c:pt>
                <c:pt idx="17">
                  <c:v>96</c:v>
                </c:pt>
                <c:pt idx="18">
                  <c:v>118.78947368421018</c:v>
                </c:pt>
                <c:pt idx="19">
                  <c:v>144</c:v>
                </c:pt>
              </c:numCache>
            </c:numRef>
          </c:xVal>
          <c:yVal>
            <c:numRef>
              <c:f>exercise_pipeline!$P$62:$P$81</c:f>
              <c:numCache>
                <c:formatCode>0</c:formatCode>
                <c:ptCount val="20"/>
                <c:pt idx="0">
                  <c:v>0</c:v>
                </c:pt>
                <c:pt idx="1">
                  <c:v>110.526315789474</c:v>
                </c:pt>
                <c:pt idx="2">
                  <c:v>221.052631578947</c:v>
                </c:pt>
                <c:pt idx="3">
                  <c:v>331.57894736842098</c:v>
                </c:pt>
                <c:pt idx="4">
                  <c:v>442.10526315789502</c:v>
                </c:pt>
                <c:pt idx="5">
                  <c:v>552.63157894736798</c:v>
                </c:pt>
                <c:pt idx="6">
                  <c:v>663.15789473684197</c:v>
                </c:pt>
                <c:pt idx="7">
                  <c:v>773.68421052631595</c:v>
                </c:pt>
                <c:pt idx="8">
                  <c:v>884.21052631578902</c:v>
                </c:pt>
                <c:pt idx="9">
                  <c:v>994.73684210526301</c:v>
                </c:pt>
                <c:pt idx="10">
                  <c:v>1105.2631578947401</c:v>
                </c:pt>
                <c:pt idx="11">
                  <c:v>1215.78947368421</c:v>
                </c:pt>
                <c:pt idx="12">
                  <c:v>1326.3157894736801</c:v>
                </c:pt>
                <c:pt idx="13">
                  <c:v>1436.84210526316</c:v>
                </c:pt>
                <c:pt idx="14">
                  <c:v>1547.3684210526301</c:v>
                </c:pt>
                <c:pt idx="15">
                  <c:v>1657.89473684211</c:v>
                </c:pt>
                <c:pt idx="16">
                  <c:v>1768.4210526315801</c:v>
                </c:pt>
                <c:pt idx="17">
                  <c:v>1878.94736842105</c:v>
                </c:pt>
                <c:pt idx="18">
                  <c:v>1989.4736842105301</c:v>
                </c:pt>
                <c:pt idx="19">
                  <c:v>2100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52-4867-9BA9-5C7289205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Измереная</a:t>
                </a:r>
                <a:r>
                  <a:rPr lang="ru-RU" baseline="0"/>
                  <a:t> глубина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151916</xdr:colOff>
      <xdr:row>40</xdr:row>
      <xdr:rowOff>171239</xdr:rowOff>
    </xdr:from>
    <xdr:to>
      <xdr:col>31</xdr:col>
      <xdr:colOff>441646</xdr:colOff>
      <xdr:row>63</xdr:row>
      <xdr:rowOff>52177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97C85775-032C-4665-921C-CE5498D19F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31</xdr:col>
      <xdr:colOff>504960</xdr:colOff>
      <xdr:row>40</xdr:row>
      <xdr:rowOff>172920</xdr:rowOff>
    </xdr:from>
    <xdr:to>
      <xdr:col>37</xdr:col>
      <xdr:colOff>174894</xdr:colOff>
      <xdr:row>63</xdr:row>
      <xdr:rowOff>53858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A8DABDF7-5794-4DCD-820F-02908E6970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381276</xdr:colOff>
      <xdr:row>3</xdr:row>
      <xdr:rowOff>42921</xdr:rowOff>
    </xdr:from>
    <xdr:to>
      <xdr:col>30</xdr:col>
      <xdr:colOff>329045</xdr:colOff>
      <xdr:row>27</xdr:row>
      <xdr:rowOff>0</xdr:rowOff>
    </xdr:to>
    <xdr:grpSp>
      <xdr:nvGrpSpPr>
        <xdr:cNvPr id="6" name="Группа 5">
          <a:extLst>
            <a:ext uri="{FF2B5EF4-FFF2-40B4-BE49-F238E27FC236}">
              <a16:creationId xmlns:a16="http://schemas.microsoft.com/office/drawing/2014/main" id="{3EB9ABB0-233D-4500-9312-2F9DC7F0FFD3}"/>
            </a:ext>
          </a:extLst>
        </xdr:cNvPr>
        <xdr:cNvGrpSpPr/>
      </xdr:nvGrpSpPr>
      <xdr:grpSpPr>
        <a:xfrm>
          <a:off x="15594062" y="614421"/>
          <a:ext cx="4234019" cy="5155008"/>
          <a:chOff x="15472544" y="1836882"/>
          <a:chExt cx="3439217" cy="4189945"/>
        </a:xfrm>
      </xdr:grpSpPr>
      <xdr:grpSp>
        <xdr:nvGrpSpPr>
          <xdr:cNvPr id="7" name="Группа 6">
            <a:extLst>
              <a:ext uri="{FF2B5EF4-FFF2-40B4-BE49-F238E27FC236}">
                <a16:creationId xmlns:a16="http://schemas.microsoft.com/office/drawing/2014/main" id="{9DFF414A-0180-4977-943E-D2A2D698F895}"/>
              </a:ext>
            </a:extLst>
          </xdr:cNvPr>
          <xdr:cNvGrpSpPr/>
        </xdr:nvGrpSpPr>
        <xdr:grpSpPr>
          <a:xfrm rot="16200000">
            <a:off x="17819477" y="4781762"/>
            <a:ext cx="252055" cy="1932512"/>
            <a:chOff x="5095875" y="1104900"/>
            <a:chExt cx="276225" cy="2038350"/>
          </a:xfrm>
        </xdr:grpSpPr>
        <xdr:sp macro="" textlink="">
          <xdr:nvSpPr>
            <xdr:cNvPr id="14" name="Цилиндр 13">
              <a:extLst>
                <a:ext uri="{FF2B5EF4-FFF2-40B4-BE49-F238E27FC236}">
                  <a16:creationId xmlns:a16="http://schemas.microsoft.com/office/drawing/2014/main" id="{9BF9083E-C685-4915-B5C1-44CD3213DC2E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5" name="Стрелка: вверх 14">
              <a:extLst>
                <a:ext uri="{FF2B5EF4-FFF2-40B4-BE49-F238E27FC236}">
                  <a16:creationId xmlns:a16="http://schemas.microsoft.com/office/drawing/2014/main" id="{15BCCBF1-10F8-4C5E-A5D9-2E73F5798879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grpSp>
        <xdr:nvGrpSpPr>
          <xdr:cNvPr id="8" name="Группа 7">
            <a:extLst>
              <a:ext uri="{FF2B5EF4-FFF2-40B4-BE49-F238E27FC236}">
                <a16:creationId xmlns:a16="http://schemas.microsoft.com/office/drawing/2014/main" id="{7331D54A-578D-4946-8E49-E0E45CA75BBF}"/>
              </a:ext>
            </a:extLst>
          </xdr:cNvPr>
          <xdr:cNvGrpSpPr/>
        </xdr:nvGrpSpPr>
        <xdr:grpSpPr>
          <a:xfrm rot="19540499">
            <a:off x="16251804" y="3421402"/>
            <a:ext cx="288969" cy="2605425"/>
            <a:chOff x="5095875" y="1104900"/>
            <a:chExt cx="276225" cy="2038350"/>
          </a:xfrm>
        </xdr:grpSpPr>
        <xdr:sp macro="" textlink="">
          <xdr:nvSpPr>
            <xdr:cNvPr id="12" name="Цилиндр 11">
              <a:extLst>
                <a:ext uri="{FF2B5EF4-FFF2-40B4-BE49-F238E27FC236}">
                  <a16:creationId xmlns:a16="http://schemas.microsoft.com/office/drawing/2014/main" id="{D995FE3A-EA40-4353-A3A3-95D3F8F4A370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3" name="Стрелка: вверх 12">
              <a:extLst>
                <a:ext uri="{FF2B5EF4-FFF2-40B4-BE49-F238E27FC236}">
                  <a16:creationId xmlns:a16="http://schemas.microsoft.com/office/drawing/2014/main" id="{F1625B2C-516E-4336-A8DD-2F43F1048A52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grpSp>
        <xdr:nvGrpSpPr>
          <xdr:cNvPr id="9" name="Группа 8">
            <a:extLst>
              <a:ext uri="{FF2B5EF4-FFF2-40B4-BE49-F238E27FC236}">
                <a16:creationId xmlns:a16="http://schemas.microsoft.com/office/drawing/2014/main" id="{63AE7315-65AC-4EED-AFAC-4B19CDAFFC95}"/>
              </a:ext>
            </a:extLst>
          </xdr:cNvPr>
          <xdr:cNvGrpSpPr/>
        </xdr:nvGrpSpPr>
        <xdr:grpSpPr>
          <a:xfrm>
            <a:off x="15472544" y="1836882"/>
            <a:ext cx="459146" cy="1922987"/>
            <a:chOff x="5095875" y="1104900"/>
            <a:chExt cx="276225" cy="2038350"/>
          </a:xfrm>
        </xdr:grpSpPr>
        <xdr:sp macro="" textlink="">
          <xdr:nvSpPr>
            <xdr:cNvPr id="10" name="Цилиндр 9">
              <a:extLst>
                <a:ext uri="{FF2B5EF4-FFF2-40B4-BE49-F238E27FC236}">
                  <a16:creationId xmlns:a16="http://schemas.microsoft.com/office/drawing/2014/main" id="{85410623-D217-4158-B6E1-2F745B378056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1" name="Стрелка: вверх 10">
              <a:extLst>
                <a:ext uri="{FF2B5EF4-FFF2-40B4-BE49-F238E27FC236}">
                  <a16:creationId xmlns:a16="http://schemas.microsoft.com/office/drawing/2014/main" id="{92EDCAA3-4281-4BD4-9D67-91F54EB87D7F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</xdr:grpSp>
    <xdr:clientData/>
  </xdr:twoCellAnchor>
  <xdr:twoCellAnchor>
    <xdr:from>
      <xdr:col>7</xdr:col>
      <xdr:colOff>11206</xdr:colOff>
      <xdr:row>0</xdr:row>
      <xdr:rowOff>56030</xdr:rowOff>
    </xdr:from>
    <xdr:to>
      <xdr:col>14</xdr:col>
      <xdr:colOff>381451</xdr:colOff>
      <xdr:row>14</xdr:row>
      <xdr:rowOff>78441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6841CCFE-B315-43A7-9739-EDE714EFABDE}"/>
            </a:ext>
          </a:extLst>
        </xdr:cNvPr>
        <xdr:cNvSpPr txBox="1"/>
      </xdr:nvSpPr>
      <xdr:spPr>
        <a:xfrm>
          <a:off x="4402231" y="56030"/>
          <a:ext cx="4723170" cy="287991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Упражнение показывает расчет потока через трубопровод/скважину со сложной траекторией. Расчет может проводится в нескольких вариантах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относительно потока.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задания.</a:t>
          </a:r>
          <a:endParaRPr lang="ru-RU">
            <a:effectLst/>
          </a:endParaRPr>
        </a:p>
        <a:p>
          <a:pPr marL="0" indent="0">
            <a:buFont typeface="Arial" panose="020B0604020202020204" pitchFamily="34" charset="0"/>
            <a:buNone/>
          </a:pP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распределение давления в трубе снизу вверх и сверху вниз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Попробуйте подобрать параметры расчета так, чтобы кривые расчета в разных направлениях совпали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Рассчитайте параметры для согласования расчетов с использованием функции калибровки расчета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/>
        </a:p>
        <a:p>
          <a:r>
            <a:rPr lang="ru-RU" sz="1100"/>
            <a:t>Используйте</a:t>
          </a:r>
          <a:r>
            <a:rPr lang="ru-RU" sz="1100" baseline="0"/>
            <a:t> функции</a:t>
          </a:r>
        </a:p>
        <a:p>
          <a:endParaRPr lang="en-US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MF_pipe_p_atma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endParaRPr lang="ru-RU" sz="1100" baseline="0"/>
        </a:p>
        <a:p>
          <a:endParaRPr lang="ru-RU" sz="1100" baseline="0"/>
        </a:p>
        <a:p>
          <a:endParaRPr lang="ru-RU" sz="1100" baseline="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8" name="Стрелка: влево 17">
          <a:extLst>
            <a:ext uri="{FF2B5EF4-FFF2-40B4-BE49-F238E27FC236}">
              <a16:creationId xmlns:a16="http://schemas.microsoft.com/office/drawing/2014/main" id="{66E080D6-41B4-4C12-A5FC-B2AA681F017B}"/>
            </a:ext>
          </a:extLst>
        </xdr:cNvPr>
        <xdr:cNvSpPr/>
      </xdr:nvSpPr>
      <xdr:spPr>
        <a:xfrm>
          <a:off x="2662518" y="246530"/>
          <a:ext cx="1496911" cy="1239711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20</xdr:col>
      <xdr:colOff>390041</xdr:colOff>
      <xdr:row>40</xdr:row>
      <xdr:rowOff>190289</xdr:rowOff>
    </xdr:from>
    <xdr:to>
      <xdr:col>26</xdr:col>
      <xdr:colOff>13021</xdr:colOff>
      <xdr:row>63</xdr:row>
      <xdr:rowOff>71227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3C6D5EEA-E38D-4C34-8EF5-06DFC23FD9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decode_json_crv"/>
      <definedName name="encode_feed"/>
      <definedName name="encode_pipe"/>
      <definedName name="encode_PVT"/>
      <definedName name="encode_t_model"/>
      <definedName name="MF_pipe_p_atma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D0406-DBBC-42A2-9F40-2DE47135AB45}">
  <sheetPr codeName="Worksheet____3"/>
  <dimension ref="A1:Y104"/>
  <sheetViews>
    <sheetView tabSelected="1" zoomScale="70" zoomScaleNormal="70" workbookViewId="0">
      <selection activeCell="J17" sqref="J17"/>
    </sheetView>
  </sheetViews>
  <sheetFormatPr defaultRowHeight="15" x14ac:dyDescent="0.25"/>
  <cols>
    <col min="2" max="2" width="14.85546875" customWidth="1"/>
    <col min="7" max="7" width="11" customWidth="1"/>
    <col min="9" max="9" width="10.42578125" customWidth="1"/>
    <col min="11" max="11" width="11.140625" bestFit="1" customWidth="1"/>
    <col min="15" max="15" width="10.7109375" bestFit="1" customWidth="1"/>
    <col min="16" max="16" width="9.5703125" bestFit="1" customWidth="1"/>
    <col min="17" max="17" width="12.5703125" customWidth="1"/>
    <col min="18" max="20" width="9.28515625" bestFit="1" customWidth="1"/>
  </cols>
  <sheetData>
    <row r="1" spans="1:12" x14ac:dyDescent="0.25">
      <c r="A1" s="1" t="s">
        <v>0</v>
      </c>
      <c r="F1" t="s">
        <v>1</v>
      </c>
      <c r="G1" t="str">
        <f>[1]!unf_Version()</f>
        <v>7.26a</v>
      </c>
      <c r="H1" t="s">
        <v>54</v>
      </c>
      <c r="I1" s="24">
        <v>44295</v>
      </c>
      <c r="J1" s="25"/>
      <c r="K1" s="25"/>
      <c r="L1" s="25"/>
    </row>
    <row r="2" spans="1:12" x14ac:dyDescent="0.25">
      <c r="A2" t="s">
        <v>68</v>
      </c>
      <c r="H2" t="s">
        <v>55</v>
      </c>
      <c r="I2" s="26" t="s">
        <v>96</v>
      </c>
      <c r="J2" s="25"/>
      <c r="K2" s="25"/>
      <c r="L2" s="25"/>
    </row>
    <row r="3" spans="1:12" x14ac:dyDescent="0.25">
      <c r="A3" s="27" t="s">
        <v>56</v>
      </c>
      <c r="B3" s="45" t="s">
        <v>57</v>
      </c>
      <c r="C3" s="46"/>
      <c r="D3" s="46"/>
      <c r="E3" s="47"/>
      <c r="H3" t="s">
        <v>58</v>
      </c>
      <c r="I3" s="25" t="s">
        <v>57</v>
      </c>
      <c r="J3" s="25"/>
      <c r="K3" s="25"/>
      <c r="L3" s="25"/>
    </row>
    <row r="4" spans="1:12" x14ac:dyDescent="0.25">
      <c r="A4" s="27" t="s">
        <v>59</v>
      </c>
      <c r="B4" s="45" t="s">
        <v>60</v>
      </c>
      <c r="C4" s="46"/>
      <c r="D4" s="46"/>
      <c r="E4" s="47"/>
      <c r="H4" t="s">
        <v>61</v>
      </c>
      <c r="I4" s="25" t="s">
        <v>60</v>
      </c>
      <c r="J4" s="25"/>
      <c r="K4" s="25"/>
      <c r="L4" s="25"/>
    </row>
    <row r="5" spans="1:12" x14ac:dyDescent="0.25">
      <c r="A5" s="27" t="s">
        <v>62</v>
      </c>
      <c r="B5" s="45" t="s">
        <v>63</v>
      </c>
      <c r="C5" s="46"/>
      <c r="D5" s="46"/>
      <c r="E5" s="47"/>
      <c r="H5" t="s">
        <v>64</v>
      </c>
      <c r="I5" s="25" t="s">
        <v>63</v>
      </c>
      <c r="J5" s="25"/>
      <c r="K5" s="25"/>
      <c r="L5" s="25"/>
    </row>
    <row r="6" spans="1:12" x14ac:dyDescent="0.25">
      <c r="A6" s="28" t="s">
        <v>65</v>
      </c>
      <c r="B6" s="48" t="s">
        <v>66</v>
      </c>
      <c r="C6" s="49"/>
      <c r="D6" s="49"/>
      <c r="E6" s="50"/>
      <c r="H6" s="29" t="s">
        <v>67</v>
      </c>
      <c r="I6" s="30" t="s">
        <v>66</v>
      </c>
      <c r="J6" s="30"/>
      <c r="K6" s="30"/>
      <c r="L6" s="30"/>
    </row>
    <row r="7" spans="1:12" x14ac:dyDescent="0.25">
      <c r="A7" s="31"/>
      <c r="B7" s="51"/>
      <c r="C7" s="52"/>
      <c r="D7" s="52"/>
      <c r="E7" s="53"/>
      <c r="H7" s="29"/>
      <c r="I7" s="30"/>
      <c r="J7" s="30"/>
      <c r="K7" s="30"/>
      <c r="L7" s="30"/>
    </row>
    <row r="8" spans="1:12" x14ac:dyDescent="0.25">
      <c r="A8" s="32"/>
      <c r="B8" s="54"/>
      <c r="C8" s="55"/>
      <c r="D8" s="55"/>
      <c r="E8" s="56"/>
      <c r="H8" s="29"/>
      <c r="I8" s="30"/>
      <c r="J8" s="30"/>
      <c r="K8" s="30"/>
      <c r="L8" s="30"/>
    </row>
    <row r="10" spans="1:12" x14ac:dyDescent="0.25">
      <c r="A10" s="1" t="s">
        <v>2</v>
      </c>
    </row>
    <row r="11" spans="1:12" ht="18.75" x14ac:dyDescent="0.35">
      <c r="B11" s="2" t="s">
        <v>3</v>
      </c>
      <c r="C11" s="3">
        <v>0.87</v>
      </c>
      <c r="D11" s="4"/>
      <c r="E11" s="5">
        <f>gamma_oil_*1000</f>
        <v>870</v>
      </c>
      <c r="F11" s="6" t="s">
        <v>4</v>
      </c>
    </row>
    <row r="12" spans="1:12" ht="18.75" x14ac:dyDescent="0.35">
      <c r="B12" s="6" t="s">
        <v>5</v>
      </c>
      <c r="C12" s="3">
        <v>1</v>
      </c>
      <c r="D12" s="4"/>
      <c r="E12" s="5">
        <f>gamma_wat_*1000</f>
        <v>1000</v>
      </c>
      <c r="F12" s="6" t="s">
        <v>4</v>
      </c>
    </row>
    <row r="13" spans="1:12" ht="18.75" x14ac:dyDescent="0.35">
      <c r="B13" s="6" t="s">
        <v>6</v>
      </c>
      <c r="C13" s="3">
        <v>0.8</v>
      </c>
      <c r="D13" s="4"/>
      <c r="E13" s="5">
        <f>gamma_gas_*1.22</f>
        <v>0.97599999999999998</v>
      </c>
      <c r="F13" s="6" t="s">
        <v>4</v>
      </c>
    </row>
    <row r="14" spans="1:12" ht="18.75" x14ac:dyDescent="0.35">
      <c r="B14" s="7" t="s">
        <v>7</v>
      </c>
      <c r="C14" s="3">
        <v>80</v>
      </c>
      <c r="D14" s="6" t="s">
        <v>8</v>
      </c>
      <c r="E14" s="8">
        <f>Rsb_/gamma_oil_</f>
        <v>91.954022988505741</v>
      </c>
      <c r="F14" s="6" t="s">
        <v>9</v>
      </c>
    </row>
    <row r="15" spans="1:12" ht="18" x14ac:dyDescent="0.35">
      <c r="B15" s="6" t="s">
        <v>11</v>
      </c>
      <c r="C15" s="3">
        <v>120</v>
      </c>
      <c r="D15" s="4" t="s">
        <v>12</v>
      </c>
      <c r="E15" s="8">
        <f>Pb_*1.01325</f>
        <v>121.59</v>
      </c>
      <c r="F15" s="4" t="s">
        <v>13</v>
      </c>
    </row>
    <row r="16" spans="1:12" ht="18" x14ac:dyDescent="0.35">
      <c r="B16" s="6" t="s">
        <v>14</v>
      </c>
      <c r="C16" s="3">
        <v>100</v>
      </c>
      <c r="D16" s="4" t="s">
        <v>15</v>
      </c>
      <c r="E16" s="8">
        <f>Tres_*9/5+32</f>
        <v>212</v>
      </c>
      <c r="F16" s="4" t="s">
        <v>16</v>
      </c>
    </row>
    <row r="17" spans="1:17" ht="18.75" x14ac:dyDescent="0.35">
      <c r="B17" s="7" t="s">
        <v>17</v>
      </c>
      <c r="C17" s="3">
        <v>1.2</v>
      </c>
      <c r="D17" s="6" t="s">
        <v>8</v>
      </c>
    </row>
    <row r="18" spans="1:17" ht="18" x14ac:dyDescent="0.35">
      <c r="B18" s="9" t="s">
        <v>18</v>
      </c>
      <c r="C18" s="3">
        <v>1</v>
      </c>
      <c r="D18" s="4" t="s">
        <v>19</v>
      </c>
    </row>
    <row r="20" spans="1:17" x14ac:dyDescent="0.25">
      <c r="A20" s="1" t="s">
        <v>20</v>
      </c>
      <c r="N20" s="1" t="s">
        <v>69</v>
      </c>
    </row>
    <row r="21" spans="1:17" ht="18" x14ac:dyDescent="0.35">
      <c r="B21" s="9" t="s">
        <v>21</v>
      </c>
      <c r="C21" s="3">
        <v>40</v>
      </c>
      <c r="D21" s="6" t="s">
        <v>22</v>
      </c>
      <c r="O21" s="9" t="s">
        <v>70</v>
      </c>
      <c r="P21" s="3">
        <v>0</v>
      </c>
      <c r="Q21" s="6"/>
    </row>
    <row r="22" spans="1:17" ht="18.75" x14ac:dyDescent="0.35">
      <c r="B22" s="7" t="s">
        <v>10</v>
      </c>
      <c r="C22" s="3">
        <v>150</v>
      </c>
      <c r="D22" s="6" t="s">
        <v>8</v>
      </c>
      <c r="E22" s="8">
        <f>Rsb_/gamma_oil_</f>
        <v>91.954022988505741</v>
      </c>
      <c r="F22" s="6" t="s">
        <v>9</v>
      </c>
      <c r="O22" s="9" t="s">
        <v>71</v>
      </c>
      <c r="P22" s="3">
        <v>50</v>
      </c>
      <c r="Q22" s="4" t="s">
        <v>12</v>
      </c>
    </row>
    <row r="23" spans="1:17" ht="18" x14ac:dyDescent="0.35">
      <c r="B23" s="9" t="s">
        <v>23</v>
      </c>
      <c r="C23" s="3">
        <v>10</v>
      </c>
      <c r="D23" s="4" t="s">
        <v>24</v>
      </c>
      <c r="O23" s="9" t="s">
        <v>72</v>
      </c>
      <c r="P23" s="3">
        <v>30</v>
      </c>
      <c r="Q23" s="4" t="s">
        <v>15</v>
      </c>
    </row>
    <row r="24" spans="1:17" ht="18" x14ac:dyDescent="0.35">
      <c r="B24" s="9" t="s">
        <v>49</v>
      </c>
      <c r="C24" s="3">
        <v>1000</v>
      </c>
      <c r="D24" s="6" t="s">
        <v>50</v>
      </c>
    </row>
    <row r="25" spans="1:17" x14ac:dyDescent="0.25">
      <c r="F25" s="43" t="s">
        <v>73</v>
      </c>
      <c r="G25" s="44"/>
      <c r="H25" s="3">
        <v>0</v>
      </c>
    </row>
    <row r="26" spans="1:17" ht="18" customHeight="1" x14ac:dyDescent="0.25">
      <c r="F26" s="43" t="s">
        <v>74</v>
      </c>
      <c r="G26" s="44"/>
      <c r="H26" s="3">
        <v>0</v>
      </c>
    </row>
    <row r="27" spans="1:17" ht="15.75" customHeight="1" x14ac:dyDescent="0.25">
      <c r="F27" s="43" t="s">
        <v>75</v>
      </c>
      <c r="G27" s="44"/>
      <c r="H27" s="3">
        <v>0</v>
      </c>
    </row>
    <row r="28" spans="1:17" ht="15" customHeight="1" x14ac:dyDescent="0.25">
      <c r="A28" s="37" t="s">
        <v>25</v>
      </c>
      <c r="B28" s="10"/>
      <c r="F28" s="43" t="s">
        <v>76</v>
      </c>
      <c r="G28" s="44"/>
      <c r="H28" s="3">
        <v>0</v>
      </c>
    </row>
    <row r="29" spans="1:17" ht="15" customHeight="1" x14ac:dyDescent="0.25">
      <c r="B29" s="9" t="s">
        <v>28</v>
      </c>
      <c r="C29" s="33">
        <v>80</v>
      </c>
      <c r="D29" s="6" t="s">
        <v>12</v>
      </c>
      <c r="F29" s="43" t="s">
        <v>81</v>
      </c>
      <c r="G29" s="44"/>
      <c r="H29" s="3">
        <v>0</v>
      </c>
    </row>
    <row r="30" spans="1:17" x14ac:dyDescent="0.25">
      <c r="B30" s="9" t="s">
        <v>29</v>
      </c>
      <c r="C30" s="33">
        <v>180</v>
      </c>
      <c r="D30" s="6" t="s">
        <v>12</v>
      </c>
      <c r="F30" s="57" t="s">
        <v>77</v>
      </c>
      <c r="G30" s="57"/>
    </row>
    <row r="31" spans="1:17" ht="15" customHeight="1" x14ac:dyDescent="0.25">
      <c r="B31" s="9" t="s">
        <v>30</v>
      </c>
      <c r="C31" s="3">
        <v>50</v>
      </c>
      <c r="D31" s="6" t="s">
        <v>31</v>
      </c>
      <c r="F31" s="43" t="s">
        <v>78</v>
      </c>
      <c r="G31" s="44"/>
      <c r="H31" s="3">
        <v>1</v>
      </c>
    </row>
    <row r="32" spans="1:17" ht="15" customHeight="1" x14ac:dyDescent="0.25">
      <c r="B32" s="9" t="s">
        <v>32</v>
      </c>
      <c r="C32" s="3">
        <v>50</v>
      </c>
      <c r="D32" s="6" t="s">
        <v>31</v>
      </c>
      <c r="F32" s="43" t="s">
        <v>79</v>
      </c>
      <c r="G32" s="44"/>
      <c r="H32" s="3">
        <v>1</v>
      </c>
    </row>
    <row r="34" spans="1:25" x14ac:dyDescent="0.25">
      <c r="B34" s="11" t="s">
        <v>33</v>
      </c>
      <c r="C34" s="12" t="str">
        <f>[1]!encode_PVT(gamma_gas_,gamma_oil_,gamma_wat_,Rsb_,Pb_,Tres_,Bob_,muob_,PVT_corr_)</f>
        <v>{"gamma_gas":0.8,"gamma_oil":0.87,"gamma_wat":1,"rsb_m3m3":80,"pb_atma":120,"t_res_C":100,"bob_m3m3":1.2,"muob_cP":1,"PVT_corr_set":0}</v>
      </c>
      <c r="D34" s="12"/>
      <c r="E34" s="12"/>
      <c r="F34" s="12"/>
      <c r="G34" s="12"/>
      <c r="H34" s="12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1"/>
    </row>
    <row r="35" spans="1:25" x14ac:dyDescent="0.25">
      <c r="B35" s="11" t="s">
        <v>82</v>
      </c>
      <c r="C35" s="12" t="str" cm="1">
        <f t="array" ref="C35">[1]!encode_feed(qliq_,fw_,Rp_,Qgas_free,PVTstr_)</f>
        <v>{"gamma_gas":0.8,"gamma_oil":0.87,"gamma_wat":1,"rsb_m3m3":80,"pb_atma":120,"t_res_C":100,"bob_m3m3":1.2,"muob_cP":1,"PVT_corr_set":0,"q_liq_sm3day":40,"fw_perc":10,"rp_m3m3":150,"q_gas_free_sm3day":1000}</v>
      </c>
      <c r="D35" s="12"/>
      <c r="E35" s="12"/>
      <c r="F35" s="12"/>
      <c r="G35" s="12"/>
      <c r="H35" s="12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1"/>
    </row>
    <row r="37" spans="1:25" ht="30" x14ac:dyDescent="0.25">
      <c r="B37" s="11" t="s">
        <v>83</v>
      </c>
      <c r="C37" s="12" t="str" cm="1">
        <f t="array" ref="C37">[1]!encode_t_model(1,E56:F57)</f>
        <v>{"t_model":1,"t_list_C":{"curve_x":"hvert_m","curve_y":"t_C","hvert_m":[0,1500],"t_C":[20,35]}}</v>
      </c>
      <c r="D37" s="12"/>
      <c r="E37" s="12"/>
      <c r="F37" s="12"/>
      <c r="G37" s="12"/>
      <c r="H37" s="12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1"/>
    </row>
    <row r="38" spans="1:25" x14ac:dyDescent="0.25">
      <c r="B38" s="11" t="s">
        <v>84</v>
      </c>
      <c r="C38" s="12" t="str" cm="1">
        <f t="array" ref="C38">[1]!encode_pipe(B56:C68,H56:I58)</f>
        <v>{"h_list_m":{"curve_x":"hmes_m","curve_y":"hvert_m","hmes_m":[0,1000,1100,1200,1300,1400,1500,1600,1700,1800,1900,2000,2100],"hvert_m":[0,1000,1096,1191,1284,1375,1464,1551,1636,1719,1800,1879,1956]},"diam_list_mm":{"curve_x":"hmes_m","curve_y":"diam_int_mm","hmes_m":[0,2100],"diam_int_mm":[62,125]}}</v>
      </c>
      <c r="D38" s="12"/>
      <c r="E38" s="12"/>
      <c r="F38" s="12"/>
      <c r="G38" s="12"/>
      <c r="H38" s="12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1"/>
    </row>
    <row r="40" spans="1:25" ht="14.45" customHeight="1" x14ac:dyDescent="0.25">
      <c r="I40" s="42"/>
      <c r="K40" s="43" t="s">
        <v>85</v>
      </c>
      <c r="L40" s="44"/>
      <c r="M40" s="3">
        <v>1</v>
      </c>
    </row>
    <row r="41" spans="1:25" ht="14.45" customHeight="1" x14ac:dyDescent="0.25">
      <c r="I41" s="42"/>
      <c r="K41" s="43" t="s">
        <v>86</v>
      </c>
      <c r="L41" s="44"/>
      <c r="M41" s="3">
        <v>0</v>
      </c>
    </row>
    <row r="45" spans="1:25" ht="15.75" thickBot="1" x14ac:dyDescent="0.3">
      <c r="A45" s="38" t="s">
        <v>34</v>
      </c>
      <c r="B45" s="39"/>
      <c r="C45" s="39"/>
      <c r="D45" s="39"/>
      <c r="F45" s="13" t="s">
        <v>52</v>
      </c>
      <c r="G45" s="14"/>
      <c r="H45" s="14"/>
    </row>
    <row r="46" spans="1:25" ht="18" x14ac:dyDescent="0.35">
      <c r="B46" s="6" t="s">
        <v>35</v>
      </c>
      <c r="C46" s="40">
        <v>3500</v>
      </c>
      <c r="D46" s="41" t="s">
        <v>26</v>
      </c>
      <c r="F46" s="34"/>
      <c r="G46" s="35" t="s">
        <v>87</v>
      </c>
      <c r="H46" s="3">
        <v>1</v>
      </c>
      <c r="K46" s="62" cm="1">
        <f t="array" ref="K46:O48">[1]!MF_pipe_p_atma(P0,T0,C38,C35,C37,M40,hcor,M41)</f>
        <v>209.43141829162275</v>
      </c>
      <c r="L46" s="63" t="str">
        <v>{"p_result_atma":209.431418291623,"t_result_C":39.56,"p_1, atma":80,"t_1, C":20,"p_2, atma":209.431418291623,"t_2, C":39.56,"c_calibr_grav":1,"c_calibr_fric":1,"q_gas_sm3day":6400}</v>
      </c>
      <c r="M46" s="63" t="str">
        <v>{"gamma_gas":0.8,"gamma_oil":0.87,"gamma_wat":1,"rsb_m3m3":80,"pb_atma":120,"t_res_C":100,"bob_m3m3":1.2,"muob_cP":1,"PVT_corr_set":0,"q_liq_sm3day":40,"fw_perc":10,"rp_m3m3":150,"q_gas_free_sm3day":1000}</v>
      </c>
      <c r="N46" s="63" t="str">
        <v>{"crv_P":{"curve_x":"x","curve_y":"y","x":[0,110.526315789474,221.052631578947,331.578947368421,442.105263157895,552.631578947368,663.157894736842,773.684210526316,884.210526315789,994.736842105263,1105.26315789474,1215.78947368421,1326.31578947368,1436.84210526316,1547.36842105263,1657.89473684211,1768.42105263158,1878.94736842105,1989.47368421053,2100],"y":[80,86.5240966267207,93.3210619657324,100.308535834969,107.465374529592,114.7699568604,122.202114930162,129.738333293714,137.362098284833,144.749032289703,151.769166933488,158.708396667107,165.526834297906,172.21727973552,178.773704585886,185.186395819619,191.453973373702,197.574430833116,203.544769383683,209.431418291623]},"crv_Н":{"curve_x":"x","curve_y":"y","x":[0,110.526315789474,221.052631578947,331.578947368421,442.105263157895,552.631578947368,663.157894736842,773.684210526316,884.210526315789,994.736842105263,1105.26315789474,1215.78947368421,1326.31578947368,1436.84210526316,1547.36842105263,1657.89473684211,1768.42105263158,1878.94736842105,1989.47368421053,2100],"y":[0,110.526315789474,221.052631578947,331.578947368421,442.105263157895,552.631578947368,663.157894736842,773.684210526316,884.210526315789,994.736842105263,1101,1205.68421052632,1307.94736842105,1407.78947368421,1505.21052631579,1600.21052631579,1692.78947368421,1782.94736842105,1870.68421052632,1956]},"c_T":{"curve_x":"x","curve_y":"y","x":[0,110.526315789474,221.052631578947,331.578947368421,442.105263157895,552.631578947368,663.157894736842,773.684210526316,884.210526315789,994.736842105263,1105.26315789474,1215.78947368421,1326.31578947368,1436.84210526316,1547.36842105263,1657.89473684211,1768.42105263158,1878.94736842105,1989.47368421053,2100],"y":[20,21.1052631578947,22.2105263157895,23.3157894736842,24.4210526315789,25.5263157894737,26.6315789473684,27.7368421052632,28.8421052631579,29.9473684210526,31.01,32.0568421052632,33.0794736842105,34.0778947368421,35.0521052631579,36.0021052631579,36.9278947368421,37.8294736842105,38.7068421052632,39.56]},"c_Hl":{"curve_x":"x","curve_y":"y","x":[0,110.526315789474,221.052631578947,331.578947368421,442.105263157895,552.631578947368,663.157894736842,773.684210526316,884.210526315789,994.736842105263,1105.26315789474,1215.78947368421,1326.31578947368,1436.84210526316,1547.36842105263,1657.89473684211,1768.42105263158,1878.94736842105,1989.47368421053,2100],"y":[0.647265921771085,0.683891323942677,0.710066172702612,0.72887471575113,0.745863146974005,0.76039394625843,0.77267179966134,0.783038361203061,0.791754931989763,0.73998535316837,0.744225445350116,0.749391279910734,0.753888261755507,0.757830341346958,0.761309761696702,0.764389514173525,0.767141211235599,0.769617210801811,0.771856536022355,0.77392407246762]},"c_fpat":{"curve_x":"x","curve_y":"y","x":[0,116.666666666667,233.333333333333,350,466.666666666667,583.333333333333,700,816.666666666667,933.333333333333,1050,1166.66666666667,1283.33333333333,1400,1516.66666666667,1633.33333333333,1750,1866.66666666667,1983.33333333333,2099.99,2100],"y":[3,3,3,3,3,3,3,3,3,3,3,3,3,3,3,3,3,3,3,3]},"c_Tamb":{"curve_x":"x","curve_y":"y","x":[0,110.526315789474,221.052631578947,331.578947368421,442.105263157895,552.631578947368,663.157894736842,773.684210526316,884.210526315789,994.736842105263,1105.26315789474,1215.78947368421,1326.31578947368,1436.84210526316,1547.36842105263,1657.89473684211,1768.42105263158,1878.94736842105,1989.47368421053,2100],"y":[20,21.1052631578947,22.2105263157895,23.3157894736842,24.4210526315789,25.5263157894737,26.6315789473684,27.7368421052632,28.8421052631579,29.9473684210526,31.01,32.0568421052632,33.0794736842105,34.0778947368421,35.0521052631579,36.0021052631579,36.9278947368421,37.8294736842105,38.7068421052632,39.56]},"c_Diam":{"curve_x":"x","curve_y":"y","x":[0,116.666666666667,233.333333333333,350,466.666666666667,583.333333333333,700,816.666666666667,933.333333333333,1050,1166.66666666667,1283.33333333333,1400,1516.66666666667,1633.33333333333,1750,1866.66666666667,1983.33333333333,2099.99,2100],"y":[0.062,0.062,0.062,0.062,0.062,0.062,0.062,0.062,0.062,0.062,0.062,0.062,0.062,0.062,0.062,0.062,0.062,0.062,0.062,0.125]}}</v>
      </c>
      <c r="O46" s="64" t="str">
        <v>{"c_Roughness":{"curve_x":"x","curve_y":"y","x":[0,100,200,300,400,500,600,700,800,900,1000,1100,1200,1300,1400,1500,1600,1700,1800,1900,2000,2100],"y":[0.0001,0.0001,0.0001,0.0001,0.0001,0.0001,0.0001,0.0001,0.0001,0.0001,0.0001,0.0001,0.0001,0.0001,0.0001,0.0001,0.0001,0.0001,0.0001,0.0001,0.0001,0.0001]}}</v>
      </c>
      <c r="P46" s="59" t="s">
        <v>91</v>
      </c>
      <c r="Q46" s="59"/>
      <c r="R46" s="59"/>
      <c r="S46" s="59"/>
    </row>
    <row r="47" spans="1:25" ht="18" customHeight="1" x14ac:dyDescent="0.35">
      <c r="B47" s="6" t="s">
        <v>36</v>
      </c>
      <c r="C47" s="40">
        <v>2500</v>
      </c>
      <c r="D47" s="41" t="s">
        <v>37</v>
      </c>
      <c r="F47" s="34"/>
      <c r="G47" s="35" t="s">
        <v>48</v>
      </c>
      <c r="H47" s="3">
        <v>1</v>
      </c>
      <c r="K47" s="65" t="str">
        <v>p_result_atma</v>
      </c>
      <c r="L47" s="22" t="str">
        <v>json</v>
      </c>
      <c r="M47" s="22" t="str">
        <v>feed</v>
      </c>
      <c r="N47" s="22" t="str">
        <v>crv</v>
      </c>
      <c r="O47" s="66" t="str">
        <v>crv2</v>
      </c>
      <c r="P47" s="59" t="s">
        <v>91</v>
      </c>
      <c r="Q47" s="59"/>
      <c r="R47" s="59"/>
      <c r="S47" s="59"/>
    </row>
    <row r="48" spans="1:25" ht="18" customHeight="1" thickBot="1" x14ac:dyDescent="0.4">
      <c r="B48" s="6" t="s">
        <v>38</v>
      </c>
      <c r="C48" s="40">
        <v>140</v>
      </c>
      <c r="D48" s="41" t="s">
        <v>27</v>
      </c>
      <c r="F48" s="34"/>
      <c r="G48" s="35" t="s">
        <v>46</v>
      </c>
      <c r="H48" s="3">
        <v>1</v>
      </c>
      <c r="I48" s="3">
        <v>0</v>
      </c>
      <c r="K48" s="67" t="str">
        <v>["set show_log=1 in param to show calc log"]</v>
      </c>
      <c r="L48" s="68" t="str">
        <v/>
      </c>
      <c r="M48" s="68" t="str">
        <v/>
      </c>
      <c r="N48" s="68" t="str">
        <v/>
      </c>
      <c r="O48" s="69" t="str">
        <v/>
      </c>
      <c r="P48" s="59" t="s">
        <v>91</v>
      </c>
      <c r="Q48" s="59"/>
      <c r="R48" s="59"/>
      <c r="S48" s="59"/>
    </row>
    <row r="49" spans="2:20" ht="18" customHeight="1" x14ac:dyDescent="0.35">
      <c r="B49" s="6" t="s">
        <v>39</v>
      </c>
      <c r="C49" s="40">
        <v>65</v>
      </c>
      <c r="D49" s="41" t="s">
        <v>27</v>
      </c>
      <c r="F49" s="34"/>
      <c r="G49" s="35" t="s">
        <v>47</v>
      </c>
      <c r="H49" s="3">
        <v>0</v>
      </c>
      <c r="I49" s="3">
        <v>0</v>
      </c>
      <c r="K49" s="59"/>
      <c r="L49" s="60"/>
      <c r="M49" s="60"/>
      <c r="N49" s="60"/>
      <c r="O49" s="60"/>
      <c r="P49" s="60"/>
      <c r="Q49" s="60"/>
      <c r="R49" s="60"/>
      <c r="S49" s="59"/>
    </row>
    <row r="50" spans="2:20" ht="18" customHeight="1" x14ac:dyDescent="0.35">
      <c r="B50" s="6" t="s">
        <v>40</v>
      </c>
      <c r="C50" s="40">
        <v>12</v>
      </c>
      <c r="D50" s="41" t="s">
        <v>27</v>
      </c>
      <c r="F50" s="34"/>
      <c r="G50" s="36" t="s">
        <v>80</v>
      </c>
      <c r="H50" s="5">
        <f>calc_along_coord*10+flow_along_coord</f>
        <v>10</v>
      </c>
      <c r="I50" s="5">
        <f>calc_along_coord1*10+flow_along_coord1</f>
        <v>0</v>
      </c>
      <c r="K50" t="s">
        <v>88</v>
      </c>
      <c r="L50" s="60"/>
      <c r="M50" s="60"/>
      <c r="N50" t="s">
        <v>89</v>
      </c>
      <c r="O50" s="61"/>
      <c r="P50" s="60"/>
      <c r="Q50" s="61" t="s">
        <v>90</v>
      </c>
      <c r="R50" s="60"/>
      <c r="S50" s="59"/>
    </row>
    <row r="51" spans="2:20" x14ac:dyDescent="0.25">
      <c r="G51" s="10"/>
      <c r="K51" s="22" t="str" cm="1">
        <f t="array" ref="K51:L59">[1]!decode_json(L46)</f>
        <v>p_result_atma</v>
      </c>
      <c r="L51" s="23">
        <v>209.431418291623</v>
      </c>
      <c r="M51" s="60"/>
      <c r="N51" s="23" t="str" cm="1">
        <f t="array" ref="N51:O57">[1]!decode_json(N46)</f>
        <v>crv_P</v>
      </c>
      <c r="O51" s="71" t="str">
        <v>{"curve_x":"x","curve_y":"y","x":[0,110.526315789474,221.052631578947,331.578947368421,442.105263157895,552.631578947368,663.157894736842,773.684210526316,884.210526315789,994.736842105263,1105.26315789474,1215.78947368421,1326.31578947368,1436.84210526316,1547.36842105263,1657.89473684211,1768.42105263158,1878.94736842105,1989.47368421053,2100],"y":[80,86.5240966267207,93.3210619657324,100.308535834969,107.465374529592,114.7699568604,122.202114930162,129.738333293714,137.362098284833,144.749032289703,151.769166933488,158.708396667107,165.526834297906,172.21727973552,178.773704585886,185.186395819619,191.453973373702,197.574430833116,203.544769383683,209.431418291623]}</v>
      </c>
      <c r="P51" s="60" t="s">
        <v>91</v>
      </c>
      <c r="Q51" s="23" t="str" cm="1">
        <f t="array" ref="Q51:R51">[1]!decode_json(O46)</f>
        <v>c_Roughness</v>
      </c>
      <c r="R51" s="58" t="str">
        <v>{"curve_x":"x","curve_y":"y","x":[0,100,200,300,400,500,600,700,800,900,1000,1100,1200,1300,1400,1500,1600,1700,1800,1900,2000,2100],"y":[0.0001,0.0001,0.0001,0.0001,0.0001,0.0001,0.0001,0.0001,0.0001,0.0001,0.0001,0.0001,0.0001,0.0001,0.0001,0.0001,0.0001,0.0001,0.0001,0.0001,0.0001,0.0001]}</v>
      </c>
      <c r="S51" s="59" t="s">
        <v>91</v>
      </c>
    </row>
    <row r="52" spans="2:20" x14ac:dyDescent="0.25">
      <c r="G52" s="10"/>
      <c r="K52" s="22" t="str">
        <v>t_result_C</v>
      </c>
      <c r="L52" s="23">
        <v>39.56</v>
      </c>
      <c r="M52" s="60"/>
      <c r="N52" s="23" t="str">
        <v>crv_Н</v>
      </c>
      <c r="O52" s="71" t="str">
        <v>{"curve_x":"x","curve_y":"y","x":[0,110.526315789474,221.052631578947,331.578947368421,442.105263157895,552.631578947368,663.157894736842,773.684210526316,884.210526315789,994.736842105263,1105.26315789474,1215.78947368421,1326.31578947368,1436.84210526316,1547.36842105263,1657.89473684211,1768.42105263158,1878.94736842105,1989.47368421053,2100],"y":[0,110.526315789474,221.052631578947,331.578947368421,442.105263157895,552.631578947368,663.157894736842,773.684210526316,884.210526315789,994.736842105263,1101,1205.68421052632,1307.94736842105,1407.78947368421,1505.21052631579,1600.21052631579,1692.78947368421,1782.94736842105,1870.68421052632,1956]}</v>
      </c>
      <c r="P52" s="60" t="s">
        <v>91</v>
      </c>
      <c r="Q52" s="23"/>
      <c r="R52" s="23"/>
      <c r="S52" s="59" t="s">
        <v>91</v>
      </c>
    </row>
    <row r="53" spans="2:20" x14ac:dyDescent="0.25">
      <c r="B53" s="39" t="s">
        <v>41</v>
      </c>
      <c r="C53" s="39"/>
      <c r="E53" t="s">
        <v>53</v>
      </c>
      <c r="G53" s="10"/>
      <c r="H53" t="s">
        <v>51</v>
      </c>
      <c r="I53" s="10"/>
      <c r="K53" s="22" t="str">
        <v>p_1, atma</v>
      </c>
      <c r="L53" s="23">
        <v>80</v>
      </c>
      <c r="M53" s="60"/>
      <c r="N53" s="23" t="str">
        <v>c_T</v>
      </c>
      <c r="O53" s="71" t="str">
        <v>{"curve_x":"x","curve_y":"y","x":[0,110.526315789474,221.052631578947,331.578947368421,442.105263157895,552.631578947368,663.157894736842,773.684210526316,884.210526315789,994.736842105263,1105.26315789474,1215.78947368421,1326.31578947368,1436.84210526316,1547.36842105263,1657.89473684211,1768.42105263158,1878.94736842105,1989.47368421053,2100],"y":[20,21.1052631578947,22.2105263157895,23.3157894736842,24.4210526315789,25.5263157894737,26.6315789473684,27.7368421052632,28.8421052631579,29.9473684210526,31.01,32.0568421052632,33.0794736842105,34.0778947368421,35.0521052631579,36.0021052631579,36.9278947368421,37.8294736842105,38.7068421052632,39.56]}</v>
      </c>
      <c r="P53" s="60" t="s">
        <v>91</v>
      </c>
      <c r="Q53" s="23"/>
      <c r="R53" s="23"/>
      <c r="S53" s="59" t="s">
        <v>91</v>
      </c>
    </row>
    <row r="54" spans="2:20" ht="18" x14ac:dyDescent="0.35">
      <c r="B54" s="17" t="s">
        <v>42</v>
      </c>
      <c r="C54" s="17" t="s">
        <v>43</v>
      </c>
      <c r="E54" s="17" t="s">
        <v>43</v>
      </c>
      <c r="F54" s="17" t="s">
        <v>44</v>
      </c>
      <c r="G54" s="10"/>
      <c r="H54" s="17" t="s">
        <v>42</v>
      </c>
      <c r="I54" s="15" t="s">
        <v>45</v>
      </c>
      <c r="K54" s="22" t="str">
        <v>t_1, C</v>
      </c>
      <c r="L54" s="23">
        <v>20</v>
      </c>
      <c r="M54" s="60"/>
      <c r="N54" s="23" t="str">
        <v>c_Hl</v>
      </c>
      <c r="O54" s="71" t="str">
        <v>{"curve_x":"x","curve_y":"y","x":[0,110.526315789474,221.052631578947,331.578947368421,442.105263157895,552.631578947368,663.157894736842,773.684210526316,884.210526315789,994.736842105263,1105.26315789474,1215.78947368421,1326.31578947368,1436.84210526316,1547.36842105263,1657.89473684211,1768.42105263158,1878.94736842105,1989.47368421053,2100],"y":[0.647265921771085,0.683891323942677,0.710066172702612,0.72887471575113,0.745863146974005,0.76039394625843,0.77267179966134,0.783038361203061,0.791754931989763,0.73998535316837,0.744225445350116,0.749391279910734,0.753888261755507,0.757830341346958,0.761309761696702,0.764389514173525,0.767141211235599,0.769617210801811,0.771856536022355,0.77392407246762]}</v>
      </c>
      <c r="P54" s="60" t="s">
        <v>91</v>
      </c>
      <c r="Q54" s="23"/>
      <c r="R54" s="23"/>
      <c r="S54" s="59" t="s">
        <v>91</v>
      </c>
    </row>
    <row r="55" spans="2:20" x14ac:dyDescent="0.25">
      <c r="B55" s="17" t="s">
        <v>26</v>
      </c>
      <c r="C55" s="17" t="s">
        <v>26</v>
      </c>
      <c r="E55" s="17" t="s">
        <v>26</v>
      </c>
      <c r="F55" s="17" t="s">
        <v>37</v>
      </c>
      <c r="G55" s="10"/>
      <c r="H55" s="17" t="s">
        <v>26</v>
      </c>
      <c r="I55" s="17" t="s">
        <v>27</v>
      </c>
      <c r="K55" s="22" t="str">
        <v>p_2, atma</v>
      </c>
      <c r="L55" s="23">
        <v>209.431418291623</v>
      </c>
      <c r="M55" s="60"/>
      <c r="N55" s="23" t="str">
        <v>c_fpat</v>
      </c>
      <c r="O55" s="71" t="str">
        <v>{"curve_x":"x","curve_y":"y","x":[0,116.666666666667,233.333333333333,350,466.666666666667,583.333333333333,700,816.666666666667,933.333333333333,1050,1166.66666666667,1283.33333333333,1400,1516.66666666667,1633.33333333333,1750,1866.66666666667,1983.33333333333,2099.99,2100],"y":[3,3,3,3,3,3,3,3,3,3,3,3,3,3,3,3,3,3,3,3]}</v>
      </c>
      <c r="P55" s="60" t="s">
        <v>91</v>
      </c>
      <c r="Q55" s="23"/>
      <c r="R55" s="23"/>
      <c r="S55" s="59" t="s">
        <v>91</v>
      </c>
    </row>
    <row r="56" spans="2:20" x14ac:dyDescent="0.25">
      <c r="B56" s="16">
        <v>0</v>
      </c>
      <c r="C56" s="16">
        <v>0</v>
      </c>
      <c r="E56" s="18">
        <v>0</v>
      </c>
      <c r="F56" s="18">
        <v>20</v>
      </c>
      <c r="G56" s="10"/>
      <c r="H56" s="18">
        <v>0</v>
      </c>
      <c r="I56" s="19">
        <v>62</v>
      </c>
      <c r="K56" s="22" t="str">
        <v>t_2, C</v>
      </c>
      <c r="L56" s="23">
        <v>39.56</v>
      </c>
      <c r="M56" s="60"/>
      <c r="N56" s="23" t="str">
        <v>c_Tamb</v>
      </c>
      <c r="O56" s="71" t="str">
        <v>{"curve_x":"x","curve_y":"y","x":[0,110.526315789474,221.052631578947,331.578947368421,442.105263157895,552.631578947368,663.157894736842,773.684210526316,884.210526315789,994.736842105263,1105.26315789474,1215.78947368421,1326.31578947368,1436.84210526316,1547.36842105263,1657.89473684211,1768.42105263158,1878.94736842105,1989.47368421053,2100],"y":[20,21.1052631578947,22.2105263157895,23.3157894736842,24.4210526315789,25.5263157894737,26.6315789473684,27.7368421052632,28.8421052631579,29.9473684210526,31.01,32.0568421052632,33.0794736842105,34.0778947368421,35.0521052631579,36.0021052631579,36.9278947368421,37.8294736842105,38.7068421052632,39.56]}</v>
      </c>
      <c r="P56" s="60" t="s">
        <v>91</v>
      </c>
      <c r="Q56" s="23"/>
      <c r="R56" s="23"/>
      <c r="S56" s="59" t="s">
        <v>91</v>
      </c>
    </row>
    <row r="57" spans="2:20" x14ac:dyDescent="0.25">
      <c r="B57" s="16">
        <v>1000</v>
      </c>
      <c r="C57" s="16">
        <v>1000</v>
      </c>
      <c r="E57" s="18">
        <v>1500</v>
      </c>
      <c r="F57" s="18">
        <v>35</v>
      </c>
      <c r="G57" s="10"/>
      <c r="H57" s="18">
        <v>2500</v>
      </c>
      <c r="I57" s="19">
        <v>125</v>
      </c>
      <c r="K57" s="22" t="str">
        <v>c_calibr_grav</v>
      </c>
      <c r="L57" s="23">
        <v>1</v>
      </c>
      <c r="M57" s="60"/>
      <c r="N57" s="23" t="str">
        <v>c_Diam</v>
      </c>
      <c r="O57" s="71" t="str">
        <v>{"curve_x":"x","curve_y":"y","x":[0,116.666666666667,233.333333333333,350,466.666666666667,583.333333333333,700,816.666666666667,933.333333333333,1050,1166.66666666667,1283.33333333333,1400,1516.66666666667,1633.33333333333,1750,1866.66666666667,1983.33333333333,2099.99,2100],"y":[0.062,0.062,0.062,0.062,0.062,0.062,0.062,0.062,0.062,0.062,0.062,0.062,0.062,0.062,0.062,0.062,0.062,0.062,0.062,0.125]}</v>
      </c>
      <c r="P57" s="60" t="s">
        <v>91</v>
      </c>
      <c r="Q57" s="23"/>
      <c r="R57" s="23"/>
      <c r="S57" s="59" t="s">
        <v>91</v>
      </c>
    </row>
    <row r="58" spans="2:20" x14ac:dyDescent="0.25">
      <c r="B58" s="16">
        <v>1100</v>
      </c>
      <c r="C58" s="16">
        <v>1096</v>
      </c>
      <c r="E58" s="18">
        <v>2500</v>
      </c>
      <c r="F58" s="18">
        <v>90</v>
      </c>
      <c r="G58" s="10"/>
      <c r="H58" s="18">
        <v>4000</v>
      </c>
      <c r="I58" s="19">
        <v>125</v>
      </c>
      <c r="K58" s="22" t="str">
        <v>c_calibr_fric</v>
      </c>
      <c r="L58" s="23">
        <v>1</v>
      </c>
      <c r="M58" s="60"/>
      <c r="N58" s="60"/>
      <c r="O58" s="60"/>
      <c r="P58" s="60"/>
      <c r="Q58" s="60"/>
      <c r="R58" s="60"/>
      <c r="S58" s="59"/>
    </row>
    <row r="59" spans="2:20" x14ac:dyDescent="0.25">
      <c r="B59" s="16">
        <v>1200</v>
      </c>
      <c r="C59" s="16">
        <v>1191</v>
      </c>
      <c r="E59" s="18"/>
      <c r="F59" s="18"/>
      <c r="G59" s="10"/>
      <c r="H59" s="18"/>
      <c r="I59" s="18"/>
      <c r="K59" s="22" t="str">
        <v>q_gas_sm3day</v>
      </c>
      <c r="L59" s="23">
        <v>6400</v>
      </c>
      <c r="M59" s="60"/>
      <c r="N59" s="61" t="s">
        <v>92</v>
      </c>
      <c r="O59" s="60"/>
      <c r="P59" s="60"/>
      <c r="Q59" s="60"/>
      <c r="R59" s="60"/>
      <c r="S59" s="59"/>
    </row>
    <row r="60" spans="2:20" x14ac:dyDescent="0.25">
      <c r="B60" s="16">
        <v>1300</v>
      </c>
      <c r="C60" s="16">
        <v>1284</v>
      </c>
      <c r="E60" s="18"/>
      <c r="F60" s="18"/>
      <c r="G60" s="10"/>
      <c r="H60" s="18"/>
      <c r="I60" s="18"/>
      <c r="K60" s="59"/>
      <c r="L60" s="60"/>
      <c r="M60" s="60"/>
      <c r="N60" t="s">
        <v>93</v>
      </c>
      <c r="O60" s="60"/>
      <c r="P60" s="61" t="s">
        <v>94</v>
      </c>
      <c r="Q60" s="60"/>
      <c r="S60" s="60" t="s">
        <v>95</v>
      </c>
    </row>
    <row r="61" spans="2:20" x14ac:dyDescent="0.25">
      <c r="B61" s="16">
        <v>1400</v>
      </c>
      <c r="C61" s="16">
        <v>1375</v>
      </c>
      <c r="E61" s="18"/>
      <c r="F61" s="18"/>
      <c r="G61" s="10"/>
      <c r="H61" s="18"/>
      <c r="I61" s="18"/>
      <c r="K61" s="59"/>
      <c r="L61" s="60"/>
      <c r="M61" s="60"/>
      <c r="N61" s="60" t="str" cm="1">
        <f t="array" ref="N61:O81">[1]!decode_json_crv(O51)</f>
        <v>x</v>
      </c>
      <c r="O61" s="60" t="str">
        <v>y</v>
      </c>
      <c r="P61" s="60" t="str" cm="1">
        <f t="array" ref="P61:Q81">[1]!decode_json_crv(O52)</f>
        <v>x</v>
      </c>
      <c r="Q61" s="60" t="str">
        <v>y</v>
      </c>
      <c r="R61" s="60"/>
      <c r="S61" s="59" t="str" cm="1">
        <f t="array" ref="S61:T81">[1]!decode_json_crv(O53)</f>
        <v>x</v>
      </c>
      <c r="T61" t="str">
        <v>y</v>
      </c>
    </row>
    <row r="62" spans="2:20" x14ac:dyDescent="0.25">
      <c r="B62" s="16">
        <v>1500</v>
      </c>
      <c r="C62" s="16">
        <v>1464</v>
      </c>
      <c r="E62" s="18"/>
      <c r="F62" s="18"/>
      <c r="G62" s="10"/>
      <c r="H62" s="18"/>
      <c r="I62" s="18"/>
      <c r="K62" s="59"/>
      <c r="L62" s="60"/>
      <c r="M62" s="60"/>
      <c r="N62" s="60">
        <v>0</v>
      </c>
      <c r="O62" s="60">
        <v>80</v>
      </c>
      <c r="P62" s="60">
        <v>0</v>
      </c>
      <c r="Q62" s="60">
        <v>0</v>
      </c>
      <c r="R62" s="60">
        <f>P62-Q62</f>
        <v>0</v>
      </c>
      <c r="S62" s="59">
        <v>0</v>
      </c>
      <c r="T62">
        <v>20</v>
      </c>
    </row>
    <row r="63" spans="2:20" x14ac:dyDescent="0.25">
      <c r="B63" s="16">
        <v>1600</v>
      </c>
      <c r="C63" s="16">
        <v>1551</v>
      </c>
      <c r="E63" s="18"/>
      <c r="F63" s="18"/>
      <c r="G63" s="10"/>
      <c r="H63" s="18"/>
      <c r="I63" s="18"/>
      <c r="K63" s="59"/>
      <c r="L63" s="60"/>
      <c r="M63" s="60"/>
      <c r="N63" s="60">
        <v>110.526315789474</v>
      </c>
      <c r="O63" s="60">
        <v>86.524096626720706</v>
      </c>
      <c r="P63" s="60">
        <v>110.526315789474</v>
      </c>
      <c r="Q63" s="60">
        <v>110.526315789474</v>
      </c>
      <c r="R63" s="60">
        <f t="shared" ref="R63:R81" si="0">P63-Q63</f>
        <v>0</v>
      </c>
      <c r="S63" s="59">
        <v>110.526315789474</v>
      </c>
      <c r="T63">
        <v>21.105263157894701</v>
      </c>
    </row>
    <row r="64" spans="2:20" x14ac:dyDescent="0.25">
      <c r="B64" s="16">
        <v>1700</v>
      </c>
      <c r="C64" s="16">
        <v>1636</v>
      </c>
      <c r="E64" s="18"/>
      <c r="F64" s="18"/>
      <c r="G64" s="10"/>
      <c r="H64" s="18"/>
      <c r="I64" s="18"/>
      <c r="K64" s="59"/>
      <c r="L64" s="60"/>
      <c r="M64" s="60"/>
      <c r="N64" s="60">
        <v>221.052631578947</v>
      </c>
      <c r="O64" s="60">
        <v>93.321061965732397</v>
      </c>
      <c r="P64" s="60">
        <v>221.052631578947</v>
      </c>
      <c r="Q64" s="60">
        <v>221.052631578947</v>
      </c>
      <c r="R64" s="60">
        <f t="shared" si="0"/>
        <v>0</v>
      </c>
      <c r="S64" s="59">
        <v>221.052631578947</v>
      </c>
      <c r="T64">
        <v>22.210526315789501</v>
      </c>
    </row>
    <row r="65" spans="2:20" x14ac:dyDescent="0.25">
      <c r="B65" s="16">
        <v>1800</v>
      </c>
      <c r="C65" s="16">
        <v>1719</v>
      </c>
      <c r="E65" s="18"/>
      <c r="F65" s="18"/>
      <c r="G65" s="10"/>
      <c r="H65" s="18"/>
      <c r="I65" s="18"/>
      <c r="K65" s="59"/>
      <c r="L65" s="60"/>
      <c r="M65" s="60"/>
      <c r="N65" s="60">
        <v>331.57894736842098</v>
      </c>
      <c r="O65" s="60">
        <v>100.30853583496901</v>
      </c>
      <c r="P65" s="60">
        <v>331.57894736842098</v>
      </c>
      <c r="Q65" s="60">
        <v>331.57894736842098</v>
      </c>
      <c r="R65" s="60">
        <f t="shared" si="0"/>
        <v>0</v>
      </c>
      <c r="S65" s="59">
        <v>331.57894736842098</v>
      </c>
      <c r="T65">
        <v>23.315789473684202</v>
      </c>
    </row>
    <row r="66" spans="2:20" x14ac:dyDescent="0.25">
      <c r="B66" s="16">
        <v>1900</v>
      </c>
      <c r="C66" s="16">
        <v>1800</v>
      </c>
      <c r="E66" s="18"/>
      <c r="F66" s="18"/>
      <c r="G66" s="10"/>
      <c r="H66" s="18"/>
      <c r="I66" s="18"/>
      <c r="K66" s="59"/>
      <c r="L66" s="60"/>
      <c r="M66" s="60"/>
      <c r="N66" s="60">
        <v>442.10526315789502</v>
      </c>
      <c r="O66" s="60">
        <v>107.465374529592</v>
      </c>
      <c r="P66" s="60">
        <v>442.10526315789502</v>
      </c>
      <c r="Q66" s="60">
        <v>442.10526315789502</v>
      </c>
      <c r="R66" s="60">
        <f t="shared" si="0"/>
        <v>0</v>
      </c>
      <c r="S66" s="59">
        <v>442.10526315789502</v>
      </c>
      <c r="T66">
        <v>24.421052631578899</v>
      </c>
    </row>
    <row r="67" spans="2:20" x14ac:dyDescent="0.25">
      <c r="B67" s="16">
        <v>2000</v>
      </c>
      <c r="C67" s="16">
        <v>1879</v>
      </c>
      <c r="E67" s="18"/>
      <c r="F67" s="18"/>
      <c r="G67" s="10"/>
      <c r="H67" s="18"/>
      <c r="I67" s="18"/>
      <c r="K67" s="59"/>
      <c r="L67" s="60"/>
      <c r="M67" s="60"/>
      <c r="N67" s="60">
        <v>552.63157894736798</v>
      </c>
      <c r="O67" s="60">
        <v>114.7699568604</v>
      </c>
      <c r="P67" s="60">
        <v>552.63157894736798</v>
      </c>
      <c r="Q67" s="60">
        <v>552.63157894736798</v>
      </c>
      <c r="R67" s="60">
        <f t="shared" si="0"/>
        <v>0</v>
      </c>
      <c r="S67" s="59">
        <v>552.63157894736798</v>
      </c>
      <c r="T67">
        <v>25.526315789473699</v>
      </c>
    </row>
    <row r="68" spans="2:20" x14ac:dyDescent="0.25">
      <c r="B68" s="16">
        <v>2100</v>
      </c>
      <c r="C68" s="16">
        <v>1956</v>
      </c>
      <c r="E68" s="18"/>
      <c r="F68" s="18"/>
      <c r="G68" s="10"/>
      <c r="H68" s="18"/>
      <c r="I68" s="18"/>
      <c r="K68" s="59"/>
      <c r="L68" s="60"/>
      <c r="M68" s="60"/>
      <c r="N68" s="60">
        <v>663.15789473684197</v>
      </c>
      <c r="O68" s="60">
        <v>122.202114930162</v>
      </c>
      <c r="P68" s="60">
        <v>663.15789473684197</v>
      </c>
      <c r="Q68" s="60">
        <v>663.15789473684197</v>
      </c>
      <c r="R68" s="60">
        <f t="shared" si="0"/>
        <v>0</v>
      </c>
      <c r="S68" s="59">
        <v>663.15789473684197</v>
      </c>
      <c r="T68">
        <v>26.6315789473684</v>
      </c>
    </row>
    <row r="69" spans="2:20" x14ac:dyDescent="0.25">
      <c r="B69" s="16">
        <v>2200</v>
      </c>
      <c r="C69" s="16">
        <v>2031</v>
      </c>
      <c r="E69" s="18"/>
      <c r="F69" s="18"/>
      <c r="G69" s="10"/>
      <c r="H69" s="18"/>
      <c r="I69" s="18"/>
      <c r="N69" s="60">
        <v>773.68421052631595</v>
      </c>
      <c r="O69" s="60">
        <v>129.73833329371399</v>
      </c>
      <c r="P69" s="70">
        <v>773.68421052631595</v>
      </c>
      <c r="Q69" s="70">
        <v>773.68421052631595</v>
      </c>
      <c r="R69" s="60">
        <f t="shared" si="0"/>
        <v>0</v>
      </c>
      <c r="S69">
        <v>773.68421052631595</v>
      </c>
      <c r="T69">
        <v>27.7368421052632</v>
      </c>
    </row>
    <row r="70" spans="2:20" x14ac:dyDescent="0.25">
      <c r="B70" s="16">
        <v>2300</v>
      </c>
      <c r="C70" s="16">
        <v>2104</v>
      </c>
      <c r="E70" s="18"/>
      <c r="F70" s="18"/>
      <c r="G70" s="10"/>
      <c r="H70" s="18"/>
      <c r="I70" s="18"/>
      <c r="N70" s="60">
        <v>884.21052631578902</v>
      </c>
      <c r="O70" s="60">
        <v>137.362098284833</v>
      </c>
      <c r="P70" s="70">
        <v>884.21052631578902</v>
      </c>
      <c r="Q70" s="70">
        <v>884.21052631578902</v>
      </c>
      <c r="R70" s="60">
        <f t="shared" si="0"/>
        <v>0</v>
      </c>
      <c r="S70">
        <v>884.21052631578902</v>
      </c>
      <c r="T70">
        <v>28.842105263157901</v>
      </c>
    </row>
    <row r="71" spans="2:20" x14ac:dyDescent="0.25">
      <c r="B71" s="16">
        <v>2400</v>
      </c>
      <c r="C71" s="16">
        <v>2175</v>
      </c>
      <c r="E71" s="18"/>
      <c r="F71" s="18"/>
      <c r="G71" s="10"/>
      <c r="H71" s="18"/>
      <c r="I71" s="18"/>
      <c r="N71" s="60">
        <v>994.73684210526301</v>
      </c>
      <c r="O71" s="60">
        <v>144.749032289703</v>
      </c>
      <c r="P71" s="70">
        <v>994.73684210526301</v>
      </c>
      <c r="Q71" s="70">
        <v>994.73684210526301</v>
      </c>
      <c r="R71" s="60">
        <f t="shared" si="0"/>
        <v>0</v>
      </c>
      <c r="S71">
        <v>994.73684210526301</v>
      </c>
      <c r="T71">
        <v>29.947368421052602</v>
      </c>
    </row>
    <row r="72" spans="2:20" x14ac:dyDescent="0.25">
      <c r="B72" s="16">
        <v>2500</v>
      </c>
      <c r="C72" s="16">
        <v>2244</v>
      </c>
      <c r="E72" s="18"/>
      <c r="F72" s="18"/>
      <c r="G72" s="10"/>
      <c r="H72" s="18"/>
      <c r="I72" s="18"/>
      <c r="N72" s="60">
        <v>1105.2631578947401</v>
      </c>
      <c r="O72" s="60">
        <v>151.76916693348801</v>
      </c>
      <c r="P72" s="70">
        <v>1105.2631578947401</v>
      </c>
      <c r="Q72" s="70">
        <v>1101</v>
      </c>
      <c r="R72" s="60">
        <f t="shared" si="0"/>
        <v>4.2631578947400612</v>
      </c>
      <c r="S72">
        <v>1105.2631578947401</v>
      </c>
      <c r="T72">
        <v>31.01</v>
      </c>
    </row>
    <row r="73" spans="2:20" x14ac:dyDescent="0.25">
      <c r="B73" s="16">
        <v>2600</v>
      </c>
      <c r="C73" s="16">
        <v>2311</v>
      </c>
      <c r="E73" s="18"/>
      <c r="F73" s="18"/>
      <c r="G73" s="10"/>
      <c r="H73" s="18"/>
      <c r="I73" s="18"/>
      <c r="N73" s="60">
        <v>1215.78947368421</v>
      </c>
      <c r="O73" s="60">
        <v>158.708396667107</v>
      </c>
      <c r="P73" s="70">
        <v>1215.78947368421</v>
      </c>
      <c r="Q73" s="70">
        <v>1205.6842105263199</v>
      </c>
      <c r="R73" s="60">
        <f t="shared" si="0"/>
        <v>10.105263157890022</v>
      </c>
      <c r="S73">
        <v>1215.78947368421</v>
      </c>
      <c r="T73">
        <v>32.0568421052632</v>
      </c>
    </row>
    <row r="74" spans="2:20" x14ac:dyDescent="0.25">
      <c r="B74" s="16">
        <v>2700</v>
      </c>
      <c r="C74" s="16">
        <v>2376</v>
      </c>
      <c r="E74" s="18"/>
      <c r="F74" s="18"/>
      <c r="G74" s="10"/>
      <c r="H74" s="18"/>
      <c r="I74" s="18"/>
      <c r="N74" s="60">
        <v>1326.3157894736801</v>
      </c>
      <c r="O74" s="60">
        <v>165.52683429790599</v>
      </c>
      <c r="P74" s="70">
        <v>1326.3157894736801</v>
      </c>
      <c r="Q74" s="70">
        <v>1307.94736842105</v>
      </c>
      <c r="R74" s="60">
        <f t="shared" si="0"/>
        <v>18.368421052630083</v>
      </c>
      <c r="S74">
        <v>1326.3157894736801</v>
      </c>
      <c r="T74">
        <v>33.079473684210498</v>
      </c>
    </row>
    <row r="75" spans="2:20" x14ac:dyDescent="0.25">
      <c r="B75" s="16">
        <v>2800</v>
      </c>
      <c r="C75" s="16">
        <v>2439</v>
      </c>
      <c r="E75" s="18"/>
      <c r="F75" s="18"/>
      <c r="G75" s="10"/>
      <c r="H75" s="18"/>
      <c r="I75" s="18"/>
      <c r="N75" s="60">
        <v>1436.84210526316</v>
      </c>
      <c r="O75" s="60">
        <v>172.21727973552001</v>
      </c>
      <c r="P75" s="70">
        <v>1436.84210526316</v>
      </c>
      <c r="Q75" s="70">
        <v>1407.78947368421</v>
      </c>
      <c r="R75" s="60">
        <f t="shared" si="0"/>
        <v>29.052631578950013</v>
      </c>
      <c r="S75">
        <v>1436.84210526316</v>
      </c>
      <c r="T75">
        <v>34.077894736842097</v>
      </c>
    </row>
    <row r="76" spans="2:20" x14ac:dyDescent="0.25">
      <c r="B76" s="16">
        <v>3500</v>
      </c>
      <c r="C76" s="16">
        <v>2500</v>
      </c>
      <c r="G76" s="10"/>
      <c r="N76" s="60">
        <v>1547.3684210526301</v>
      </c>
      <c r="O76" s="60">
        <v>178.77370458588601</v>
      </c>
      <c r="P76" s="70">
        <v>1547.3684210526301</v>
      </c>
      <c r="Q76" s="70">
        <v>1505.21052631579</v>
      </c>
      <c r="R76" s="60">
        <f t="shared" si="0"/>
        <v>42.157894736840035</v>
      </c>
      <c r="S76">
        <v>1547.3684210526301</v>
      </c>
      <c r="T76">
        <v>35.052105263157898</v>
      </c>
    </row>
    <row r="77" spans="2:20" x14ac:dyDescent="0.25">
      <c r="B77" s="16"/>
      <c r="C77" s="16"/>
      <c r="G77" s="10"/>
      <c r="N77" s="60">
        <v>1657.89473684211</v>
      </c>
      <c r="O77" s="60">
        <v>185.18639581961901</v>
      </c>
      <c r="P77" s="70">
        <v>1657.89473684211</v>
      </c>
      <c r="Q77" s="70">
        <v>1600.21052631579</v>
      </c>
      <c r="R77" s="60">
        <f t="shared" si="0"/>
        <v>57.68421052631993</v>
      </c>
      <c r="S77">
        <v>1657.89473684211</v>
      </c>
      <c r="T77">
        <v>36.002105263157901</v>
      </c>
    </row>
    <row r="78" spans="2:20" x14ac:dyDescent="0.25">
      <c r="B78" s="16"/>
      <c r="C78" s="16"/>
      <c r="G78" s="10"/>
      <c r="N78" s="60">
        <v>1768.4210526315801</v>
      </c>
      <c r="O78" s="60">
        <v>191.45397337370201</v>
      </c>
      <c r="P78" s="70">
        <v>1768.4210526315801</v>
      </c>
      <c r="Q78" s="70">
        <v>1692.78947368421</v>
      </c>
      <c r="R78" s="60">
        <f t="shared" si="0"/>
        <v>75.631578947370144</v>
      </c>
      <c r="S78">
        <v>1768.4210526315801</v>
      </c>
      <c r="T78">
        <v>36.927894736842099</v>
      </c>
    </row>
    <row r="79" spans="2:20" x14ac:dyDescent="0.25">
      <c r="N79" s="60">
        <v>1878.94736842105</v>
      </c>
      <c r="O79" s="60">
        <v>197.574430833116</v>
      </c>
      <c r="P79" s="70">
        <v>1878.94736842105</v>
      </c>
      <c r="Q79" s="70">
        <v>1782.94736842105</v>
      </c>
      <c r="R79" s="60">
        <f t="shared" si="0"/>
        <v>96</v>
      </c>
      <c r="S79">
        <v>1878.94736842105</v>
      </c>
      <c r="T79">
        <v>37.829473684210498</v>
      </c>
    </row>
    <row r="80" spans="2:20" x14ac:dyDescent="0.25">
      <c r="N80" s="60">
        <v>1989.4736842105301</v>
      </c>
      <c r="O80" s="60">
        <v>203.54476938368299</v>
      </c>
      <c r="P80" s="70">
        <v>1989.4736842105301</v>
      </c>
      <c r="Q80" s="70">
        <v>1870.6842105263199</v>
      </c>
      <c r="R80" s="60">
        <f t="shared" si="0"/>
        <v>118.78947368421018</v>
      </c>
      <c r="S80">
        <v>1989.4736842105301</v>
      </c>
      <c r="T80">
        <v>38.706842105263199</v>
      </c>
    </row>
    <row r="81" spans="11:20" x14ac:dyDescent="0.25">
      <c r="N81" s="60">
        <v>2100</v>
      </c>
      <c r="O81" s="60">
        <v>209.431418291623</v>
      </c>
      <c r="P81" s="70">
        <v>2100</v>
      </c>
      <c r="Q81" s="70">
        <v>1956</v>
      </c>
      <c r="R81" s="60">
        <f t="shared" si="0"/>
        <v>144</v>
      </c>
      <c r="S81">
        <v>2100</v>
      </c>
      <c r="T81">
        <v>39.56</v>
      </c>
    </row>
    <row r="82" spans="11:20" x14ac:dyDescent="0.25">
      <c r="K82" t="s">
        <v>97</v>
      </c>
      <c r="N82" s="60"/>
      <c r="O82" s="60"/>
    </row>
    <row r="83" spans="11:20" x14ac:dyDescent="0.25">
      <c r="K83" t="str" cm="1">
        <f t="array" ref="K83">[1]!decode_json(K48)</f>
        <v>set show_log=1 in param to show calc log</v>
      </c>
      <c r="N83" s="60"/>
      <c r="O83" s="60"/>
    </row>
    <row r="84" spans="11:20" x14ac:dyDescent="0.25">
      <c r="N84" s="60"/>
      <c r="O84" s="60"/>
    </row>
    <row r="85" spans="11:20" x14ac:dyDescent="0.25">
      <c r="N85" s="60"/>
      <c r="O85" s="60"/>
    </row>
    <row r="86" spans="11:20" x14ac:dyDescent="0.25">
      <c r="N86" s="60"/>
      <c r="O86" s="60"/>
    </row>
    <row r="87" spans="11:20" x14ac:dyDescent="0.25">
      <c r="N87" s="60"/>
      <c r="O87" s="60"/>
    </row>
    <row r="88" spans="11:20" x14ac:dyDescent="0.25">
      <c r="N88" s="60"/>
      <c r="O88" s="60"/>
    </row>
    <row r="89" spans="11:20" x14ac:dyDescent="0.25">
      <c r="N89" s="60"/>
      <c r="O89" s="60"/>
    </row>
    <row r="90" spans="11:20" x14ac:dyDescent="0.25">
      <c r="N90" s="60"/>
      <c r="O90" s="60"/>
    </row>
    <row r="91" spans="11:20" x14ac:dyDescent="0.25">
      <c r="N91" s="60"/>
      <c r="O91" s="60"/>
    </row>
    <row r="92" spans="11:20" x14ac:dyDescent="0.25">
      <c r="N92" s="60"/>
      <c r="O92" s="60"/>
    </row>
    <row r="93" spans="11:20" x14ac:dyDescent="0.25">
      <c r="N93" s="60"/>
      <c r="O93" s="60"/>
    </row>
    <row r="94" spans="11:20" x14ac:dyDescent="0.25">
      <c r="N94" s="60"/>
      <c r="O94" s="60"/>
    </row>
    <row r="95" spans="11:20" x14ac:dyDescent="0.25">
      <c r="N95" s="60"/>
      <c r="O95" s="60"/>
    </row>
    <row r="96" spans="11:20" x14ac:dyDescent="0.25">
      <c r="N96" s="60"/>
      <c r="O96" s="60"/>
    </row>
    <row r="97" spans="14:15" x14ac:dyDescent="0.25">
      <c r="N97" s="60"/>
      <c r="O97" s="60"/>
    </row>
    <row r="98" spans="14:15" x14ac:dyDescent="0.25">
      <c r="N98" s="60"/>
      <c r="O98" s="60"/>
    </row>
    <row r="99" spans="14:15" x14ac:dyDescent="0.25">
      <c r="N99" s="60"/>
      <c r="O99" s="60"/>
    </row>
    <row r="100" spans="14:15" x14ac:dyDescent="0.25">
      <c r="N100" s="60"/>
      <c r="O100" s="60"/>
    </row>
    <row r="101" spans="14:15" x14ac:dyDescent="0.25">
      <c r="N101" s="60"/>
      <c r="O101" s="60"/>
    </row>
    <row r="102" spans="14:15" x14ac:dyDescent="0.25">
      <c r="N102" s="60"/>
      <c r="O102" s="60"/>
    </row>
    <row r="103" spans="14:15" x14ac:dyDescent="0.25">
      <c r="N103" s="60"/>
      <c r="O103" s="60"/>
    </row>
    <row r="104" spans="14:15" x14ac:dyDescent="0.25">
      <c r="N104" s="60"/>
      <c r="O104" s="60"/>
    </row>
  </sheetData>
  <mergeCells count="14">
    <mergeCell ref="K40:L40"/>
    <mergeCell ref="K41:L41"/>
    <mergeCell ref="F27:G27"/>
    <mergeCell ref="F28:G28"/>
    <mergeCell ref="F30:G30"/>
    <mergeCell ref="F31:G31"/>
    <mergeCell ref="F32:G32"/>
    <mergeCell ref="F29:G29"/>
    <mergeCell ref="F26:G26"/>
    <mergeCell ref="B3:E3"/>
    <mergeCell ref="B4:E4"/>
    <mergeCell ref="B5:E5"/>
    <mergeCell ref="B6:E8"/>
    <mergeCell ref="F25:G25"/>
  </mergeCell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50</vt:i4>
      </vt:variant>
    </vt:vector>
  </HeadingPairs>
  <TitlesOfParts>
    <vt:vector size="51" baseType="lpstr">
      <vt:lpstr>exercise_pipeline</vt:lpstr>
      <vt:lpstr>exercise_pipeline!Bob_</vt:lpstr>
      <vt:lpstr>exercise_pipeline!calc_along_coord</vt:lpstr>
      <vt:lpstr>exercise_pipeline!calc_along_coord1</vt:lpstr>
      <vt:lpstr>exercise_pipeline!calc_flow_direction_</vt:lpstr>
      <vt:lpstr>exercise_pipeline!calc_flow_direction1_</vt:lpstr>
      <vt:lpstr>exercise_pipeline!calibr_fric</vt:lpstr>
      <vt:lpstr>exercise_pipeline!calibr_grav</vt:lpstr>
      <vt:lpstr>exercise_pipeline!calibr_type</vt:lpstr>
      <vt:lpstr>exercise_pipeline!flow_along_coord</vt:lpstr>
      <vt:lpstr>exercise_pipeline!flow_along_coord1</vt:lpstr>
      <vt:lpstr>exercise_pipeline!fw_</vt:lpstr>
      <vt:lpstr>exercise_pipeline!gamma_gas_</vt:lpstr>
      <vt:lpstr>exercise_pipeline!gamma_oil_</vt:lpstr>
      <vt:lpstr>exercise_pipeline!gamma_wat_</vt:lpstr>
      <vt:lpstr>exercise_pipeline!gas_only_</vt:lpstr>
      <vt:lpstr>exercise_pipeline!hcor</vt:lpstr>
      <vt:lpstr>exercise_pipeline!Hydr_corr_</vt:lpstr>
      <vt:lpstr>exercise_pipeline!inclinometry</vt:lpstr>
      <vt:lpstr>exercise_pipeline!input_0</vt:lpstr>
      <vt:lpstr>exercise_pipeline!input_1</vt:lpstr>
      <vt:lpstr>exercise_pipeline!input_2</vt:lpstr>
      <vt:lpstr>exercise_pipeline!input_3</vt:lpstr>
      <vt:lpstr>exercise_pipeline!input_5</vt:lpstr>
      <vt:lpstr>exercise_pipeline!input_6</vt:lpstr>
      <vt:lpstr>exercise_pipeline!input_7</vt:lpstr>
      <vt:lpstr>exercise_pipeline!input_Course</vt:lpstr>
      <vt:lpstr>exercise_pipeline!input_Date</vt:lpstr>
      <vt:lpstr>exercise_pipeline!input_Group</vt:lpstr>
      <vt:lpstr>exercise_pipeline!input_Notes</vt:lpstr>
      <vt:lpstr>exercise_pipeline!input_Student_Name</vt:lpstr>
      <vt:lpstr>exercise_pipeline!input_Version</vt:lpstr>
      <vt:lpstr>exercise_pipeline!Ksep</vt:lpstr>
      <vt:lpstr>exercise_pipeline!muob_</vt:lpstr>
      <vt:lpstr>exercise_pipeline!P0</vt:lpstr>
      <vt:lpstr>exercise_pipeline!P1_</vt:lpstr>
      <vt:lpstr>exercise_pipeline!Pb_</vt:lpstr>
      <vt:lpstr>exercise_pipeline!Psep</vt:lpstr>
      <vt:lpstr>exercise_pipeline!PVT_corr_</vt:lpstr>
      <vt:lpstr>exercise_pipeline!PVTstr_</vt:lpstr>
      <vt:lpstr>exercise_pipeline!Qgas_free</vt:lpstr>
      <vt:lpstr>exercise_pipeline!qliq_</vt:lpstr>
      <vt:lpstr>exercise_pipeline!Rp_</vt:lpstr>
      <vt:lpstr>exercise_pipeline!Rsb_</vt:lpstr>
      <vt:lpstr>exercise_pipeline!T0</vt:lpstr>
      <vt:lpstr>exercise_pipeline!T1_</vt:lpstr>
      <vt:lpstr>exercise_pipeline!temp_model</vt:lpstr>
      <vt:lpstr>exercise_pipeline!tempm</vt:lpstr>
      <vt:lpstr>exercise_pipeline!Tres_</vt:lpstr>
      <vt:lpstr>exercise_pipeline!Tsep</vt:lpstr>
      <vt:lpstr>znlf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2019-10-28T06:57:59Z</dcterms:created>
  <dcterms:modified xsi:type="dcterms:W3CDTF">2021-04-09T04:16:29Z</dcterms:modified>
</cp:coreProperties>
</file>