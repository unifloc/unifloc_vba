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F_examples\"/>
    </mc:Choice>
  </mc:AlternateContent>
  <xr:revisionPtr revIDLastSave="0" documentId="13_ncr:1_{440CD9B1-1272-4819-93F9-8089014FE0E2}" xr6:coauthVersionLast="45" xr6:coauthVersionMax="45" xr10:uidLastSave="{00000000-0000-0000-0000-000000000000}"/>
  <bookViews>
    <workbookView xWindow="2970" yWindow="1425" windowWidth="28800" windowHeight="15435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exercise_pipeline!$H$39</definedName>
    <definedName name="calc_along_coord1" localSheetId="0">exercise_pipeline!$I$39</definedName>
    <definedName name="calc_flow_direction_" localSheetId="0">exercise_pipeline!$H$41</definedName>
    <definedName name="calc_flow_direction1_" localSheetId="0">exercise_pipeline!$I$41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flow_along_coord" localSheetId="0">exercise_pipeline!$H$40</definedName>
    <definedName name="flow_along_coord1" localSheetId="0">exercise_pipeline!$I$40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cor" localSheetId="0">exercise_pipeline!$H$37</definedName>
    <definedName name="Hydr_corr_" localSheetId="0">exercise_pipeline!$H$26</definedName>
    <definedName name="inclinometry" localSheetId="0">exercise_pipeline!$B$47:$C$69</definedName>
    <definedName name="input_0" localSheetId="0">exercise_pipeline!$C$11:$C$32</definedName>
    <definedName name="input_1" localSheetId="0">exercise_pipeline!$C$37:$C$41</definedName>
    <definedName name="input_2" localSheetId="0">exercise_pipeline!$H$29:$H$32</definedName>
    <definedName name="input_3" localSheetId="0">exercise_pipeline!$H$38:$H$40</definedName>
    <definedName name="input_5" localSheetId="0">exercise_pipeline!$B$47:$C$69</definedName>
    <definedName name="input_6" localSheetId="0">exercise_pipeline!$E$47:$F$66</definedName>
    <definedName name="input_7" localSheetId="0">exercise_pipeline!$H$47:$I$66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b_" localSheetId="0">exercise_pipeline!$C$16</definedName>
    <definedName name="Psep" localSheetId="0">exercise_pipeline!$C$22</definedName>
    <definedName name="PVT_corr_" localSheetId="0">exercise_pipeline!$H$25</definedName>
    <definedName name="PVTstr_" localSheetId="0">exercise_pipeline!$C$34</definedName>
    <definedName name="Qgas_free" localSheetId="0">exercise_pipeline!$C$26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exercise_pipeline!$H$38</definedName>
    <definedName name="tempm" localSheetId="0">exercise_pipeline!$H$38</definedName>
    <definedName name="Tres_" localSheetId="0">exercise_pipeline!$C$17</definedName>
    <definedName name="Tsep" localSheetId="0">exercise_pipeline!$C$23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1" i="3" l="1"/>
  <c r="H41" i="3"/>
  <c r="E17" i="3"/>
  <c r="E16" i="3"/>
  <c r="E15" i="3"/>
  <c r="E14" i="3"/>
  <c r="E13" i="3"/>
  <c r="E12" i="3"/>
  <c r="E11" i="3"/>
  <c r="G1" i="3"/>
  <c r="C34" i="3"/>
  <c r="W37" i="3" a="1"/>
  <c r="O29" i="3" a="1"/>
  <c r="K37" i="3" a="1"/>
  <c r="K37" i="3" l="1"/>
  <c r="O29" i="3"/>
  <c r="W37" i="3"/>
  <c r="U40" i="3"/>
  <c r="V40" i="3" s="1"/>
  <c r="T54" i="3"/>
  <c r="U56" i="3"/>
  <c r="V56" i="3" s="1"/>
  <c r="T51" i="3"/>
  <c r="T56" i="3"/>
  <c r="T49" i="3"/>
  <c r="U58" i="3"/>
  <c r="V58" i="3" s="1"/>
  <c r="U44" i="3"/>
  <c r="V44" i="3" s="1"/>
  <c r="U47" i="3"/>
  <c r="V47" i="3" s="1"/>
  <c r="T50" i="3"/>
  <c r="U52" i="3"/>
  <c r="V52" i="3" s="1"/>
  <c r="U41" i="3"/>
  <c r="V41" i="3" s="1"/>
  <c r="U53" i="3"/>
  <c r="V53" i="3" s="1"/>
  <c r="U43" i="3"/>
  <c r="V43" i="3" s="1"/>
  <c r="U50" i="3"/>
  <c r="V50" i="3" s="1"/>
  <c r="T53" i="3"/>
  <c r="T42" i="3"/>
  <c r="T55" i="3"/>
  <c r="T45" i="3"/>
  <c r="T47" i="3"/>
  <c r="U48" i="3"/>
  <c r="V48" i="3" s="1"/>
  <c r="U59" i="3"/>
  <c r="V59" i="3" s="1"/>
  <c r="T46" i="3"/>
  <c r="T40" i="3"/>
  <c r="T41" i="3"/>
  <c r="T48" i="3"/>
  <c r="U55" i="3"/>
  <c r="V55" i="3" s="1"/>
  <c r="U49" i="3"/>
  <c r="V49" i="3" s="1"/>
  <c r="U45" i="3"/>
  <c r="V45" i="3" s="1"/>
  <c r="T44" i="3"/>
  <c r="U46" i="3"/>
  <c r="V46" i="3" s="1"/>
  <c r="U57" i="3"/>
  <c r="V57" i="3" s="1"/>
  <c r="U42" i="3"/>
  <c r="V42" i="3" s="1"/>
  <c r="U51" i="3"/>
  <c r="V51" i="3" s="1"/>
  <c r="T57" i="3"/>
  <c r="T52" i="3"/>
  <c r="U54" i="3"/>
  <c r="V54" i="3" s="1"/>
  <c r="T58" i="3"/>
  <c r="T59" i="3"/>
  <c r="T4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37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38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<sst xmlns="http://schemas.openxmlformats.org/spreadsheetml/2006/main" count="128" uniqueCount="96">
  <si>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</si>
  <si>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</si>
  <si>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</si>
  <si>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</si>
  <si>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</si>
  <si>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</si>
  <si>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</si>
  <si>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</si>
  <si>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</si>
  <si>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</si>
  <si>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</si>
  <si>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</si>
  <si>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</si>
  <si>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</si>
  <si>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</si>
  <si>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</si>
  <si>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</si>
  <si>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</si>
  <si>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</si>
  <si>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</si>
  <si>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</si>
  <si>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</si>
  <si>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</si>
  <si>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</si>
  <si>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</si>
  <si>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</si>
  <si>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</si>
  <si>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</si>
  <si>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</si>
  <si>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</si>
  <si>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</si>
  <si>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</si>
  <si>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</si>
  <si>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</si>
  <si>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</si>
  <si>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</si>
  <si>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</si>
  <si>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</si>
  <si>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</si>
  <si>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</si>
  <si>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</si>
  <si>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</si>
  <si>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</si>
  <si>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</si>
  <si>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</si>
  <si>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</si>
  <si>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</si>
  <si>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</si>
  <si>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</si>
  <si>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</si>
  <si>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</si>
  <si>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</si>
  <si>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</si>
  <si>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</si>
  <si>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</si>
  <si>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сверху вниз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</si>
  <si>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</si>
  <si>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</si>
  <si>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</si>
  <si>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</si>
  <si>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</si>
  <si>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</si>
  <si>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</si>
  <si>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</si>
  <si>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</si>
  <si>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</si>
  <si>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</si>
  <si>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</si>
  <si>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</si>
  <si>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</si>
  <si>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</si>
  <si>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</si>
  <si>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</si>
  <si>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</si>
  <si>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</si>
  <si>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</si>
  <si>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</si>
  <si>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</si>
  <si>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</si>
  <si>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</si>
  <si>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</si>
  <si>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</si>
  <si>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</si>
  <si>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</si>
  <si>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</si>
  <si>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</si>
  <si>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</si>
  <si>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Qliq</t>
  </si>
  <si>
    <t>fw</t>
  </si>
  <si>
    <t>Rp</t>
  </si>
  <si>
    <t>Pdis</t>
  </si>
  <si>
    <t>Pbuf</t>
  </si>
  <si>
    <t>Plin</t>
  </si>
  <si>
    <t>cal</t>
  </si>
  <si>
    <t>Пример 1. Восстановите значения дебитов</t>
  </si>
  <si>
    <t>Пример 2. Восстановите значения дебитов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</si>
</sst>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"/>
  </numFmts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0" fontId="0" fillId="7" borderId="9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166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exercise_pipeline!$T$40:$T$59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4.263157894736878</c:v>
                </c:pt>
                <c:pt idx="7">
                  <c:v>15.263157894736878</c:v>
                </c:pt>
                <c:pt idx="8">
                  <c:v>33.105263157894797</c:v>
                </c:pt>
                <c:pt idx="9">
                  <c:v>57.684210526315837</c:v>
                </c:pt>
                <c:pt idx="10">
                  <c:v>89</c:v>
                </c:pt>
                <c:pt idx="11">
                  <c:v>127.05263157894728</c:v>
                </c:pt>
                <c:pt idx="12">
                  <c:v>171.84210526315792</c:v>
                </c:pt>
                <c:pt idx="13">
                  <c:v>223.47368421052624</c:v>
                </c:pt>
                <c:pt idx="14">
                  <c:v>282.05263157894751</c:v>
                </c:pt>
                <c:pt idx="15">
                  <c:v>347.36842105263167</c:v>
                </c:pt>
                <c:pt idx="16">
                  <c:v>495.52631578947376</c:v>
                </c:pt>
                <c:pt idx="17">
                  <c:v>663.68421052631584</c:v>
                </c:pt>
                <c:pt idx="18">
                  <c:v>831.84210526315837</c:v>
                </c:pt>
                <c:pt idx="19">
                  <c:v>1000</c:v>
                </c:pt>
              </c:numCache>
            </c:numRef>
          </c:xVal>
          <c:yVal>
            <c:numRef>
              <c:f>exercise_pipeline!$M$40:$M$59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1101</c:v>
                </c:pt>
                <c:pt idx="7">
                  <c:v>1274.2105263157894</c:v>
                </c:pt>
                <c:pt idx="8">
                  <c:v>1440.578947368421</c:v>
                </c:pt>
                <c:pt idx="9">
                  <c:v>1600.2105263157896</c:v>
                </c:pt>
                <c:pt idx="10">
                  <c:v>1753.1052631578948</c:v>
                </c:pt>
                <c:pt idx="11">
                  <c:v>1899.2631578947369</c:v>
                </c:pt>
                <c:pt idx="12">
                  <c:v>2038.6842105263158</c:v>
                </c:pt>
                <c:pt idx="13">
                  <c:v>2171.2631578947371</c:v>
                </c:pt>
                <c:pt idx="14">
                  <c:v>2296.894736842105</c:v>
                </c:pt>
                <c:pt idx="15">
                  <c:v>2415.7894736842104</c:v>
                </c:pt>
                <c:pt idx="16">
                  <c:v>2451.8421052631579</c:v>
                </c:pt>
                <c:pt idx="17">
                  <c:v>2467.8947368421054</c:v>
                </c:pt>
                <c:pt idx="18">
                  <c:v>2483.9473684210525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03-4A45-AF5B-3C0E58E40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exercise_pipeline!$V$40:$V$59</c:f>
              <c:numCache>
                <c:formatCode>General</c:formatCode>
                <c:ptCount val="20"/>
                <c:pt idx="0">
                  <c:v>3.1E-2</c:v>
                </c:pt>
                <c:pt idx="1">
                  <c:v>3.1E-2</c:v>
                </c:pt>
                <c:pt idx="2">
                  <c:v>3.1E-2</c:v>
                </c:pt>
                <c:pt idx="3">
                  <c:v>3.1E-2</c:v>
                </c:pt>
                <c:pt idx="4">
                  <c:v>3.1E-2</c:v>
                </c:pt>
                <c:pt idx="5">
                  <c:v>3.1E-2</c:v>
                </c:pt>
                <c:pt idx="6">
                  <c:v>3.1E-2</c:v>
                </c:pt>
                <c:pt idx="7">
                  <c:v>3.1E-2</c:v>
                </c:pt>
                <c:pt idx="8">
                  <c:v>3.1E-2</c:v>
                </c:pt>
                <c:pt idx="9">
                  <c:v>3.1E-2</c:v>
                </c:pt>
                <c:pt idx="10">
                  <c:v>3.1E-2</c:v>
                </c:pt>
                <c:pt idx="11">
                  <c:v>3.1E-2</c:v>
                </c:pt>
                <c:pt idx="12">
                  <c:v>3.1E-2</c:v>
                </c:pt>
                <c:pt idx="13">
                  <c:v>3.1E-2</c:v>
                </c:pt>
                <c:pt idx="14">
                  <c:v>6.25E-2</c:v>
                </c:pt>
                <c:pt idx="15">
                  <c:v>6.25E-2</c:v>
                </c:pt>
                <c:pt idx="16">
                  <c:v>6.25E-2</c:v>
                </c:pt>
                <c:pt idx="17">
                  <c:v>6.25E-2</c:v>
                </c:pt>
                <c:pt idx="18">
                  <c:v>6.25E-2</c:v>
                </c:pt>
                <c:pt idx="19">
                  <c:v>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8-4F63-BF83-19548A9464D7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exercise_pipeline!$U$40:$U$59</c:f>
              <c:numCache>
                <c:formatCode>General</c:formatCode>
                <c:ptCount val="20"/>
                <c:pt idx="0">
                  <c:v>-3.1E-2</c:v>
                </c:pt>
                <c:pt idx="1">
                  <c:v>-3.1E-2</c:v>
                </c:pt>
                <c:pt idx="2">
                  <c:v>-3.1E-2</c:v>
                </c:pt>
                <c:pt idx="3">
                  <c:v>-3.1E-2</c:v>
                </c:pt>
                <c:pt idx="4">
                  <c:v>-3.1E-2</c:v>
                </c:pt>
                <c:pt idx="5">
                  <c:v>-3.1E-2</c:v>
                </c:pt>
                <c:pt idx="6">
                  <c:v>-3.1E-2</c:v>
                </c:pt>
                <c:pt idx="7">
                  <c:v>-3.1E-2</c:v>
                </c:pt>
                <c:pt idx="8">
                  <c:v>-3.1E-2</c:v>
                </c:pt>
                <c:pt idx="9">
                  <c:v>-3.1E-2</c:v>
                </c:pt>
                <c:pt idx="10">
                  <c:v>-3.1E-2</c:v>
                </c:pt>
                <c:pt idx="11">
                  <c:v>-3.1E-2</c:v>
                </c:pt>
                <c:pt idx="12">
                  <c:v>-3.1E-2</c:v>
                </c:pt>
                <c:pt idx="13">
                  <c:v>-3.1E-2</c:v>
                </c:pt>
                <c:pt idx="14">
                  <c:v>-6.25E-2</c:v>
                </c:pt>
                <c:pt idx="15">
                  <c:v>-6.25E-2</c:v>
                </c:pt>
                <c:pt idx="16">
                  <c:v>-6.25E-2</c:v>
                </c:pt>
                <c:pt idx="17">
                  <c:v>-6.25E-2</c:v>
                </c:pt>
                <c:pt idx="18">
                  <c:v>-6.25E-2</c:v>
                </c:pt>
                <c:pt idx="19">
                  <c:v>-6.25E-2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8-4F63-BF83-19548A946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exercise_pipeline!$N$40:$N$59</c:f>
              <c:numCache>
                <c:formatCode>0</c:formatCode>
                <c:ptCount val="20"/>
                <c:pt idx="0">
                  <c:v>20</c:v>
                </c:pt>
                <c:pt idx="1">
                  <c:v>37.810780107631736</c:v>
                </c:pt>
                <c:pt idx="2">
                  <c:v>55.61280875437766</c:v>
                </c:pt>
                <c:pt idx="3">
                  <c:v>73.406520349187403</c:v>
                </c:pt>
                <c:pt idx="4">
                  <c:v>91.19235283345472</c:v>
                </c:pt>
                <c:pt idx="5">
                  <c:v>108.94359148234992</c:v>
                </c:pt>
                <c:pt idx="6">
                  <c:v>126.1496370869895</c:v>
                </c:pt>
                <c:pt idx="7">
                  <c:v>142.68029374802444</c:v>
                </c:pt>
                <c:pt idx="8">
                  <c:v>158.54439688072938</c:v>
                </c:pt>
                <c:pt idx="9">
                  <c:v>173.74326198506955</c:v>
                </c:pt>
                <c:pt idx="10">
                  <c:v>188.2494052480541</c:v>
                </c:pt>
                <c:pt idx="11">
                  <c:v>202.06226215817546</c:v>
                </c:pt>
                <c:pt idx="12">
                  <c:v>215.18607222236952</c:v>
                </c:pt>
                <c:pt idx="13">
                  <c:v>227.61476064849097</c:v>
                </c:pt>
                <c:pt idx="14">
                  <c:v>239.34282213173998</c:v>
                </c:pt>
                <c:pt idx="15">
                  <c:v>248.90498266313705</c:v>
                </c:pt>
                <c:pt idx="16">
                  <c:v>251.39854617645057</c:v>
                </c:pt>
                <c:pt idx="17">
                  <c:v>252.90993504314926</c:v>
                </c:pt>
                <c:pt idx="18">
                  <c:v>254.42064644976944</c:v>
                </c:pt>
                <c:pt idx="19">
                  <c:v>255.93067783221738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ser>
          <c:idx val="1"/>
          <c:order val="1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exercise_pipeline!$Z$40:$Z$59</c:f>
              <c:numCache>
                <c:formatCode>0</c:formatCode>
                <c:ptCount val="20"/>
                <c:pt idx="0">
                  <c:v>0.8799012306796421</c:v>
                </c:pt>
                <c:pt idx="1">
                  <c:v>0.8799012306796421</c:v>
                </c:pt>
                <c:pt idx="2">
                  <c:v>0.8799012306796421</c:v>
                </c:pt>
                <c:pt idx="3">
                  <c:v>1.6551021837486524</c:v>
                </c:pt>
                <c:pt idx="4">
                  <c:v>15.551627022755639</c:v>
                </c:pt>
                <c:pt idx="5">
                  <c:v>33.283982202789716</c:v>
                </c:pt>
                <c:pt idx="6">
                  <c:v>50.469232738295531</c:v>
                </c:pt>
                <c:pt idx="7">
                  <c:v>66.977510397790766</c:v>
                </c:pt>
                <c:pt idx="8">
                  <c:v>82.817951227708122</c:v>
                </c:pt>
                <c:pt idx="9">
                  <c:v>97.992023451323789</c:v>
                </c:pt>
                <c:pt idx="10">
                  <c:v>112.47218425223299</c:v>
                </c:pt>
                <c:pt idx="11">
                  <c:v>126.25810274876638</c:v>
                </c:pt>
                <c:pt idx="12">
                  <c:v>139.35429443960462</c:v>
                </c:pt>
                <c:pt idx="13">
                  <c:v>151.75494919219827</c:v>
                </c:pt>
                <c:pt idx="14">
                  <c:v>163.45483318216557</c:v>
                </c:pt>
                <c:pt idx="15">
                  <c:v>172.99282276991832</c:v>
                </c:pt>
                <c:pt idx="16">
                  <c:v>175.47989631060625</c:v>
                </c:pt>
                <c:pt idx="17">
                  <c:v>176.98730186356715</c:v>
                </c:pt>
                <c:pt idx="18">
                  <c:v>178.49400395103441</c:v>
                </c:pt>
                <c:pt idx="19">
                  <c:v>180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exercise_pipeline!$O$40:$O$59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C4-42F2-A47B-A1EA80C54F7F}"/>
            </c:ext>
          </c:extLst>
        </c:ser>
        <c:ser>
          <c:idx val="1"/>
          <c:order val="1"/>
          <c:tx>
            <c:strRef>
              <c:f>exercise_pipeline!$R$39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exercise_pipeline!$R$40:$R$59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2"/>
          <c:order val="2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exercise_pipeline!$AA$40:$AA$59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C4-42F2-A47B-A1EA80C5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exercise_pipeline!$B$90</c:f>
          <c:strCache>
            <c:ptCount val="1"/>
            <c:pt idx="0">
              <c:v>Пример 1. Восстановите значения дебитов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exercise_pipeline!$G$92</c:f>
              <c:strCache>
                <c:ptCount val="1"/>
                <c:pt idx="0">
                  <c:v>Pdis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exercise_pipeline!$B$93:$B$115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exercise_pipeline!$G$93:$G$115</c:f>
              <c:numCache>
                <c:formatCode>0</c:formatCode>
                <c:ptCount val="23"/>
                <c:pt idx="0">
                  <c:v>180.08898674283975</c:v>
                </c:pt>
                <c:pt idx="1">
                  <c:v>181.13334210571492</c:v>
                </c:pt>
                <c:pt idx="2">
                  <c:v>180.37649269366091</c:v>
                </c:pt>
                <c:pt idx="3">
                  <c:v>180.75687999396632</c:v>
                </c:pt>
                <c:pt idx="4">
                  <c:v>170.89119452435753</c:v>
                </c:pt>
                <c:pt idx="5">
                  <c:v>170.48662190248479</c:v>
                </c:pt>
                <c:pt idx="6">
                  <c:v>170.60526130761357</c:v>
                </c:pt>
                <c:pt idx="7">
                  <c:v>182.35000328010145</c:v>
                </c:pt>
                <c:pt idx="8">
                  <c:v>181.62281248757091</c:v>
                </c:pt>
                <c:pt idx="9">
                  <c:v>181.90285906008253</c:v>
                </c:pt>
                <c:pt idx="10">
                  <c:v>202.78183655123703</c:v>
                </c:pt>
                <c:pt idx="11">
                  <c:v>203.15160390174375</c:v>
                </c:pt>
                <c:pt idx="12">
                  <c:v>203.43783378508741</c:v>
                </c:pt>
                <c:pt idx="13">
                  <c:v>217.11039063994301</c:v>
                </c:pt>
                <c:pt idx="14">
                  <c:v>218.67978786143036</c:v>
                </c:pt>
                <c:pt idx="15">
                  <c:v>217.37530156273988</c:v>
                </c:pt>
                <c:pt idx="16">
                  <c:v>216.22883003560199</c:v>
                </c:pt>
                <c:pt idx="17">
                  <c:v>214.91671708927146</c:v>
                </c:pt>
                <c:pt idx="18">
                  <c:v>214.25397332519762</c:v>
                </c:pt>
                <c:pt idx="19">
                  <c:v>221.27112140490175</c:v>
                </c:pt>
                <c:pt idx="20">
                  <c:v>220.16864900728336</c:v>
                </c:pt>
                <c:pt idx="21">
                  <c:v>220.19145032522221</c:v>
                </c:pt>
                <c:pt idx="22">
                  <c:v>220.75301960460069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27-4431-847B-D9EEE1F7CB74}"/>
            </c:ext>
          </c:extLst>
        </c:ser>
        <c:ser>
          <c:idx val="1"/>
          <c:order val="1"/>
          <c:tx>
            <c:strRef>
              <c:f>exercise_pipeline!$H$92</c:f>
              <c:strCache>
                <c:ptCount val="1"/>
                <c:pt idx="0">
                  <c:v>Pbuf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exercise_pipeline!$B$93:$B$115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exercise_pipeline!$H$93:$H$115</c:f>
              <c:numCache>
                <c:formatCode>General</c:formatCode>
                <c:ptCount val="23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27-4431-847B-D9EEE1F7C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883856"/>
        <c:axId val="1224522240"/>
      </c:scatterChart>
      <c:valAx>
        <c:axId val="1374883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24522240"/>
        <c:crosses val="autoZero"/>
        <c:crossBetween val="midCat"/>
      </c:valAx>
      <c:valAx>
        <c:axId val="122452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7488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exercise_pipeline!$B$120</c:f>
          <c:strCache>
            <c:ptCount val="1"/>
            <c:pt idx="0">
              <c:v>Пример 2. Восстановите значения дебитов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exercise_pipeline!$G$92</c:f>
              <c:strCache>
                <c:ptCount val="1"/>
                <c:pt idx="0">
                  <c:v>Pdis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exercise_pipeline!$B$123:$B$145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exercise_pipeline!$G$123:$G$145</c:f>
              <c:numCache>
                <c:formatCode>0.0</c:formatCode>
                <c:ptCount val="23"/>
                <c:pt idx="0">
                  <c:v>170.37451248321858</c:v>
                </c:pt>
                <c:pt idx="1">
                  <c:v>167.98599131531236</c:v>
                </c:pt>
                <c:pt idx="2">
                  <c:v>165.87875559891552</c:v>
                </c:pt>
                <c:pt idx="3">
                  <c:v>163.05716444682014</c:v>
                </c:pt>
                <c:pt idx="4">
                  <c:v>153.46203820787147</c:v>
                </c:pt>
                <c:pt idx="5">
                  <c:v>150.91872072886818</c:v>
                </c:pt>
                <c:pt idx="6">
                  <c:v>149.18936574688831</c:v>
                </c:pt>
                <c:pt idx="7">
                  <c:v>131.07480470654411</c:v>
                </c:pt>
                <c:pt idx="8">
                  <c:v>128.77595055090714</c:v>
                </c:pt>
                <c:pt idx="9">
                  <c:v>126.66187088224378</c:v>
                </c:pt>
                <c:pt idx="10">
                  <c:v>125.00341210821107</c:v>
                </c:pt>
                <c:pt idx="11">
                  <c:v>123.06265005707466</c:v>
                </c:pt>
                <c:pt idx="12">
                  <c:v>121.57365395200117</c:v>
                </c:pt>
                <c:pt idx="13">
                  <c:v>122.58337366386718</c:v>
                </c:pt>
                <c:pt idx="14">
                  <c:v>123.29790015047556</c:v>
                </c:pt>
                <c:pt idx="15">
                  <c:v>94.485147213178422</c:v>
                </c:pt>
                <c:pt idx="16">
                  <c:v>93.176533877624777</c:v>
                </c:pt>
                <c:pt idx="17">
                  <c:v>91.959707534160373</c:v>
                </c:pt>
                <c:pt idx="18">
                  <c:v>90.903573428064874</c:v>
                </c:pt>
                <c:pt idx="19">
                  <c:v>90.030895452043396</c:v>
                </c:pt>
                <c:pt idx="20">
                  <c:v>88.535021982429384</c:v>
                </c:pt>
                <c:pt idx="21">
                  <c:v>87.800020063441266</c:v>
                </c:pt>
                <c:pt idx="22">
                  <c:v>86.436266059127959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74-4A4E-8C50-6D38DB79881C}"/>
            </c:ext>
          </c:extLst>
        </c:ser>
        <c:ser>
          <c:idx val="1"/>
          <c:order val="1"/>
          <c:tx>
            <c:strRef>
              <c:f>exercise_pipeline!$H$92</c:f>
              <c:strCache>
                <c:ptCount val="1"/>
                <c:pt idx="0">
                  <c:v>Pbuf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exercise_pipeline!$B$123:$B$145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exercise_pipeline!$H$123:$H$145</c:f>
              <c:numCache>
                <c:formatCode>General</c:formatCode>
                <c:ptCount val="23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74-4A4E-8C50-6D38DB798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883856"/>
        <c:axId val="1224522240"/>
      </c:scatterChart>
      <c:valAx>
        <c:axId val="1374883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24522240"/>
        <c:crosses val="autoZero"/>
        <c:crossBetween val="midCat"/>
      </c:valAx>
      <c:valAx>
        <c:axId val="122452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7488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139710</xdr:colOff>
      <xdr:row>59</xdr:row>
      <xdr:rowOff>99655</xdr:rowOff>
    </xdr:from>
    <xdr:to>
      <xdr:col>15</xdr:col>
      <xdr:colOff>219832</xdr:colOff>
      <xdr:row>83</xdr:row>
      <xdr:rowOff>104418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3D2F34-1EB1-46AB-85AE-B9B3D95F7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330211</xdr:colOff>
      <xdr:row>59</xdr:row>
      <xdr:rowOff>88448</xdr:rowOff>
    </xdr:from>
    <xdr:to>
      <xdr:col>19</xdr:col>
      <xdr:colOff>487092</xdr:colOff>
      <xdr:row>83</xdr:row>
      <xdr:rowOff>83687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A83D887-C507-4913-8E90-BFADBF41D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554658</xdr:colOff>
      <xdr:row>59</xdr:row>
      <xdr:rowOff>104978</xdr:rowOff>
    </xdr:from>
    <xdr:to>
      <xdr:col>25</xdr:col>
      <xdr:colOff>223192</xdr:colOff>
      <xdr:row>83</xdr:row>
      <xdr:rowOff>81166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286506</xdr:colOff>
      <xdr:row>59</xdr:row>
      <xdr:rowOff>106659</xdr:rowOff>
    </xdr:from>
    <xdr:to>
      <xdr:col>30</xdr:col>
      <xdr:colOff>569353</xdr:colOff>
      <xdr:row>83</xdr:row>
      <xdr:rowOff>82847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4859276" y="614421"/>
          <a:ext cx="4238160" cy="5133709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пример построения виртуального расходомера на основе данных о потоке флюида в скважине (при наличии датчика в скважине).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 калибровочный коэффициент трубопровода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Восстановите значения дебита по данным измерения перепада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Всегда ли дебит можно восстановить однозначно? Какой разброс значений дебита можно получить?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Можно ли скомбинировать данные трубопровода и штуцера?</a:t>
          </a:r>
          <a:endParaRPr lang="ru-RU">
            <a:effectLst/>
          </a:endParaRP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11</xdr:col>
      <xdr:colOff>496955</xdr:colOff>
      <xdr:row>92</xdr:row>
      <xdr:rowOff>61289</xdr:rowOff>
    </xdr:from>
    <xdr:to>
      <xdr:col>20</xdr:col>
      <xdr:colOff>563216</xdr:colOff>
      <xdr:row>113</xdr:row>
      <xdr:rowOff>107672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70DB59CD-3FEC-491A-9797-E9BA643E1A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41413</xdr:colOff>
      <xdr:row>121</xdr:row>
      <xdr:rowOff>115956</xdr:rowOff>
    </xdr:from>
    <xdr:to>
      <xdr:col>21</xdr:col>
      <xdr:colOff>107674</xdr:colOff>
      <xdr:row>142</xdr:row>
      <xdr:rowOff>162339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3CAADE6D-2D69-4FF2-8FD4-D8862A41C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calibr_pipeline"/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BD145"/>
  <sheetViews>
    <sheetView tabSelected="1" zoomScale="115" zoomScaleNormal="115" workbookViewId="0">
      <selection activeCell="N20" sqref="N20"/>
    </sheetView>
  </sheetViews>
  <sheetFormatPr defaultRowHeight="15" x14ac:dyDescent="0.25"/>
  <cols>
    <col min="7" max="7" width="11" customWidth="1"/>
    <col min="9" max="9" width="10.42578125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7.25</v>
      </c>
      <c r="H1" t="s">
        <v>59</v>
      </c>
      <c r="I1" s="34">
        <v>44124</v>
      </c>
      <c r="J1" s="35"/>
      <c r="K1" s="35"/>
      <c r="L1" s="35"/>
    </row>
    <row r="2" spans="1:12" x14ac:dyDescent="0.25">
      <c r="A2" t="s">
        <v>73</v>
      </c>
      <c r="H2" t="s">
        <v>60</v>
      </c>
      <c r="I2" s="36">
        <v>7.25</v>
      </c>
      <c r="J2" s="35"/>
      <c r="K2" s="35"/>
      <c r="L2" s="35"/>
    </row>
    <row r="3" spans="1:12" x14ac:dyDescent="0.25">
      <c r="A3" s="37" t="s">
        <v>61</v>
      </c>
      <c r="B3" s="57" t="s">
        <v>62</v>
      </c>
      <c r="C3" s="58"/>
      <c r="D3" s="58"/>
      <c r="E3" s="59"/>
      <c r="H3" t="s">
        <v>63</v>
      </c>
      <c r="I3" s="35" t="s">
        <v>62</v>
      </c>
      <c r="J3" s="35"/>
      <c r="K3" s="35"/>
      <c r="L3" s="35"/>
    </row>
    <row r="4" spans="1:12" x14ac:dyDescent="0.25">
      <c r="A4" s="37" t="s">
        <v>64</v>
      </c>
      <c r="B4" s="57" t="s">
        <v>65</v>
      </c>
      <c r="C4" s="58"/>
      <c r="D4" s="58"/>
      <c r="E4" s="59"/>
      <c r="H4" t="s">
        <v>66</v>
      </c>
      <c r="I4" s="35" t="s">
        <v>65</v>
      </c>
      <c r="J4" s="35"/>
      <c r="K4" s="35"/>
      <c r="L4" s="35"/>
    </row>
    <row r="5" spans="1:12" x14ac:dyDescent="0.25">
      <c r="A5" s="37" t="s">
        <v>67</v>
      </c>
      <c r="B5" s="57" t="s">
        <v>68</v>
      </c>
      <c r="C5" s="58"/>
      <c r="D5" s="58"/>
      <c r="E5" s="59"/>
      <c r="H5" t="s">
        <v>69</v>
      </c>
      <c r="I5" s="35" t="s">
        <v>68</v>
      </c>
      <c r="J5" s="35"/>
      <c r="K5" s="35"/>
      <c r="L5" s="35"/>
    </row>
    <row r="6" spans="1:12" x14ac:dyDescent="0.25">
      <c r="A6" s="38" t="s">
        <v>70</v>
      </c>
      <c r="B6" s="60" t="s">
        <v>71</v>
      </c>
      <c r="C6" s="61"/>
      <c r="D6" s="61"/>
      <c r="E6" s="62"/>
      <c r="H6" s="39" t="s">
        <v>72</v>
      </c>
      <c r="I6" s="40" t="s">
        <v>71</v>
      </c>
      <c r="J6" s="40"/>
      <c r="K6" s="40"/>
      <c r="L6" s="40"/>
    </row>
    <row r="7" spans="1:12" x14ac:dyDescent="0.25">
      <c r="A7" s="41"/>
      <c r="B7" s="63"/>
      <c r="C7" s="64"/>
      <c r="D7" s="64"/>
      <c r="E7" s="65"/>
      <c r="H7" s="39"/>
      <c r="I7" s="40"/>
      <c r="J7" s="40"/>
      <c r="K7" s="40"/>
      <c r="L7" s="40"/>
    </row>
    <row r="8" spans="1:12" x14ac:dyDescent="0.25">
      <c r="A8" s="42"/>
      <c r="B8" s="66"/>
      <c r="C8" s="67"/>
      <c r="D8" s="67"/>
      <c r="E8" s="68"/>
      <c r="H8" s="39"/>
      <c r="I8" s="40"/>
      <c r="J8" s="40"/>
      <c r="K8" s="40"/>
      <c r="L8" s="40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150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19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19" ht="18.75" x14ac:dyDescent="0.35">
      <c r="B18" s="7" t="s">
        <v>17</v>
      </c>
      <c r="C18" s="3">
        <v>1.2</v>
      </c>
      <c r="D18" s="6" t="s">
        <v>8</v>
      </c>
    </row>
    <row r="19" spans="1:19" ht="18" x14ac:dyDescent="0.35">
      <c r="B19" s="9" t="s">
        <v>18</v>
      </c>
      <c r="C19" s="3">
        <v>1</v>
      </c>
      <c r="D19" s="4" t="s">
        <v>19</v>
      </c>
    </row>
    <row r="20" spans="1:19" x14ac:dyDescent="0.25">
      <c r="A20" s="1" t="s">
        <v>74</v>
      </c>
    </row>
    <row r="21" spans="1:19" ht="18" x14ac:dyDescent="0.35">
      <c r="B21" s="9" t="s">
        <v>75</v>
      </c>
      <c r="C21" s="3">
        <v>0</v>
      </c>
      <c r="D21" s="6"/>
    </row>
    <row r="22" spans="1:19" ht="18" x14ac:dyDescent="0.35">
      <c r="B22" s="9" t="s">
        <v>76</v>
      </c>
      <c r="C22" s="3">
        <v>50</v>
      </c>
      <c r="D22" s="4" t="s">
        <v>12</v>
      </c>
    </row>
    <row r="23" spans="1:19" ht="18" x14ac:dyDescent="0.35">
      <c r="B23" s="9" t="s">
        <v>77</v>
      </c>
      <c r="C23" s="3">
        <v>30</v>
      </c>
      <c r="D23" s="4" t="s">
        <v>15</v>
      </c>
    </row>
    <row r="24" spans="1:19" x14ac:dyDescent="0.25">
      <c r="A24" s="1" t="s">
        <v>20</v>
      </c>
    </row>
    <row r="25" spans="1:19" ht="15.75" x14ac:dyDescent="0.3">
      <c r="B25" s="9" t="s">
        <v>21</v>
      </c>
      <c r="C25" s="3">
        <v>0</v>
      </c>
      <c r="D25" s="6" t="s">
        <v>22</v>
      </c>
      <c r="F25" s="54" t="s">
        <v>78</v>
      </c>
      <c r="G25" s="55"/>
      <c r="H25" s="3">
        <v>0</v>
      </c>
    </row>
    <row r="26" spans="1:19" ht="18" customHeight="1" x14ac:dyDescent="0.35">
      <c r="B26" s="9" t="s">
        <v>49</v>
      </c>
      <c r="C26" s="3">
        <v>1000</v>
      </c>
      <c r="D26" s="6" t="s">
        <v>50</v>
      </c>
      <c r="F26" s="54" t="s">
        <v>79</v>
      </c>
      <c r="G26" s="55"/>
      <c r="H26" s="3">
        <v>0</v>
      </c>
    </row>
    <row r="27" spans="1:19" ht="15.75" customHeight="1" x14ac:dyDescent="0.3">
      <c r="B27" s="9" t="s">
        <v>23</v>
      </c>
      <c r="C27" s="3">
        <v>100</v>
      </c>
      <c r="D27" s="4" t="s">
        <v>24</v>
      </c>
      <c r="F27" s="54" t="s">
        <v>80</v>
      </c>
      <c r="G27" s="55"/>
      <c r="H27" s="3">
        <v>0</v>
      </c>
    </row>
    <row r="28" spans="1:19" ht="15" customHeight="1" x14ac:dyDescent="0.25">
      <c r="A28" s="49" t="s">
        <v>25</v>
      </c>
      <c r="B28" s="10"/>
      <c r="F28" s="54" t="s">
        <v>81</v>
      </c>
      <c r="G28" s="55"/>
      <c r="H28" s="3">
        <v>0</v>
      </c>
    </row>
    <row r="29" spans="1:19" ht="15" customHeight="1" x14ac:dyDescent="0.25">
      <c r="B29" s="9" t="s">
        <v>28</v>
      </c>
      <c r="C29" s="43">
        <v>20</v>
      </c>
      <c r="D29" s="6" t="s">
        <v>12</v>
      </c>
      <c r="F29" s="54" t="s">
        <v>86</v>
      </c>
      <c r="G29" s="55"/>
      <c r="H29" s="3">
        <v>0</v>
      </c>
      <c r="O29" s="32" cm="1">
        <f t="array" ref="O29:S30">[1]!MF_calibr_pipeline(P0,P1_,T0,E47:F56,inclinometry,H47:I57,qliq_,fw_,Qgas_free,PVTstr_,calc_flow_direction_,Hydr_corr_,temp_model,H31:H32,,,,calibr_type)</f>
        <v>0.6788177490234375</v>
      </c>
      <c r="P29" s="23" t="str">
        <v>calibr_grav</v>
      </c>
      <c r="Q29" s="23">
        <v>8.0931480158596969E-4</v>
      </c>
      <c r="R29" s="23">
        <v>16</v>
      </c>
      <c r="S29" s="24" t="str">
        <v>solve_equation_bisection: done by  16 iterations, tolerance 0,001</v>
      </c>
    </row>
    <row r="30" spans="1:19" x14ac:dyDescent="0.25">
      <c r="B30" s="9" t="s">
        <v>29</v>
      </c>
      <c r="C30" s="43">
        <v>180</v>
      </c>
      <c r="D30" s="6" t="s">
        <v>12</v>
      </c>
      <c r="F30" s="56" t="s">
        <v>82</v>
      </c>
      <c r="G30" s="56"/>
      <c r="O30" s="29" t="str">
        <v>solution</v>
      </c>
      <c r="P30" s="33" t="str">
        <v>cal_type</v>
      </c>
      <c r="Q30" s="33" t="str">
        <v>y_solution</v>
      </c>
      <c r="R30" s="33" t="str">
        <v>iterations</v>
      </c>
      <c r="S30" s="31" t="str">
        <v>description</v>
      </c>
    </row>
    <row r="31" spans="1:19" ht="15" customHeight="1" x14ac:dyDescent="0.25">
      <c r="B31" s="9" t="s">
        <v>30</v>
      </c>
      <c r="C31" s="3">
        <v>50</v>
      </c>
      <c r="D31" s="6" t="s">
        <v>31</v>
      </c>
      <c r="F31" s="54" t="s">
        <v>83</v>
      </c>
      <c r="G31" s="55"/>
      <c r="H31" s="3">
        <v>1</v>
      </c>
    </row>
    <row r="32" spans="1:19" ht="15" customHeight="1" x14ac:dyDescent="0.25">
      <c r="B32" s="9" t="s">
        <v>32</v>
      </c>
      <c r="C32" s="3">
        <v>50</v>
      </c>
      <c r="D32" s="6" t="s">
        <v>31</v>
      </c>
      <c r="F32" s="54" t="s">
        <v>84</v>
      </c>
      <c r="G32" s="55"/>
      <c r="H32" s="3">
        <v>1</v>
      </c>
    </row>
    <row r="34" spans="1:56" ht="30" x14ac:dyDescent="0.25">
      <c r="B34" s="11" t="s">
        <v>33</v>
      </c>
      <c r="C34" s="12" t="str">
        <f>[1]!PVT_encode_string(gamma_gas_,gamma_oil_,gamma_wat_,Rsb_,Rp_,Pb_,Tres_,Bob_,muob_,PVT_corr_,Ksep,Psep,Tsep,gas_only_)</f>
        <v>{"gamma_gas":0.8,"gamma_oil":0.87,"gamma_wat":1,"rsb_m3m3":80,"rp_m3m3":150,"pb_atma":120,"t_res_C":100,"bob_m3m3":1.2,"muob_cP":1,"PVTcorr":0,"ksep_fr":0,"p_ksep_atma":50,"t_ksep_C":30}</v>
      </c>
      <c r="D34" s="12"/>
      <c r="E34" s="12"/>
      <c r="F34" s="12"/>
      <c r="G34" s="12"/>
      <c r="H34" s="12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2"/>
    </row>
    <row r="36" spans="1:56" x14ac:dyDescent="0.25">
      <c r="A36" s="50" t="s">
        <v>34</v>
      </c>
      <c r="B36" s="51"/>
      <c r="C36" s="51"/>
      <c r="D36" s="51"/>
      <c r="F36" s="13" t="s">
        <v>53</v>
      </c>
      <c r="G36" s="14"/>
      <c r="H36" s="14"/>
      <c r="K36" t="s">
        <v>55</v>
      </c>
      <c r="W36" t="s">
        <v>56</v>
      </c>
    </row>
    <row r="37" spans="1:56" ht="18" x14ac:dyDescent="0.35">
      <c r="B37" s="6" t="s">
        <v>35</v>
      </c>
      <c r="C37" s="52">
        <v>3500</v>
      </c>
      <c r="D37" s="53" t="s">
        <v>26</v>
      </c>
      <c r="K37" s="32" cm="1">
        <f t="array" ref="K37:S59">[1]!MF_p_pipeline_atma(P0,T0,E47:F49,B47:C69,H47:I49,qliq_,fw_,Qgas_free,PVTstr_,calc_flow_direction_,Hydr_corr_,temp_model,,,,,,znlf)</f>
        <v>255.93067783221738</v>
      </c>
      <c r="L37" s="23">
        <v>90</v>
      </c>
      <c r="M37" s="23">
        <v>20</v>
      </c>
      <c r="N37" s="23">
        <v>20</v>
      </c>
      <c r="O37" s="23">
        <v>255.93067783221738</v>
      </c>
      <c r="P37" s="23">
        <v>90</v>
      </c>
      <c r="Q37" s="23">
        <v>1</v>
      </c>
      <c r="R37" s="23">
        <v>1</v>
      </c>
      <c r="S37" s="24">
        <v>1000</v>
      </c>
      <c r="T37" s="14"/>
      <c r="U37" s="14"/>
      <c r="V37" s="14"/>
      <c r="W37" s="32" cm="1">
        <f t="array" ref="W37:AE59">[1]!MF_p_pipeline_atma(P1_,T0,E47:F54,inclinometry,H47:I53,qliq_,fw_,Qgas_free,PVTstr_,calc_flow_direction1_,Hydr_corr_,temp_model,,,,,,znlf)</f>
        <v>0.8799012306796421</v>
      </c>
      <c r="X37" s="23">
        <v>20</v>
      </c>
      <c r="Y37" s="23">
        <v>0.8799012306796421</v>
      </c>
      <c r="Z37" s="23">
        <v>20</v>
      </c>
      <c r="AA37" s="23">
        <v>180</v>
      </c>
      <c r="AB37" s="23">
        <v>90</v>
      </c>
      <c r="AC37" s="23">
        <v>1</v>
      </c>
      <c r="AD37" s="23">
        <v>1</v>
      </c>
      <c r="AE37" s="24">
        <v>1000</v>
      </c>
    </row>
    <row r="38" spans="1:56" ht="18" customHeight="1" x14ac:dyDescent="0.35">
      <c r="B38" s="6" t="s">
        <v>36</v>
      </c>
      <c r="C38" s="52">
        <v>2500</v>
      </c>
      <c r="D38" s="53" t="s">
        <v>37</v>
      </c>
      <c r="F38" s="46"/>
      <c r="G38" s="47" t="s">
        <v>48</v>
      </c>
      <c r="H38" s="3">
        <v>1</v>
      </c>
      <c r="K38" s="25" t="str">
        <v>p_result_atma</v>
      </c>
      <c r="L38" s="26" t="str">
        <v>t_result_C</v>
      </c>
      <c r="M38" s="26" t="str">
        <v>p_1, atma</v>
      </c>
      <c r="N38" s="26" t="str">
        <v>t_1, C</v>
      </c>
      <c r="O38" s="26" t="str">
        <v>p_2, atma</v>
      </c>
      <c r="P38" s="26" t="str">
        <v>t_2, C</v>
      </c>
      <c r="Q38" s="26" t="str">
        <v>c_calibr_grav</v>
      </c>
      <c r="R38" s="26" t="str">
        <v>c_calibr_fric</v>
      </c>
      <c r="S38" s="27" t="str">
        <v>q_gas_sm3day</v>
      </c>
      <c r="T38" s="14"/>
      <c r="U38" s="14"/>
      <c r="V38" s="14"/>
      <c r="W38" s="25" t="str">
        <v>p_result_atma</v>
      </c>
      <c r="X38" s="26" t="str">
        <v>t_result_C</v>
      </c>
      <c r="Y38" s="26" t="str">
        <v>p_1, atma</v>
      </c>
      <c r="Z38" s="26" t="str">
        <v>t_1, C</v>
      </c>
      <c r="AA38" s="26" t="str">
        <v>p_2, atma</v>
      </c>
      <c r="AB38" s="26" t="str">
        <v>t_2, C</v>
      </c>
      <c r="AC38" s="26" t="str">
        <v>c_calibr_grav</v>
      </c>
      <c r="AD38" s="26" t="str">
        <v>c_calibr_fric</v>
      </c>
      <c r="AE38" s="27" t="str">
        <v>q_gas_sm3day</v>
      </c>
    </row>
    <row r="39" spans="1:56" ht="18" customHeight="1" x14ac:dyDescent="0.35">
      <c r="B39" s="6" t="s">
        <v>38</v>
      </c>
      <c r="C39" s="52">
        <v>140</v>
      </c>
      <c r="D39" s="53" t="s">
        <v>27</v>
      </c>
      <c r="F39" s="46"/>
      <c r="G39" s="47" t="s">
        <v>46</v>
      </c>
      <c r="H39" s="3">
        <v>1</v>
      </c>
      <c r="I39" s="3">
        <v>0</v>
      </c>
      <c r="K39" s="25" t="str">
        <v>num</v>
      </c>
      <c r="L39" s="26" t="str">
        <v>h,m</v>
      </c>
      <c r="M39" s="26" t="str">
        <v>hvert,m</v>
      </c>
      <c r="N39" s="26" t="str">
        <v>p,atma</v>
      </c>
      <c r="O39" s="26" t="str">
        <v>t,C</v>
      </c>
      <c r="P39" s="26" t="str">
        <v>Hl</v>
      </c>
      <c r="Q39" s="26" t="str">
        <v>fpat</v>
      </c>
      <c r="R39" s="26" t="str">
        <v>t_amb, C</v>
      </c>
      <c r="S39" s="27" t="str">
        <v>diam, m</v>
      </c>
      <c r="T39" s="44" t="s">
        <v>52</v>
      </c>
      <c r="U39" s="44" t="s">
        <v>57</v>
      </c>
      <c r="V39" s="44" t="s">
        <v>58</v>
      </c>
      <c r="W39" s="25" t="str">
        <v>num</v>
      </c>
      <c r="X39" s="26" t="str">
        <v>h,m</v>
      </c>
      <c r="Y39" s="26" t="str">
        <v>hvert,m</v>
      </c>
      <c r="Z39" s="26" t="str">
        <v>p,atma</v>
      </c>
      <c r="AA39" s="26" t="str">
        <v>t,C</v>
      </c>
      <c r="AB39" s="26" t="str">
        <v>Hl</v>
      </c>
      <c r="AC39" s="26" t="str">
        <v>fpat</v>
      </c>
      <c r="AD39" s="26" t="str">
        <v>t_amb, C</v>
      </c>
      <c r="AE39" s="27" t="str">
        <v>diam, m</v>
      </c>
    </row>
    <row r="40" spans="1:56" ht="18" customHeight="1" x14ac:dyDescent="0.35">
      <c r="B40" s="6" t="s">
        <v>39</v>
      </c>
      <c r="C40" s="52">
        <v>65</v>
      </c>
      <c r="D40" s="53" t="s">
        <v>27</v>
      </c>
      <c r="F40" s="46"/>
      <c r="G40" s="47" t="s">
        <v>47</v>
      </c>
      <c r="H40" s="3">
        <v>0</v>
      </c>
      <c r="I40" s="3">
        <v>0</v>
      </c>
      <c r="K40" s="25">
        <v>1</v>
      </c>
      <c r="L40" s="28">
        <v>0</v>
      </c>
      <c r="M40" s="28">
        <v>0</v>
      </c>
      <c r="N40" s="28">
        <v>20</v>
      </c>
      <c r="O40" s="28">
        <v>20</v>
      </c>
      <c r="P40" s="28">
        <v>1</v>
      </c>
      <c r="Q40" s="28">
        <v>0</v>
      </c>
      <c r="R40" s="28">
        <v>20</v>
      </c>
      <c r="S40" s="27">
        <v>6.2E-2</v>
      </c>
      <c r="T40" s="45">
        <f t="shared" ref="T40:T59" si="0">L40-M40</f>
        <v>0</v>
      </c>
      <c r="U40" s="44">
        <f t="shared" ref="U40:U59" si="1">-S40/2</f>
        <v>-3.1E-2</v>
      </c>
      <c r="V40" s="44">
        <f>-U40</f>
        <v>3.1E-2</v>
      </c>
      <c r="W40" s="25">
        <v>1</v>
      </c>
      <c r="X40" s="28">
        <v>0</v>
      </c>
      <c r="Y40" s="28">
        <v>0</v>
      </c>
      <c r="Z40" s="28">
        <v>0.8799012306796421</v>
      </c>
      <c r="AA40" s="28">
        <v>20</v>
      </c>
      <c r="AB40" s="28">
        <v>0</v>
      </c>
      <c r="AC40" s="28">
        <v>0</v>
      </c>
      <c r="AD40" s="28">
        <v>20</v>
      </c>
      <c r="AE40" s="27">
        <v>6.2E-2</v>
      </c>
    </row>
    <row r="41" spans="1:56" ht="18" customHeight="1" x14ac:dyDescent="0.35">
      <c r="B41" s="6" t="s">
        <v>40</v>
      </c>
      <c r="C41" s="52">
        <v>12</v>
      </c>
      <c r="D41" s="53" t="s">
        <v>27</v>
      </c>
      <c r="F41" s="46"/>
      <c r="G41" s="48" t="s">
        <v>85</v>
      </c>
      <c r="H41" s="5">
        <f>calc_along_coord*10+flow_along_coord</f>
        <v>10</v>
      </c>
      <c r="I41" s="5">
        <f>calc_along_coord1*10+flow_along_coord1</f>
        <v>0</v>
      </c>
      <c r="K41" s="25">
        <v>2</v>
      </c>
      <c r="L41" s="28">
        <v>184.21052631578948</v>
      </c>
      <c r="M41" s="28">
        <v>184.21052631578948</v>
      </c>
      <c r="N41" s="28">
        <v>37.810780107631736</v>
      </c>
      <c r="O41" s="28">
        <v>21.842105263157894</v>
      </c>
      <c r="P41" s="28">
        <v>1</v>
      </c>
      <c r="Q41" s="28">
        <v>0</v>
      </c>
      <c r="R41" s="28">
        <v>21.842105263157894</v>
      </c>
      <c r="S41" s="27">
        <v>6.2E-2</v>
      </c>
      <c r="T41" s="45">
        <f t="shared" si="0"/>
        <v>0</v>
      </c>
      <c r="U41" s="44">
        <f t="shared" si="1"/>
        <v>-3.1E-2</v>
      </c>
      <c r="V41" s="44">
        <f t="shared" ref="V41:V59" si="2">-U41</f>
        <v>3.1E-2</v>
      </c>
      <c r="W41" s="25">
        <v>2</v>
      </c>
      <c r="X41" s="28">
        <v>184.21052631578948</v>
      </c>
      <c r="Y41" s="28">
        <v>184.21052631578948</v>
      </c>
      <c r="Z41" s="28">
        <v>0.8799012306796421</v>
      </c>
      <c r="AA41" s="28">
        <v>21.842105263157894</v>
      </c>
      <c r="AB41" s="28">
        <v>0.30701754385964913</v>
      </c>
      <c r="AC41" s="28">
        <v>0</v>
      </c>
      <c r="AD41" s="28">
        <v>21.842105263157894</v>
      </c>
      <c r="AE41" s="27">
        <v>6.2E-2</v>
      </c>
    </row>
    <row r="42" spans="1:56" x14ac:dyDescent="0.25">
      <c r="G42" s="10"/>
      <c r="K42" s="25">
        <v>3</v>
      </c>
      <c r="L42" s="28">
        <v>368.42105263157896</v>
      </c>
      <c r="M42" s="28">
        <v>368.42105263157896</v>
      </c>
      <c r="N42" s="28">
        <v>55.61280875437766</v>
      </c>
      <c r="O42" s="28">
        <v>23.684210526315791</v>
      </c>
      <c r="P42" s="28">
        <v>1</v>
      </c>
      <c r="Q42" s="28">
        <v>0</v>
      </c>
      <c r="R42" s="28">
        <v>23.684210526315791</v>
      </c>
      <c r="S42" s="27">
        <v>6.2E-2</v>
      </c>
      <c r="T42" s="45">
        <f t="shared" si="0"/>
        <v>0</v>
      </c>
      <c r="U42" s="44">
        <f t="shared" si="1"/>
        <v>-3.1E-2</v>
      </c>
      <c r="V42" s="44">
        <f t="shared" si="2"/>
        <v>3.1E-2</v>
      </c>
      <c r="W42" s="25">
        <v>3</v>
      </c>
      <c r="X42" s="28">
        <v>368.42105263157896</v>
      </c>
      <c r="Y42" s="28">
        <v>368.42105263157896</v>
      </c>
      <c r="Z42" s="28">
        <v>0.8799012306796421</v>
      </c>
      <c r="AA42" s="28">
        <v>23.684210526315791</v>
      </c>
      <c r="AB42" s="28">
        <v>0.61403508771929827</v>
      </c>
      <c r="AC42" s="28">
        <v>0</v>
      </c>
      <c r="AD42" s="28">
        <v>23.684210526315791</v>
      </c>
      <c r="AE42" s="27">
        <v>6.2E-2</v>
      </c>
    </row>
    <row r="43" spans="1:56" x14ac:dyDescent="0.25">
      <c r="G43" s="10"/>
      <c r="K43" s="25">
        <v>4</v>
      </c>
      <c r="L43" s="28">
        <v>552.63157894736844</v>
      </c>
      <c r="M43" s="28">
        <v>552.63157894736844</v>
      </c>
      <c r="N43" s="28">
        <v>73.406520349187403</v>
      </c>
      <c r="O43" s="28">
        <v>25.526315789473685</v>
      </c>
      <c r="P43" s="28">
        <v>1</v>
      </c>
      <c r="Q43" s="28">
        <v>0</v>
      </c>
      <c r="R43" s="28">
        <v>25.526315789473685</v>
      </c>
      <c r="S43" s="27">
        <v>6.2E-2</v>
      </c>
      <c r="T43" s="45">
        <f t="shared" si="0"/>
        <v>0</v>
      </c>
      <c r="U43" s="44">
        <f t="shared" si="1"/>
        <v>-3.1E-2</v>
      </c>
      <c r="V43" s="44">
        <f t="shared" si="2"/>
        <v>3.1E-2</v>
      </c>
      <c r="W43" s="25">
        <v>4</v>
      </c>
      <c r="X43" s="28">
        <v>552.63157894736844</v>
      </c>
      <c r="Y43" s="28">
        <v>552.63157894736844</v>
      </c>
      <c r="Z43" s="28">
        <v>1.6551021837486524</v>
      </c>
      <c r="AA43" s="28">
        <v>25.526315789473685</v>
      </c>
      <c r="AB43" s="28">
        <v>0.92105263157894746</v>
      </c>
      <c r="AC43" s="28">
        <v>0</v>
      </c>
      <c r="AD43" s="28">
        <v>25.526315789473685</v>
      </c>
      <c r="AE43" s="27">
        <v>6.2E-2</v>
      </c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</row>
    <row r="44" spans="1:56" x14ac:dyDescent="0.25">
      <c r="B44" s="51" t="s">
        <v>41</v>
      </c>
      <c r="C44" s="51"/>
      <c r="E44" t="s">
        <v>54</v>
      </c>
      <c r="G44" s="10"/>
      <c r="H44" t="s">
        <v>51</v>
      </c>
      <c r="I44" s="10"/>
      <c r="K44" s="25">
        <v>5</v>
      </c>
      <c r="L44" s="28">
        <v>736.84210526315792</v>
      </c>
      <c r="M44" s="28">
        <v>736.84210526315792</v>
      </c>
      <c r="N44" s="28">
        <v>91.19235283345472</v>
      </c>
      <c r="O44" s="28">
        <v>27.368421052631579</v>
      </c>
      <c r="P44" s="28">
        <v>1</v>
      </c>
      <c r="Q44" s="28">
        <v>0</v>
      </c>
      <c r="R44" s="28">
        <v>27.368421052631579</v>
      </c>
      <c r="S44" s="27">
        <v>6.2E-2</v>
      </c>
      <c r="T44" s="45">
        <f t="shared" si="0"/>
        <v>0</v>
      </c>
      <c r="U44" s="44">
        <f t="shared" si="1"/>
        <v>-3.1E-2</v>
      </c>
      <c r="V44" s="44">
        <f t="shared" si="2"/>
        <v>3.1E-2</v>
      </c>
      <c r="W44" s="25">
        <v>5</v>
      </c>
      <c r="X44" s="28">
        <v>736.84210526315792</v>
      </c>
      <c r="Y44" s="28">
        <v>736.84210526315792</v>
      </c>
      <c r="Z44" s="28">
        <v>15.551627022755639</v>
      </c>
      <c r="AA44" s="28">
        <v>27.368421052631579</v>
      </c>
      <c r="AB44" s="28">
        <v>1</v>
      </c>
      <c r="AC44" s="28">
        <v>0</v>
      </c>
      <c r="AD44" s="28">
        <v>27.368421052631579</v>
      </c>
      <c r="AE44" s="27">
        <v>6.2E-2</v>
      </c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</row>
    <row r="45" spans="1:56" ht="18" x14ac:dyDescent="0.35">
      <c r="B45" s="17" t="s">
        <v>42</v>
      </c>
      <c r="C45" s="17" t="s">
        <v>43</v>
      </c>
      <c r="E45" s="17" t="s">
        <v>43</v>
      </c>
      <c r="F45" s="17" t="s">
        <v>44</v>
      </c>
      <c r="G45" s="10"/>
      <c r="H45" s="17" t="s">
        <v>42</v>
      </c>
      <c r="I45" s="15" t="s">
        <v>45</v>
      </c>
      <c r="K45" s="25">
        <v>6</v>
      </c>
      <c r="L45" s="28">
        <v>921.0526315789474</v>
      </c>
      <c r="M45" s="28">
        <v>921.0526315789474</v>
      </c>
      <c r="N45" s="28">
        <v>108.94359148234992</v>
      </c>
      <c r="O45" s="28">
        <v>29.210526315789473</v>
      </c>
      <c r="P45" s="28">
        <v>1</v>
      </c>
      <c r="Q45" s="28">
        <v>0</v>
      </c>
      <c r="R45" s="28">
        <v>29.210526315789473</v>
      </c>
      <c r="S45" s="27">
        <v>6.2E-2</v>
      </c>
      <c r="T45" s="45">
        <f t="shared" si="0"/>
        <v>0</v>
      </c>
      <c r="U45" s="44">
        <f t="shared" si="1"/>
        <v>-3.1E-2</v>
      </c>
      <c r="V45" s="44">
        <f t="shared" si="2"/>
        <v>3.1E-2</v>
      </c>
      <c r="W45" s="25">
        <v>6</v>
      </c>
      <c r="X45" s="28">
        <v>921.0526315789474</v>
      </c>
      <c r="Y45" s="28">
        <v>921.0526315789474</v>
      </c>
      <c r="Z45" s="28">
        <v>33.283982202789716</v>
      </c>
      <c r="AA45" s="28">
        <v>29.210526315789473</v>
      </c>
      <c r="AB45" s="28">
        <v>1</v>
      </c>
      <c r="AC45" s="28">
        <v>0</v>
      </c>
      <c r="AD45" s="28">
        <v>29.210526315789473</v>
      </c>
      <c r="AE45" s="27">
        <v>6.2E-2</v>
      </c>
    </row>
    <row r="46" spans="1:56" x14ac:dyDescent="0.25">
      <c r="B46" s="17" t="s">
        <v>26</v>
      </c>
      <c r="C46" s="17" t="s">
        <v>26</v>
      </c>
      <c r="E46" s="17" t="s">
        <v>26</v>
      </c>
      <c r="F46" s="17" t="s">
        <v>37</v>
      </c>
      <c r="G46" s="10"/>
      <c r="H46" s="17" t="s">
        <v>26</v>
      </c>
      <c r="I46" s="17" t="s">
        <v>27</v>
      </c>
      <c r="K46" s="25">
        <v>7</v>
      </c>
      <c r="L46" s="28">
        <v>1105.2631578947369</v>
      </c>
      <c r="M46" s="28">
        <v>1101</v>
      </c>
      <c r="N46" s="28">
        <v>126.1496370869895</v>
      </c>
      <c r="O46" s="28">
        <v>31.01</v>
      </c>
      <c r="P46" s="28">
        <v>1</v>
      </c>
      <c r="Q46" s="28">
        <v>0</v>
      </c>
      <c r="R46" s="28">
        <v>31.01</v>
      </c>
      <c r="S46" s="27">
        <v>6.2E-2</v>
      </c>
      <c r="T46" s="45">
        <f t="shared" si="0"/>
        <v>4.263157894736878</v>
      </c>
      <c r="U46" s="44">
        <f t="shared" si="1"/>
        <v>-3.1E-2</v>
      </c>
      <c r="V46" s="44">
        <f t="shared" si="2"/>
        <v>3.1E-2</v>
      </c>
      <c r="W46" s="25">
        <v>7</v>
      </c>
      <c r="X46" s="28">
        <v>1105.2631578947369</v>
      </c>
      <c r="Y46" s="28">
        <v>1101</v>
      </c>
      <c r="Z46" s="28">
        <v>50.469232738295531</v>
      </c>
      <c r="AA46" s="28">
        <v>31.01</v>
      </c>
      <c r="AB46" s="28">
        <v>1</v>
      </c>
      <c r="AC46" s="28">
        <v>0</v>
      </c>
      <c r="AD46" s="28">
        <v>31.01</v>
      </c>
      <c r="AE46" s="27">
        <v>6.2E-2</v>
      </c>
    </row>
    <row r="47" spans="1:56" x14ac:dyDescent="0.25">
      <c r="B47" s="16">
        <v>0</v>
      </c>
      <c r="C47" s="16">
        <v>0</v>
      </c>
      <c r="E47" s="18">
        <v>0</v>
      </c>
      <c r="F47" s="18">
        <v>20</v>
      </c>
      <c r="G47" s="10"/>
      <c r="H47" s="18">
        <v>0</v>
      </c>
      <c r="I47" s="19">
        <v>62</v>
      </c>
      <c r="K47" s="25">
        <v>8</v>
      </c>
      <c r="L47" s="28">
        <v>1289.4736842105262</v>
      </c>
      <c r="M47" s="28">
        <v>1274.2105263157894</v>
      </c>
      <c r="N47" s="28">
        <v>142.68029374802444</v>
      </c>
      <c r="O47" s="28">
        <v>32.742105263157896</v>
      </c>
      <c r="P47" s="28">
        <v>1</v>
      </c>
      <c r="Q47" s="28">
        <v>0</v>
      </c>
      <c r="R47" s="28">
        <v>32.742105263157896</v>
      </c>
      <c r="S47" s="27">
        <v>6.2E-2</v>
      </c>
      <c r="T47" s="45">
        <f t="shared" si="0"/>
        <v>15.263157894736878</v>
      </c>
      <c r="U47" s="44">
        <f t="shared" si="1"/>
        <v>-3.1E-2</v>
      </c>
      <c r="V47" s="44">
        <f t="shared" si="2"/>
        <v>3.1E-2</v>
      </c>
      <c r="W47" s="25">
        <v>8</v>
      </c>
      <c r="X47" s="28">
        <v>1289.4736842105262</v>
      </c>
      <c r="Y47" s="28">
        <v>1274.2105263157894</v>
      </c>
      <c r="Z47" s="28">
        <v>66.977510397790766</v>
      </c>
      <c r="AA47" s="28">
        <v>32.742105263157896</v>
      </c>
      <c r="AB47" s="28">
        <v>1</v>
      </c>
      <c r="AC47" s="28">
        <v>0</v>
      </c>
      <c r="AD47" s="28">
        <v>32.742105263157896</v>
      </c>
      <c r="AE47" s="27">
        <v>6.2E-2</v>
      </c>
    </row>
    <row r="48" spans="1:56" x14ac:dyDescent="0.25">
      <c r="B48" s="16">
        <v>1000</v>
      </c>
      <c r="C48" s="16">
        <v>1000</v>
      </c>
      <c r="E48" s="18">
        <v>1500</v>
      </c>
      <c r="F48" s="18">
        <v>35</v>
      </c>
      <c r="G48" s="10"/>
      <c r="H48" s="18">
        <v>2500</v>
      </c>
      <c r="I48" s="19">
        <v>125</v>
      </c>
      <c r="K48" s="25">
        <v>9</v>
      </c>
      <c r="L48" s="28">
        <v>1473.6842105263158</v>
      </c>
      <c r="M48" s="28">
        <v>1440.578947368421</v>
      </c>
      <c r="N48" s="28">
        <v>158.54439688072938</v>
      </c>
      <c r="O48" s="28">
        <v>34.405789473684209</v>
      </c>
      <c r="P48" s="28">
        <v>1</v>
      </c>
      <c r="Q48" s="28">
        <v>0</v>
      </c>
      <c r="R48" s="28">
        <v>34.405789473684209</v>
      </c>
      <c r="S48" s="27">
        <v>6.2E-2</v>
      </c>
      <c r="T48" s="45">
        <f t="shared" si="0"/>
        <v>33.105263157894797</v>
      </c>
      <c r="U48" s="44">
        <f t="shared" si="1"/>
        <v>-3.1E-2</v>
      </c>
      <c r="V48" s="44">
        <f t="shared" si="2"/>
        <v>3.1E-2</v>
      </c>
      <c r="W48" s="25">
        <v>9</v>
      </c>
      <c r="X48" s="28">
        <v>1473.6842105263158</v>
      </c>
      <c r="Y48" s="28">
        <v>1440.578947368421</v>
      </c>
      <c r="Z48" s="28">
        <v>82.817951227708122</v>
      </c>
      <c r="AA48" s="28">
        <v>34.405789473684209</v>
      </c>
      <c r="AB48" s="28">
        <v>1</v>
      </c>
      <c r="AC48" s="28">
        <v>0</v>
      </c>
      <c r="AD48" s="28">
        <v>34.405789473684209</v>
      </c>
      <c r="AE48" s="27">
        <v>6.2E-2</v>
      </c>
    </row>
    <row r="49" spans="2:31" x14ac:dyDescent="0.25">
      <c r="B49" s="16">
        <v>1100</v>
      </c>
      <c r="C49" s="16">
        <v>1096</v>
      </c>
      <c r="E49" s="18">
        <v>2500</v>
      </c>
      <c r="F49" s="18">
        <v>90</v>
      </c>
      <c r="G49" s="10"/>
      <c r="H49" s="18">
        <v>4000</v>
      </c>
      <c r="I49" s="19">
        <v>125</v>
      </c>
      <c r="K49" s="25">
        <v>10</v>
      </c>
      <c r="L49" s="28">
        <v>1657.8947368421054</v>
      </c>
      <c r="M49" s="28">
        <v>1600.2105263157896</v>
      </c>
      <c r="N49" s="28">
        <v>173.74326198506955</v>
      </c>
      <c r="O49" s="28">
        <v>40.511578947368434</v>
      </c>
      <c r="P49" s="28">
        <v>1</v>
      </c>
      <c r="Q49" s="28">
        <v>0</v>
      </c>
      <c r="R49" s="28">
        <v>40.511578947368434</v>
      </c>
      <c r="S49" s="27">
        <v>6.2E-2</v>
      </c>
      <c r="T49" s="45">
        <f t="shared" si="0"/>
        <v>57.684210526315837</v>
      </c>
      <c r="U49" s="44">
        <f t="shared" si="1"/>
        <v>-3.1E-2</v>
      </c>
      <c r="V49" s="44">
        <f t="shared" si="2"/>
        <v>3.1E-2</v>
      </c>
      <c r="W49" s="25">
        <v>10</v>
      </c>
      <c r="X49" s="28">
        <v>1657.8947368421054</v>
      </c>
      <c r="Y49" s="28">
        <v>1600.2105263157896</v>
      </c>
      <c r="Z49" s="28">
        <v>97.992023451323789</v>
      </c>
      <c r="AA49" s="28">
        <v>40.511578947368434</v>
      </c>
      <c r="AB49" s="28">
        <v>1</v>
      </c>
      <c r="AC49" s="28">
        <v>0</v>
      </c>
      <c r="AD49" s="28">
        <v>40.511578947368434</v>
      </c>
      <c r="AE49" s="27">
        <v>6.2E-2</v>
      </c>
    </row>
    <row r="50" spans="2:31" x14ac:dyDescent="0.25">
      <c r="B50" s="16">
        <v>1200</v>
      </c>
      <c r="C50" s="16">
        <v>1191</v>
      </c>
      <c r="E50" s="18"/>
      <c r="F50" s="18"/>
      <c r="G50" s="10"/>
      <c r="H50" s="18"/>
      <c r="I50" s="18"/>
      <c r="K50" s="25">
        <v>11</v>
      </c>
      <c r="L50" s="28">
        <v>1842.1052631578948</v>
      </c>
      <c r="M50" s="28">
        <v>1753.1052631578948</v>
      </c>
      <c r="N50" s="28">
        <v>188.2494052480541</v>
      </c>
      <c r="O50" s="28">
        <v>48.920789473684216</v>
      </c>
      <c r="P50" s="28">
        <v>1</v>
      </c>
      <c r="Q50" s="28">
        <v>0</v>
      </c>
      <c r="R50" s="28">
        <v>48.920789473684216</v>
      </c>
      <c r="S50" s="27">
        <v>6.2E-2</v>
      </c>
      <c r="T50" s="45">
        <f t="shared" si="0"/>
        <v>89</v>
      </c>
      <c r="U50" s="44">
        <f t="shared" si="1"/>
        <v>-3.1E-2</v>
      </c>
      <c r="V50" s="44">
        <f t="shared" si="2"/>
        <v>3.1E-2</v>
      </c>
      <c r="W50" s="25">
        <v>11</v>
      </c>
      <c r="X50" s="28">
        <v>1842.1052631578948</v>
      </c>
      <c r="Y50" s="28">
        <v>1753.1052631578948</v>
      </c>
      <c r="Z50" s="28">
        <v>112.47218425223299</v>
      </c>
      <c r="AA50" s="28">
        <v>48.920789473684216</v>
      </c>
      <c r="AB50" s="28">
        <v>1</v>
      </c>
      <c r="AC50" s="28">
        <v>0</v>
      </c>
      <c r="AD50" s="28">
        <v>48.920789473684216</v>
      </c>
      <c r="AE50" s="27">
        <v>6.2E-2</v>
      </c>
    </row>
    <row r="51" spans="2:31" x14ac:dyDescent="0.25">
      <c r="B51" s="16">
        <v>1300</v>
      </c>
      <c r="C51" s="16">
        <v>1284</v>
      </c>
      <c r="E51" s="18"/>
      <c r="F51" s="18"/>
      <c r="G51" s="10"/>
      <c r="H51" s="18"/>
      <c r="I51" s="18"/>
      <c r="K51" s="25">
        <v>12</v>
      </c>
      <c r="L51" s="28">
        <v>2026.3157894736842</v>
      </c>
      <c r="M51" s="28">
        <v>1899.2631578947369</v>
      </c>
      <c r="N51" s="28">
        <v>202.06226215817546</v>
      </c>
      <c r="O51" s="28">
        <v>56.959473684210522</v>
      </c>
      <c r="P51" s="28">
        <v>1</v>
      </c>
      <c r="Q51" s="28">
        <v>0</v>
      </c>
      <c r="R51" s="28">
        <v>56.959473684210522</v>
      </c>
      <c r="S51" s="27">
        <v>6.2E-2</v>
      </c>
      <c r="T51" s="45">
        <f t="shared" si="0"/>
        <v>127.05263157894728</v>
      </c>
      <c r="U51" s="44">
        <f t="shared" si="1"/>
        <v>-3.1E-2</v>
      </c>
      <c r="V51" s="44">
        <f t="shared" si="2"/>
        <v>3.1E-2</v>
      </c>
      <c r="W51" s="25">
        <v>12</v>
      </c>
      <c r="X51" s="28">
        <v>2026.3157894736842</v>
      </c>
      <c r="Y51" s="28">
        <v>1899.2631578947369</v>
      </c>
      <c r="Z51" s="28">
        <v>126.25810274876638</v>
      </c>
      <c r="AA51" s="28">
        <v>56.959473684210522</v>
      </c>
      <c r="AB51" s="28">
        <v>1</v>
      </c>
      <c r="AC51" s="28">
        <v>0</v>
      </c>
      <c r="AD51" s="28">
        <v>56.959473684210522</v>
      </c>
      <c r="AE51" s="27">
        <v>6.2E-2</v>
      </c>
    </row>
    <row r="52" spans="2:31" x14ac:dyDescent="0.25">
      <c r="B52" s="16">
        <v>1400</v>
      </c>
      <c r="C52" s="16">
        <v>1375</v>
      </c>
      <c r="E52" s="18"/>
      <c r="F52" s="18"/>
      <c r="G52" s="10"/>
      <c r="H52" s="18"/>
      <c r="I52" s="18"/>
      <c r="K52" s="25">
        <v>13</v>
      </c>
      <c r="L52" s="28">
        <v>2210.5263157894738</v>
      </c>
      <c r="M52" s="28">
        <v>2038.6842105263158</v>
      </c>
      <c r="N52" s="28">
        <v>215.18607222236952</v>
      </c>
      <c r="O52" s="28">
        <v>64.627631578947373</v>
      </c>
      <c r="P52" s="28">
        <v>1</v>
      </c>
      <c r="Q52" s="28">
        <v>0</v>
      </c>
      <c r="R52" s="28">
        <v>64.627631578947373</v>
      </c>
      <c r="S52" s="27">
        <v>6.2E-2</v>
      </c>
      <c r="T52" s="45">
        <f t="shared" si="0"/>
        <v>171.84210526315792</v>
      </c>
      <c r="U52" s="44">
        <f t="shared" si="1"/>
        <v>-3.1E-2</v>
      </c>
      <c r="V52" s="44">
        <f t="shared" si="2"/>
        <v>3.1E-2</v>
      </c>
      <c r="W52" s="25">
        <v>13</v>
      </c>
      <c r="X52" s="28">
        <v>2210.5263157894738</v>
      </c>
      <c r="Y52" s="28">
        <v>2038.6842105263158</v>
      </c>
      <c r="Z52" s="28">
        <v>139.35429443960462</v>
      </c>
      <c r="AA52" s="28">
        <v>64.627631578947373</v>
      </c>
      <c r="AB52" s="28">
        <v>1</v>
      </c>
      <c r="AC52" s="28">
        <v>0</v>
      </c>
      <c r="AD52" s="28">
        <v>64.627631578947373</v>
      </c>
      <c r="AE52" s="27">
        <v>6.2E-2</v>
      </c>
    </row>
    <row r="53" spans="2:31" x14ac:dyDescent="0.25">
      <c r="B53" s="16">
        <v>1500</v>
      </c>
      <c r="C53" s="16">
        <v>1464</v>
      </c>
      <c r="E53" s="18"/>
      <c r="F53" s="18"/>
      <c r="G53" s="10"/>
      <c r="H53" s="18"/>
      <c r="I53" s="18"/>
      <c r="K53" s="25">
        <v>14</v>
      </c>
      <c r="L53" s="28">
        <v>2394.7368421052633</v>
      </c>
      <c r="M53" s="28">
        <v>2171.2631578947371</v>
      </c>
      <c r="N53" s="28">
        <v>227.61476064849097</v>
      </c>
      <c r="O53" s="28">
        <v>71.91947368421053</v>
      </c>
      <c r="P53" s="28">
        <v>1</v>
      </c>
      <c r="Q53" s="28">
        <v>0</v>
      </c>
      <c r="R53" s="28">
        <v>71.91947368421053</v>
      </c>
      <c r="S53" s="27">
        <v>6.2E-2</v>
      </c>
      <c r="T53" s="45">
        <f t="shared" si="0"/>
        <v>223.47368421052624</v>
      </c>
      <c r="U53" s="44">
        <f t="shared" si="1"/>
        <v>-3.1E-2</v>
      </c>
      <c r="V53" s="44">
        <f t="shared" si="2"/>
        <v>3.1E-2</v>
      </c>
      <c r="W53" s="25">
        <v>14</v>
      </c>
      <c r="X53" s="28">
        <v>2394.7368421052633</v>
      </c>
      <c r="Y53" s="28">
        <v>2171.2631578947371</v>
      </c>
      <c r="Z53" s="28">
        <v>151.75494919219827</v>
      </c>
      <c r="AA53" s="28">
        <v>71.91947368421053</v>
      </c>
      <c r="AB53" s="28">
        <v>1</v>
      </c>
      <c r="AC53" s="28">
        <v>0</v>
      </c>
      <c r="AD53" s="28">
        <v>71.91947368421053</v>
      </c>
      <c r="AE53" s="27">
        <v>6.2E-2</v>
      </c>
    </row>
    <row r="54" spans="2:31" x14ac:dyDescent="0.25">
      <c r="B54" s="16">
        <v>1600</v>
      </c>
      <c r="C54" s="16">
        <v>1551</v>
      </c>
      <c r="E54" s="18"/>
      <c r="F54" s="18"/>
      <c r="G54" s="10"/>
      <c r="H54" s="18"/>
      <c r="I54" s="18"/>
      <c r="K54" s="25">
        <v>15</v>
      </c>
      <c r="L54" s="28">
        <v>2578.9473684210525</v>
      </c>
      <c r="M54" s="28">
        <v>2296.894736842105</v>
      </c>
      <c r="N54" s="28">
        <v>239.34282213173998</v>
      </c>
      <c r="O54" s="28">
        <v>78.829210526315777</v>
      </c>
      <c r="P54" s="28">
        <v>1</v>
      </c>
      <c r="Q54" s="28">
        <v>0</v>
      </c>
      <c r="R54" s="28">
        <v>78.829210526315777</v>
      </c>
      <c r="S54" s="27">
        <v>0.125</v>
      </c>
      <c r="T54" s="45">
        <f t="shared" si="0"/>
        <v>282.05263157894751</v>
      </c>
      <c r="U54" s="44">
        <f t="shared" si="1"/>
        <v>-6.25E-2</v>
      </c>
      <c r="V54" s="44">
        <f t="shared" si="2"/>
        <v>6.25E-2</v>
      </c>
      <c r="W54" s="25">
        <v>15</v>
      </c>
      <c r="X54" s="28">
        <v>2578.9473684210525</v>
      </c>
      <c r="Y54" s="28">
        <v>2296.894736842105</v>
      </c>
      <c r="Z54" s="28">
        <v>163.45483318216557</v>
      </c>
      <c r="AA54" s="28">
        <v>78.829210526315777</v>
      </c>
      <c r="AB54" s="28">
        <v>1</v>
      </c>
      <c r="AC54" s="28">
        <v>0</v>
      </c>
      <c r="AD54" s="28">
        <v>78.829210526315777</v>
      </c>
      <c r="AE54" s="27">
        <v>0.125</v>
      </c>
    </row>
    <row r="55" spans="2:31" x14ac:dyDescent="0.25">
      <c r="B55" s="16">
        <v>1700</v>
      </c>
      <c r="C55" s="16">
        <v>1636</v>
      </c>
      <c r="E55" s="18"/>
      <c r="F55" s="18"/>
      <c r="G55" s="10"/>
      <c r="H55" s="18"/>
      <c r="I55" s="18"/>
      <c r="K55" s="25">
        <v>16</v>
      </c>
      <c r="L55" s="28">
        <v>2763.1578947368421</v>
      </c>
      <c r="M55" s="28">
        <v>2415.7894736842104</v>
      </c>
      <c r="N55" s="28">
        <v>248.90498266313705</v>
      </c>
      <c r="O55" s="28">
        <v>85.368421052631589</v>
      </c>
      <c r="P55" s="28">
        <v>1</v>
      </c>
      <c r="Q55" s="28">
        <v>0</v>
      </c>
      <c r="R55" s="28">
        <v>85.368421052631589</v>
      </c>
      <c r="S55" s="27">
        <v>0.125</v>
      </c>
      <c r="T55" s="45">
        <f t="shared" si="0"/>
        <v>347.36842105263167</v>
      </c>
      <c r="U55" s="44">
        <f t="shared" si="1"/>
        <v>-6.25E-2</v>
      </c>
      <c r="V55" s="44">
        <f t="shared" si="2"/>
        <v>6.25E-2</v>
      </c>
      <c r="W55" s="25">
        <v>16</v>
      </c>
      <c r="X55" s="28">
        <v>2763.1578947368421</v>
      </c>
      <c r="Y55" s="28">
        <v>2415.7894736842104</v>
      </c>
      <c r="Z55" s="28">
        <v>172.99282276991832</v>
      </c>
      <c r="AA55" s="28">
        <v>85.368421052631589</v>
      </c>
      <c r="AB55" s="28">
        <v>1</v>
      </c>
      <c r="AC55" s="28">
        <v>0</v>
      </c>
      <c r="AD55" s="28">
        <v>85.368421052631589</v>
      </c>
      <c r="AE55" s="27">
        <v>0.125</v>
      </c>
    </row>
    <row r="56" spans="2:31" x14ac:dyDescent="0.25">
      <c r="B56" s="16">
        <v>1800</v>
      </c>
      <c r="C56" s="16">
        <v>1719</v>
      </c>
      <c r="E56" s="18"/>
      <c r="F56" s="18"/>
      <c r="G56" s="10"/>
      <c r="H56" s="18"/>
      <c r="I56" s="18"/>
      <c r="K56" s="25">
        <v>17</v>
      </c>
      <c r="L56" s="28">
        <v>2947.3684210526317</v>
      </c>
      <c r="M56" s="28">
        <v>2451.8421052631579</v>
      </c>
      <c r="N56" s="28">
        <v>251.39854617645057</v>
      </c>
      <c r="O56" s="28">
        <v>87.351315789473688</v>
      </c>
      <c r="P56" s="28">
        <v>1</v>
      </c>
      <c r="Q56" s="28">
        <v>0</v>
      </c>
      <c r="R56" s="28">
        <v>87.351315789473688</v>
      </c>
      <c r="S56" s="27">
        <v>0.125</v>
      </c>
      <c r="T56" s="45">
        <f t="shared" si="0"/>
        <v>495.52631578947376</v>
      </c>
      <c r="U56" s="44">
        <f t="shared" si="1"/>
        <v>-6.25E-2</v>
      </c>
      <c r="V56" s="44">
        <f t="shared" si="2"/>
        <v>6.25E-2</v>
      </c>
      <c r="W56" s="25">
        <v>17</v>
      </c>
      <c r="X56" s="28">
        <v>2947.3684210526317</v>
      </c>
      <c r="Y56" s="28">
        <v>2451.8421052631579</v>
      </c>
      <c r="Z56" s="28">
        <v>175.47989631060625</v>
      </c>
      <c r="AA56" s="28">
        <v>87.351315789473688</v>
      </c>
      <c r="AB56" s="28">
        <v>1</v>
      </c>
      <c r="AC56" s="28">
        <v>0</v>
      </c>
      <c r="AD56" s="28">
        <v>87.351315789473688</v>
      </c>
      <c r="AE56" s="27">
        <v>0.125</v>
      </c>
    </row>
    <row r="57" spans="2:31" x14ac:dyDescent="0.25">
      <c r="B57" s="16">
        <v>1900</v>
      </c>
      <c r="C57" s="16">
        <v>1800</v>
      </c>
      <c r="E57" s="18"/>
      <c r="F57" s="18"/>
      <c r="G57" s="10"/>
      <c r="H57" s="18"/>
      <c r="I57" s="18"/>
      <c r="K57" s="25">
        <v>18</v>
      </c>
      <c r="L57" s="28">
        <v>3131.5789473684213</v>
      </c>
      <c r="M57" s="28">
        <v>2467.8947368421054</v>
      </c>
      <c r="N57" s="28">
        <v>252.90993504314926</v>
      </c>
      <c r="O57" s="28">
        <v>88.234210526315792</v>
      </c>
      <c r="P57" s="28">
        <v>1</v>
      </c>
      <c r="Q57" s="28">
        <v>0</v>
      </c>
      <c r="R57" s="28">
        <v>88.234210526315792</v>
      </c>
      <c r="S57" s="27">
        <v>0.125</v>
      </c>
      <c r="T57" s="45">
        <f t="shared" si="0"/>
        <v>663.68421052631584</v>
      </c>
      <c r="U57" s="44">
        <f t="shared" si="1"/>
        <v>-6.25E-2</v>
      </c>
      <c r="V57" s="44">
        <f t="shared" si="2"/>
        <v>6.25E-2</v>
      </c>
      <c r="W57" s="25">
        <v>18</v>
      </c>
      <c r="X57" s="28">
        <v>3131.5789473684213</v>
      </c>
      <c r="Y57" s="28">
        <v>2467.8947368421054</v>
      </c>
      <c r="Z57" s="28">
        <v>176.98730186356715</v>
      </c>
      <c r="AA57" s="28">
        <v>88.234210526315792</v>
      </c>
      <c r="AB57" s="28">
        <v>1</v>
      </c>
      <c r="AC57" s="28">
        <v>0</v>
      </c>
      <c r="AD57" s="28">
        <v>88.234210526315792</v>
      </c>
      <c r="AE57" s="27">
        <v>0.125</v>
      </c>
    </row>
    <row r="58" spans="2:31" x14ac:dyDescent="0.25">
      <c r="B58" s="16">
        <v>2000</v>
      </c>
      <c r="C58" s="16">
        <v>1879</v>
      </c>
      <c r="E58" s="18"/>
      <c r="F58" s="18"/>
      <c r="G58" s="10"/>
      <c r="H58" s="18"/>
      <c r="I58" s="18"/>
      <c r="K58" s="25">
        <v>19</v>
      </c>
      <c r="L58" s="28">
        <v>3315.7894736842109</v>
      </c>
      <c r="M58" s="28">
        <v>2483.9473684210525</v>
      </c>
      <c r="N58" s="28">
        <v>254.42064644976944</v>
      </c>
      <c r="O58" s="28">
        <v>89.117105263157882</v>
      </c>
      <c r="P58" s="28">
        <v>1</v>
      </c>
      <c r="Q58" s="28">
        <v>0</v>
      </c>
      <c r="R58" s="28">
        <v>89.117105263157882</v>
      </c>
      <c r="S58" s="27">
        <v>0.125</v>
      </c>
      <c r="T58" s="45">
        <f t="shared" si="0"/>
        <v>831.84210526315837</v>
      </c>
      <c r="U58" s="44">
        <f t="shared" si="1"/>
        <v>-6.25E-2</v>
      </c>
      <c r="V58" s="44">
        <f t="shared" si="2"/>
        <v>6.25E-2</v>
      </c>
      <c r="W58" s="25">
        <v>19</v>
      </c>
      <c r="X58" s="28">
        <v>3315.7894736842109</v>
      </c>
      <c r="Y58" s="28">
        <v>2483.9473684210525</v>
      </c>
      <c r="Z58" s="28">
        <v>178.49400395103441</v>
      </c>
      <c r="AA58" s="28">
        <v>89.117105263157882</v>
      </c>
      <c r="AB58" s="28">
        <v>1</v>
      </c>
      <c r="AC58" s="28">
        <v>0</v>
      </c>
      <c r="AD58" s="28">
        <v>89.117105263157882</v>
      </c>
      <c r="AE58" s="27">
        <v>0.125</v>
      </c>
    </row>
    <row r="59" spans="2:31" x14ac:dyDescent="0.25">
      <c r="B59" s="16">
        <v>2100</v>
      </c>
      <c r="C59" s="16">
        <v>1956</v>
      </c>
      <c r="E59" s="18"/>
      <c r="F59" s="18"/>
      <c r="G59" s="10"/>
      <c r="H59" s="18"/>
      <c r="I59" s="18"/>
      <c r="K59" s="29">
        <v>20</v>
      </c>
      <c r="L59" s="30">
        <v>3500</v>
      </c>
      <c r="M59" s="30">
        <v>2500</v>
      </c>
      <c r="N59" s="30">
        <v>255.93067783221738</v>
      </c>
      <c r="O59" s="30">
        <v>90</v>
      </c>
      <c r="P59" s="30">
        <v>1</v>
      </c>
      <c r="Q59" s="30">
        <v>0</v>
      </c>
      <c r="R59" s="30">
        <v>90</v>
      </c>
      <c r="S59" s="31">
        <v>0.125</v>
      </c>
      <c r="T59" s="45">
        <f t="shared" si="0"/>
        <v>1000</v>
      </c>
      <c r="U59" s="44">
        <f t="shared" si="1"/>
        <v>-6.25E-2</v>
      </c>
      <c r="V59" s="44">
        <f t="shared" si="2"/>
        <v>6.25E-2</v>
      </c>
      <c r="W59" s="29">
        <v>20</v>
      </c>
      <c r="X59" s="30">
        <v>3500</v>
      </c>
      <c r="Y59" s="30">
        <v>2500</v>
      </c>
      <c r="Z59" s="30">
        <v>180</v>
      </c>
      <c r="AA59" s="30">
        <v>90</v>
      </c>
      <c r="AB59" s="30">
        <v>1</v>
      </c>
      <c r="AC59" s="30">
        <v>0</v>
      </c>
      <c r="AD59" s="30">
        <v>90</v>
      </c>
      <c r="AE59" s="31">
        <v>0.125</v>
      </c>
    </row>
    <row r="60" spans="2:31" x14ac:dyDescent="0.25">
      <c r="B60" s="16">
        <v>2200</v>
      </c>
      <c r="C60" s="16">
        <v>2031</v>
      </c>
      <c r="E60" s="18"/>
      <c r="F60" s="18"/>
      <c r="G60" s="10"/>
      <c r="H60" s="18"/>
      <c r="I60" s="18"/>
    </row>
    <row r="61" spans="2:31" x14ac:dyDescent="0.25">
      <c r="B61" s="16">
        <v>2300</v>
      </c>
      <c r="C61" s="16">
        <v>2104</v>
      </c>
      <c r="E61" s="18"/>
      <c r="F61" s="18"/>
      <c r="G61" s="10"/>
      <c r="H61" s="18"/>
      <c r="I61" s="18"/>
    </row>
    <row r="62" spans="2:31" x14ac:dyDescent="0.25">
      <c r="B62" s="16">
        <v>2400</v>
      </c>
      <c r="C62" s="16">
        <v>2175</v>
      </c>
      <c r="E62" s="18"/>
      <c r="F62" s="18"/>
      <c r="G62" s="10"/>
      <c r="H62" s="18"/>
      <c r="I62" s="18"/>
    </row>
    <row r="63" spans="2:31" x14ac:dyDescent="0.25">
      <c r="B63" s="16">
        <v>2500</v>
      </c>
      <c r="C63" s="16">
        <v>2244</v>
      </c>
      <c r="E63" s="18"/>
      <c r="F63" s="18"/>
      <c r="G63" s="10"/>
      <c r="H63" s="18"/>
      <c r="I63" s="18"/>
    </row>
    <row r="64" spans="2:31" x14ac:dyDescent="0.25">
      <c r="B64" s="16">
        <v>2600</v>
      </c>
      <c r="C64" s="16">
        <v>2311</v>
      </c>
      <c r="E64" s="18"/>
      <c r="F64" s="18"/>
      <c r="G64" s="10"/>
      <c r="H64" s="18"/>
      <c r="I64" s="18"/>
    </row>
    <row r="65" spans="2:16" x14ac:dyDescent="0.25">
      <c r="B65" s="16">
        <v>2700</v>
      </c>
      <c r="C65" s="16">
        <v>2376</v>
      </c>
      <c r="E65" s="18"/>
      <c r="F65" s="18"/>
      <c r="G65" s="10"/>
      <c r="H65" s="18"/>
      <c r="I65" s="18"/>
    </row>
    <row r="66" spans="2:16" x14ac:dyDescent="0.25">
      <c r="B66" s="16">
        <v>2800</v>
      </c>
      <c r="C66" s="16">
        <v>2439</v>
      </c>
      <c r="E66" s="18"/>
      <c r="F66" s="18"/>
      <c r="G66" s="10"/>
      <c r="H66" s="18"/>
      <c r="I66" s="18"/>
    </row>
    <row r="67" spans="2:16" x14ac:dyDescent="0.25">
      <c r="B67" s="16">
        <v>3500</v>
      </c>
      <c r="C67" s="16">
        <v>2500</v>
      </c>
      <c r="G67" s="10"/>
    </row>
    <row r="68" spans="2:16" x14ac:dyDescent="0.25">
      <c r="B68" s="16"/>
      <c r="C68" s="16"/>
      <c r="G68" s="10"/>
      <c r="P68" s="20"/>
    </row>
    <row r="69" spans="2:16" x14ac:dyDescent="0.25">
      <c r="B69" s="16"/>
      <c r="C69" s="16"/>
      <c r="G69" s="10"/>
    </row>
    <row r="90" spans="2:9" x14ac:dyDescent="0.25">
      <c r="B90" t="s">
        <v>94</v>
      </c>
    </row>
    <row r="92" spans="2:9" x14ac:dyDescent="0.25">
      <c r="B92" t="s">
        <v>44</v>
      </c>
      <c r="C92" t="s">
        <v>87</v>
      </c>
      <c r="D92" t="s">
        <v>88</v>
      </c>
      <c r="E92" t="s">
        <v>89</v>
      </c>
      <c r="G92" t="s">
        <v>90</v>
      </c>
      <c r="H92" t="s">
        <v>91</v>
      </c>
      <c r="I92" t="s">
        <v>92</v>
      </c>
    </row>
    <row r="93" spans="2:9" x14ac:dyDescent="0.25">
      <c r="B93">
        <v>1</v>
      </c>
      <c r="C93">
        <v>60</v>
      </c>
      <c r="D93">
        <v>35</v>
      </c>
      <c r="E93">
        <v>120</v>
      </c>
      <c r="G93" s="20">
        <v>180.08898674283975</v>
      </c>
      <c r="H93">
        <v>15</v>
      </c>
      <c r="I93">
        <v>15</v>
      </c>
    </row>
    <row r="94" spans="2:9" x14ac:dyDescent="0.25">
      <c r="B94">
        <v>2</v>
      </c>
      <c r="G94" s="20">
        <v>181.13334210571492</v>
      </c>
      <c r="H94">
        <v>15</v>
      </c>
      <c r="I94">
        <v>15</v>
      </c>
    </row>
    <row r="95" spans="2:9" x14ac:dyDescent="0.25">
      <c r="B95">
        <v>3</v>
      </c>
      <c r="G95" s="20">
        <v>180.37649269366091</v>
      </c>
      <c r="H95">
        <v>15</v>
      </c>
      <c r="I95">
        <v>15</v>
      </c>
    </row>
    <row r="96" spans="2:9" x14ac:dyDescent="0.25">
      <c r="B96">
        <v>4</v>
      </c>
      <c r="G96" s="20">
        <v>180.75687999396632</v>
      </c>
      <c r="H96">
        <v>15</v>
      </c>
      <c r="I96">
        <v>15</v>
      </c>
    </row>
    <row r="97" spans="2:9" x14ac:dyDescent="0.25">
      <c r="B97">
        <v>5</v>
      </c>
      <c r="G97" s="20">
        <v>170.89119452435753</v>
      </c>
      <c r="H97">
        <v>15</v>
      </c>
      <c r="I97">
        <v>15</v>
      </c>
    </row>
    <row r="98" spans="2:9" x14ac:dyDescent="0.25">
      <c r="B98">
        <v>6</v>
      </c>
      <c r="G98" s="20">
        <v>170.48662190248479</v>
      </c>
      <c r="H98">
        <v>15</v>
      </c>
      <c r="I98">
        <v>15</v>
      </c>
    </row>
    <row r="99" spans="2:9" x14ac:dyDescent="0.25">
      <c r="B99">
        <v>7</v>
      </c>
      <c r="G99" s="20">
        <v>170.60526130761357</v>
      </c>
      <c r="H99">
        <v>15</v>
      </c>
      <c r="I99">
        <v>15</v>
      </c>
    </row>
    <row r="100" spans="2:9" x14ac:dyDescent="0.25">
      <c r="B100">
        <v>8</v>
      </c>
      <c r="G100" s="20">
        <v>182.35000328010145</v>
      </c>
      <c r="H100">
        <v>15</v>
      </c>
      <c r="I100">
        <v>15</v>
      </c>
    </row>
    <row r="101" spans="2:9" x14ac:dyDescent="0.25">
      <c r="B101">
        <v>9</v>
      </c>
      <c r="G101" s="20">
        <v>181.62281248757091</v>
      </c>
      <c r="H101">
        <v>15</v>
      </c>
      <c r="I101">
        <v>15</v>
      </c>
    </row>
    <row r="102" spans="2:9" x14ac:dyDescent="0.25">
      <c r="B102">
        <v>10</v>
      </c>
      <c r="G102" s="20">
        <v>181.90285906008253</v>
      </c>
      <c r="H102">
        <v>15</v>
      </c>
      <c r="I102">
        <v>15</v>
      </c>
    </row>
    <row r="103" spans="2:9" x14ac:dyDescent="0.25">
      <c r="B103">
        <v>11</v>
      </c>
      <c r="G103" s="20">
        <v>202.78183655123703</v>
      </c>
      <c r="H103">
        <v>15</v>
      </c>
      <c r="I103">
        <v>15</v>
      </c>
    </row>
    <row r="104" spans="2:9" x14ac:dyDescent="0.25">
      <c r="B104">
        <v>12</v>
      </c>
      <c r="G104" s="20">
        <v>203.15160390174375</v>
      </c>
      <c r="H104">
        <v>15</v>
      </c>
      <c r="I104">
        <v>15</v>
      </c>
    </row>
    <row r="105" spans="2:9" x14ac:dyDescent="0.25">
      <c r="B105">
        <v>13</v>
      </c>
      <c r="G105" s="20">
        <v>203.43783378508741</v>
      </c>
      <c r="H105">
        <v>15</v>
      </c>
      <c r="I105">
        <v>15</v>
      </c>
    </row>
    <row r="106" spans="2:9" x14ac:dyDescent="0.25">
      <c r="B106">
        <v>14</v>
      </c>
      <c r="G106" s="20">
        <v>217.11039063994301</v>
      </c>
      <c r="H106">
        <v>16</v>
      </c>
      <c r="I106">
        <v>16</v>
      </c>
    </row>
    <row r="107" spans="2:9" x14ac:dyDescent="0.25">
      <c r="B107">
        <v>15</v>
      </c>
      <c r="G107" s="20">
        <v>218.67978786143036</v>
      </c>
      <c r="H107">
        <v>17</v>
      </c>
      <c r="I107">
        <v>17</v>
      </c>
    </row>
    <row r="108" spans="2:9" x14ac:dyDescent="0.25">
      <c r="B108">
        <v>16</v>
      </c>
      <c r="G108" s="20">
        <v>217.37530156273988</v>
      </c>
      <c r="H108">
        <v>17</v>
      </c>
      <c r="I108">
        <v>17</v>
      </c>
    </row>
    <row r="109" spans="2:9" x14ac:dyDescent="0.25">
      <c r="B109">
        <v>17</v>
      </c>
      <c r="G109" s="20">
        <v>216.22883003560199</v>
      </c>
      <c r="H109">
        <v>17</v>
      </c>
      <c r="I109">
        <v>17</v>
      </c>
    </row>
    <row r="110" spans="2:9" x14ac:dyDescent="0.25">
      <c r="B110">
        <v>18</v>
      </c>
      <c r="G110" s="20">
        <v>214.91671708927146</v>
      </c>
      <c r="H110">
        <v>17</v>
      </c>
      <c r="I110">
        <v>17</v>
      </c>
    </row>
    <row r="111" spans="2:9" x14ac:dyDescent="0.25">
      <c r="B111">
        <v>19</v>
      </c>
      <c r="G111" s="20">
        <v>214.25397332519762</v>
      </c>
      <c r="H111">
        <v>17</v>
      </c>
      <c r="I111">
        <v>17</v>
      </c>
    </row>
    <row r="112" spans="2:9" x14ac:dyDescent="0.25">
      <c r="B112">
        <v>20</v>
      </c>
      <c r="G112" s="20">
        <v>221.27112140490175</v>
      </c>
      <c r="H112">
        <v>17</v>
      </c>
      <c r="I112">
        <v>17</v>
      </c>
    </row>
    <row r="113" spans="2:12" x14ac:dyDescent="0.25">
      <c r="B113">
        <v>21</v>
      </c>
      <c r="G113" s="20">
        <v>220.16864900728336</v>
      </c>
      <c r="H113">
        <v>17</v>
      </c>
      <c r="I113">
        <v>17</v>
      </c>
    </row>
    <row r="114" spans="2:12" x14ac:dyDescent="0.25">
      <c r="B114">
        <v>22</v>
      </c>
      <c r="G114" s="20">
        <v>220.19145032522221</v>
      </c>
      <c r="H114">
        <v>17</v>
      </c>
      <c r="I114">
        <v>17</v>
      </c>
    </row>
    <row r="115" spans="2:12" x14ac:dyDescent="0.25">
      <c r="B115">
        <v>23</v>
      </c>
      <c r="G115" s="20">
        <v>220.75301960460069</v>
      </c>
      <c r="H115">
        <v>17</v>
      </c>
      <c r="I115">
        <v>17</v>
      </c>
    </row>
    <row r="120" spans="2:12" x14ac:dyDescent="0.25">
      <c r="B120" t="s">
        <v>95</v>
      </c>
    </row>
    <row r="122" spans="2:12" x14ac:dyDescent="0.25">
      <c r="B122" t="s">
        <v>44</v>
      </c>
      <c r="C122" t="s">
        <v>87</v>
      </c>
      <c r="D122" t="s">
        <v>88</v>
      </c>
      <c r="E122" t="s">
        <v>89</v>
      </c>
      <c r="G122" t="s">
        <v>90</v>
      </c>
      <c r="H122" t="s">
        <v>91</v>
      </c>
      <c r="I122" t="s">
        <v>92</v>
      </c>
      <c r="L122" t="s">
        <v>93</v>
      </c>
    </row>
    <row r="123" spans="2:12" x14ac:dyDescent="0.25">
      <c r="B123">
        <v>1</v>
      </c>
      <c r="C123">
        <v>60</v>
      </c>
      <c r="D123">
        <v>35</v>
      </c>
      <c r="E123">
        <v>120</v>
      </c>
      <c r="G123" s="69">
        <v>170.37451248321858</v>
      </c>
      <c r="H123">
        <v>15</v>
      </c>
      <c r="I123">
        <v>15</v>
      </c>
    </row>
    <row r="124" spans="2:12" x14ac:dyDescent="0.25">
      <c r="B124">
        <v>2</v>
      </c>
      <c r="G124" s="69">
        <v>167.98599131531236</v>
      </c>
      <c r="H124">
        <v>15</v>
      </c>
      <c r="I124">
        <v>15</v>
      </c>
    </row>
    <row r="125" spans="2:12" x14ac:dyDescent="0.25">
      <c r="B125">
        <v>3</v>
      </c>
      <c r="G125" s="69">
        <v>165.87875559891552</v>
      </c>
      <c r="H125">
        <v>15</v>
      </c>
      <c r="I125">
        <v>15</v>
      </c>
    </row>
    <row r="126" spans="2:12" x14ac:dyDescent="0.25">
      <c r="B126">
        <v>4</v>
      </c>
      <c r="G126" s="69">
        <v>163.05716444682014</v>
      </c>
      <c r="H126">
        <v>15</v>
      </c>
      <c r="I126">
        <v>15</v>
      </c>
    </row>
    <row r="127" spans="2:12" x14ac:dyDescent="0.25">
      <c r="B127">
        <v>5</v>
      </c>
      <c r="G127" s="69">
        <v>153.46203820787147</v>
      </c>
      <c r="H127">
        <v>15</v>
      </c>
      <c r="I127">
        <v>15</v>
      </c>
    </row>
    <row r="128" spans="2:12" x14ac:dyDescent="0.25">
      <c r="B128">
        <v>6</v>
      </c>
      <c r="G128" s="69">
        <v>150.91872072886818</v>
      </c>
      <c r="H128">
        <v>15</v>
      </c>
      <c r="I128">
        <v>15</v>
      </c>
    </row>
    <row r="129" spans="2:9" x14ac:dyDescent="0.25">
      <c r="B129">
        <v>7</v>
      </c>
      <c r="G129" s="69">
        <v>149.18936574688831</v>
      </c>
      <c r="H129">
        <v>15</v>
      </c>
      <c r="I129">
        <v>15</v>
      </c>
    </row>
    <row r="130" spans="2:9" x14ac:dyDescent="0.25">
      <c r="B130">
        <v>8</v>
      </c>
      <c r="G130" s="69">
        <v>131.07480470654411</v>
      </c>
      <c r="H130">
        <v>15</v>
      </c>
      <c r="I130">
        <v>15</v>
      </c>
    </row>
    <row r="131" spans="2:9" x14ac:dyDescent="0.25">
      <c r="B131">
        <v>9</v>
      </c>
      <c r="G131" s="69">
        <v>128.77595055090714</v>
      </c>
      <c r="H131">
        <v>15</v>
      </c>
      <c r="I131">
        <v>15</v>
      </c>
    </row>
    <row r="132" spans="2:9" x14ac:dyDescent="0.25">
      <c r="B132">
        <v>10</v>
      </c>
      <c r="G132" s="69">
        <v>126.66187088224378</v>
      </c>
      <c r="H132">
        <v>15</v>
      </c>
      <c r="I132">
        <v>15</v>
      </c>
    </row>
    <row r="133" spans="2:9" x14ac:dyDescent="0.25">
      <c r="B133">
        <v>11</v>
      </c>
      <c r="G133" s="69">
        <v>125.00341210821107</v>
      </c>
      <c r="H133">
        <v>15</v>
      </c>
      <c r="I133">
        <v>15</v>
      </c>
    </row>
    <row r="134" spans="2:9" x14ac:dyDescent="0.25">
      <c r="B134">
        <v>12</v>
      </c>
      <c r="G134" s="69">
        <v>123.06265005707466</v>
      </c>
      <c r="H134">
        <v>15</v>
      </c>
      <c r="I134">
        <v>15</v>
      </c>
    </row>
    <row r="135" spans="2:9" x14ac:dyDescent="0.25">
      <c r="B135">
        <v>13</v>
      </c>
      <c r="C135">
        <v>62.6</v>
      </c>
      <c r="D135">
        <v>7.4</v>
      </c>
      <c r="E135">
        <v>150.00000000000003</v>
      </c>
      <c r="G135" s="69">
        <v>121.57365395200117</v>
      </c>
      <c r="H135">
        <v>15</v>
      </c>
      <c r="I135">
        <v>15</v>
      </c>
    </row>
    <row r="136" spans="2:9" x14ac:dyDescent="0.25">
      <c r="B136">
        <v>14</v>
      </c>
      <c r="G136" s="69">
        <v>122.58337366386718</v>
      </c>
      <c r="H136">
        <v>16</v>
      </c>
      <c r="I136">
        <v>16</v>
      </c>
    </row>
    <row r="137" spans="2:9" x14ac:dyDescent="0.25">
      <c r="B137">
        <v>15</v>
      </c>
      <c r="G137" s="69">
        <v>123.29790015047556</v>
      </c>
      <c r="H137">
        <v>17</v>
      </c>
      <c r="I137">
        <v>17</v>
      </c>
    </row>
    <row r="138" spans="2:9" x14ac:dyDescent="0.25">
      <c r="B138">
        <v>16</v>
      </c>
      <c r="G138" s="69">
        <v>94.485147213178422</v>
      </c>
      <c r="H138">
        <v>17</v>
      </c>
      <c r="I138">
        <v>17</v>
      </c>
    </row>
    <row r="139" spans="2:9" x14ac:dyDescent="0.25">
      <c r="B139">
        <v>17</v>
      </c>
      <c r="G139" s="69">
        <v>93.176533877624777</v>
      </c>
      <c r="H139">
        <v>17</v>
      </c>
      <c r="I139">
        <v>17</v>
      </c>
    </row>
    <row r="140" spans="2:9" x14ac:dyDescent="0.25">
      <c r="B140">
        <v>18</v>
      </c>
      <c r="G140" s="69">
        <v>91.959707534160373</v>
      </c>
      <c r="H140">
        <v>17</v>
      </c>
      <c r="I140">
        <v>17</v>
      </c>
    </row>
    <row r="141" spans="2:9" x14ac:dyDescent="0.25">
      <c r="B141">
        <v>19</v>
      </c>
      <c r="G141" s="69">
        <v>90.903573428064874</v>
      </c>
      <c r="H141">
        <v>17</v>
      </c>
      <c r="I141">
        <v>17</v>
      </c>
    </row>
    <row r="142" spans="2:9" x14ac:dyDescent="0.25">
      <c r="B142">
        <v>20</v>
      </c>
      <c r="G142" s="69">
        <v>90.030895452043396</v>
      </c>
      <c r="H142">
        <v>17</v>
      </c>
      <c r="I142">
        <v>17</v>
      </c>
    </row>
    <row r="143" spans="2:9" x14ac:dyDescent="0.25">
      <c r="B143">
        <v>21</v>
      </c>
      <c r="G143" s="69">
        <v>88.535021982429384</v>
      </c>
      <c r="H143">
        <v>17</v>
      </c>
      <c r="I143">
        <v>17</v>
      </c>
    </row>
    <row r="144" spans="2:9" x14ac:dyDescent="0.25">
      <c r="B144">
        <v>22</v>
      </c>
      <c r="G144" s="69">
        <v>87.800020063441266</v>
      </c>
      <c r="H144">
        <v>17</v>
      </c>
      <c r="I144">
        <v>17</v>
      </c>
    </row>
    <row r="145" spans="2:9" x14ac:dyDescent="0.25">
      <c r="B145">
        <v>23</v>
      </c>
      <c r="G145" s="69">
        <v>86.436266059127959</v>
      </c>
      <c r="H145">
        <v>17</v>
      </c>
      <c r="I145">
        <v>17</v>
      </c>
    </row>
  </sheetData>
  <mergeCells count="12">
    <mergeCell ref="F26:G26"/>
    <mergeCell ref="B3:E3"/>
    <mergeCell ref="B4:E4"/>
    <mergeCell ref="B5:E5"/>
    <mergeCell ref="B6:E8"/>
    <mergeCell ref="F25:G25"/>
    <mergeCell ref="F27:G27"/>
    <mergeCell ref="F28:G28"/>
    <mergeCell ref="F30:G30"/>
    <mergeCell ref="F31:G31"/>
    <mergeCell ref="F32:G32"/>
    <mergeCell ref="F29:G2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50</vt:i4>
      </vt:variant>
    </vt:vector>
  </HeadingPairs>
  <TitlesOfParts>
    <vt:vector size="51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2020-10-20T16:28:09Z</dcterms:modified>
</cp:coreProperties>
</file>