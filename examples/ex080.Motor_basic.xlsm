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96C0AEA0-3C39-463F-B509-4FA2FB631B82}" xr6:coauthVersionLast="45" xr6:coauthVersionMax="45" xr10:uidLastSave="{00000000-0000-0000-0000-000000000000}"/>
  <bookViews>
    <workbookView xWindow="-120" yWindow="-120" windowWidth="38640" windowHeight="21240" xr2:uid="{D87573BE-CE25-4BB0-B737-F86120CA6188}"/>
  </bookViews>
  <sheets>
    <sheet name="exercise_motor" sheetId="1" r:id="rId1"/>
    <sheet name="some_data" sheetId="3" r:id="rId2"/>
  </sheets>
  <externalReferences>
    <externalReference r:id="rId3"/>
  </externalReferences>
  <definedNames>
    <definedName name="alpha">exercise_motor!$C$20</definedName>
    <definedName name="cos_nom">exercise_motor!$C$18</definedName>
    <definedName name="eff_nom">exercise_motor!$C$17</definedName>
    <definedName name="F">exercise_motor!$C$25</definedName>
    <definedName name="Fnom">exercise_motor!$C$14</definedName>
    <definedName name="ID">exercise_motor!$C$12</definedName>
    <definedName name="input_Course">exercise_motor!$I$3</definedName>
    <definedName name="input_Date">exercise_motor!$I$1</definedName>
    <definedName name="input_Group">exercise_motor!$I$4</definedName>
    <definedName name="input_Notes">exercise_motor!$I$6</definedName>
    <definedName name="input_Student_Name">exercise_motor!$I$5</definedName>
    <definedName name="input_Version">exercise_motor!$I$2</definedName>
    <definedName name="lambda">exercise_motor!$C$19</definedName>
    <definedName name="Pnom">exercise_motor!$C$15</definedName>
    <definedName name="slip_nom">exercise_motor!$C$16</definedName>
    <definedName name="U">exercise_motor!$C$24</definedName>
    <definedName name="Unom">exercise_motor!$C$13</definedName>
    <definedName name="xi">exercise_motor!$C$21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13" i="3" l="1"/>
  <c r="AA13" i="3" s="1"/>
  <c r="Y13" i="3"/>
  <c r="Y12" i="3"/>
  <c r="AA12" i="3"/>
  <c r="AB12" i="3" s="1"/>
  <c r="Z12" i="3"/>
  <c r="B29" i="1" a="1"/>
  <c r="C35" i="1" a="1"/>
  <c r="G1" i="1"/>
  <c r="B29" i="1" l="1"/>
  <c r="C35" i="1"/>
  <c r="D35" i="1"/>
  <c r="E35" i="1"/>
  <c r="F35" i="1"/>
  <c r="G35" i="1"/>
  <c r="H35" i="1"/>
  <c r="B36" i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AB13" i="3"/>
  <c r="C36" i="1" a="1"/>
  <c r="H36" i="1" l="1"/>
  <c r="C36" i="1"/>
  <c r="D36" i="1"/>
  <c r="E36" i="1"/>
  <c r="F36" i="1"/>
  <c r="G36" i="1"/>
  <c r="C37" i="1" a="1"/>
  <c r="D37" i="1" l="1"/>
  <c r="C37" i="1"/>
  <c r="F37" i="1"/>
  <c r="H37" i="1"/>
  <c r="E37" i="1"/>
  <c r="G37" i="1"/>
  <c r="C38" i="1" a="1"/>
  <c r="D38" i="1" l="1"/>
  <c r="F38" i="1"/>
  <c r="E38" i="1"/>
  <c r="G38" i="1"/>
  <c r="H38" i="1"/>
  <c r="C38" i="1"/>
  <c r="C39" i="1" a="1"/>
  <c r="E39" i="1" l="1"/>
  <c r="D39" i="1"/>
  <c r="F39" i="1"/>
  <c r="G39" i="1"/>
  <c r="H39" i="1"/>
  <c r="C39" i="1"/>
  <c r="C40" i="1" a="1"/>
  <c r="D40" i="1" l="1"/>
  <c r="F40" i="1"/>
  <c r="C40" i="1"/>
  <c r="G40" i="1"/>
  <c r="E40" i="1"/>
  <c r="H40" i="1"/>
  <c r="C41" i="1" a="1"/>
  <c r="C42" i="1" a="1"/>
  <c r="D42" i="1" l="1"/>
  <c r="H42" i="1"/>
  <c r="E42" i="1"/>
  <c r="C42" i="1"/>
  <c r="G42" i="1"/>
  <c r="F42" i="1"/>
  <c r="D41" i="1"/>
  <c r="C41" i="1"/>
  <c r="E41" i="1"/>
  <c r="F41" i="1"/>
  <c r="G41" i="1"/>
  <c r="H41" i="1"/>
  <c r="C43" i="1" a="1"/>
  <c r="F43" i="1" l="1"/>
  <c r="C43" i="1"/>
  <c r="D43" i="1"/>
  <c r="E43" i="1"/>
  <c r="H43" i="1"/>
  <c r="G43" i="1"/>
  <c r="C44" i="1" a="1"/>
  <c r="G44" i="1" l="1"/>
  <c r="H44" i="1"/>
  <c r="F44" i="1"/>
  <c r="C44" i="1"/>
  <c r="E44" i="1"/>
  <c r="D44" i="1"/>
  <c r="C45" i="1" a="1"/>
  <c r="D45" i="1" l="1"/>
  <c r="G45" i="1"/>
  <c r="H45" i="1"/>
  <c r="E45" i="1"/>
  <c r="F45" i="1"/>
  <c r="C45" i="1"/>
  <c r="C46" i="1" a="1"/>
  <c r="E46" i="1" l="1"/>
  <c r="F46" i="1"/>
  <c r="G46" i="1"/>
  <c r="H46" i="1"/>
  <c r="C46" i="1"/>
  <c r="D46" i="1"/>
  <c r="C47" i="1" a="1"/>
  <c r="F47" i="1" l="1"/>
  <c r="C47" i="1"/>
  <c r="D47" i="1"/>
  <c r="G47" i="1"/>
  <c r="H47" i="1"/>
  <c r="E47" i="1"/>
  <c r="C48" i="1" a="1"/>
  <c r="C48" i="1" l="1"/>
  <c r="D48" i="1"/>
  <c r="E48" i="1"/>
  <c r="F48" i="1"/>
  <c r="G48" i="1"/>
  <c r="H48" i="1"/>
  <c r="C49" i="1" a="1"/>
  <c r="D49" i="1" l="1"/>
  <c r="G49" i="1"/>
  <c r="H49" i="1"/>
  <c r="C49" i="1"/>
  <c r="E49" i="1"/>
  <c r="F49" i="1"/>
  <c r="C50" i="1" a="1"/>
  <c r="G50" i="1" l="1"/>
  <c r="C50" i="1"/>
  <c r="D50" i="1"/>
  <c r="E50" i="1"/>
  <c r="H50" i="1"/>
  <c r="F50" i="1"/>
  <c r="C51" i="1" a="1"/>
  <c r="H51" i="1" l="1"/>
  <c r="E51" i="1"/>
  <c r="F51" i="1"/>
  <c r="G51" i="1"/>
  <c r="C51" i="1"/>
  <c r="D51" i="1"/>
  <c r="C52" i="1" a="1"/>
  <c r="C52" i="1" l="1"/>
  <c r="D52" i="1"/>
  <c r="F52" i="1"/>
  <c r="H52" i="1"/>
  <c r="G52" i="1"/>
  <c r="E52" i="1"/>
  <c r="C53" i="1" a="1"/>
  <c r="F53" i="1" l="1"/>
  <c r="C53" i="1"/>
  <c r="D53" i="1"/>
  <c r="E53" i="1"/>
  <c r="G53" i="1"/>
  <c r="H53" i="1"/>
  <c r="C54" i="1" a="1"/>
  <c r="C54" i="1" l="1"/>
  <c r="D54" i="1"/>
  <c r="F54" i="1"/>
  <c r="E54" i="1"/>
  <c r="G54" i="1"/>
  <c r="H54" i="1"/>
  <c r="C55" i="1" a="1"/>
  <c r="C5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F7F0DCA0-7A4E-4F85-8CF0-75FF0E69406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<sst xmlns="http://schemas.openxmlformats.org/spreadsheetml/2006/main" count="68" uniqueCount="59">
  <si>
    <t>V</t>
  </si>
  <si>
    <t>Hz</t>
  </si>
  <si>
    <t>kW</t>
  </si>
  <si>
    <t>ID</t>
  </si>
  <si>
    <t>P</t>
  </si>
  <si>
    <t>I</t>
  </si>
  <si>
    <t>s</t>
  </si>
  <si>
    <t>Параметры ПЭД номинальные</t>
  </si>
  <si>
    <t>Параметры ПЭД рабочие</t>
  </si>
  <si>
    <t>U</t>
  </si>
  <si>
    <t>F</t>
  </si>
  <si>
    <t>M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</si>
  <si>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</si>
  <si>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</si>
  <si>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Характеристика ПЭД</t>
  </si>
  <si>
    <t>КПД</t>
  </si>
  <si>
    <r>
      <t xml:space="preserve">cos </t>
    </r>
    <r>
      <rPr>
        <sz val="11"/>
        <color theme="1"/>
        <rFont val="Calibri"/>
        <family val="2"/>
        <charset val="204"/>
      </rPr>
      <t>ϕ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</si>
  <si>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</si>
  <si>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Мощность</t>
  </si>
  <si>
    <t>Напряжение</t>
  </si>
  <si>
    <t>Ток</t>
  </si>
  <si>
    <t>Скольжение</t>
  </si>
  <si>
    <t>Коэф мощ</t>
  </si>
  <si>
    <t>кВт</t>
  </si>
  <si>
    <t>В</t>
  </si>
  <si>
    <t>А</t>
  </si>
  <si>
    <t xml:space="preserve">Расчет  </t>
  </si>
  <si>
    <t xml:space="preserve">М </t>
  </si>
  <si>
    <t>Нм</t>
  </si>
  <si>
    <t>P эл</t>
  </si>
  <si>
    <t>Р вал</t>
  </si>
  <si>
    <t>Частота</t>
  </si>
  <si>
    <t>Гц</t>
  </si>
  <si>
    <t>рад/сек</t>
  </si>
  <si>
    <t>Частота вр</t>
  </si>
  <si>
    <t>Номинальные параметры работы двигателя</t>
  </si>
  <si>
    <t>Упражнения по работе с макросами Unifloc VBA</t>
  </si>
  <si>
    <t>версия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</si>
  <si>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</si>
  <si>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</si>
  <si>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</si>
  <si>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</si>
  <si>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</si>
  <si>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</si>
  <si>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</si>
  <si>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</si>
  <si>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</si>
  <si>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</si>
  <si>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</si>
  <si>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</si>
  <si>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</si>
  <si>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</si>
  <si>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Модель погружного электрического двигателя для УЭЦН</t>
  </si>
  <si>
    <r>
      <t>slip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</si>
  <si>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eff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</si>
  <si>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 xml:space="preserve">cos </t>
    </r>
    <r>
      <rPr>
        <sz val="11"/>
        <color theme="1"/>
        <rFont val="Calibri"/>
        <family val="2"/>
        <charset val="204"/>
      </rPr>
      <t>ϕ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</si>
  <si>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λ</t>
  </si>
  <si>
    <t>α</t>
  </si>
  <si>
    <t>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</si>
</sst>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00000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0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164" fontId="0" fillId="2" borderId="0" xfId="0" applyNumberFormat="1" applyFill="1" applyAlignment="1">
      <alignment horizontal="center"/>
    </xf>
    <xf numFmtId="1" fontId="0" fillId="5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1" fillId="0" borderId="0" xfId="0" applyFont="1" applyAlignment="1">
      <alignment horizontal="left"/>
    </xf>
    <xf numFmtId="0" fontId="0" fillId="6" borderId="0" xfId="0" applyFill="1"/>
    <xf numFmtId="2" fontId="0" fillId="6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167" fontId="0" fillId="6" borderId="0" xfId="0" applyNumberFormat="1" applyFill="1" applyAlignment="1">
      <alignment horizontal="center"/>
    </xf>
    <xf numFmtId="165" fontId="0" fillId="6" borderId="0" xfId="0" applyNumberFormat="1" applyFill="1" applyAlignment="1">
      <alignment horizontal="center"/>
    </xf>
    <xf numFmtId="0" fontId="6" fillId="0" borderId="0" xfId="0" applyFont="1"/>
    <xf numFmtId="14" fontId="0" fillId="7" borderId="0" xfId="0" applyNumberFormat="1" applyFill="1" applyAlignment="1">
      <alignment horizontal="left" vertical="top"/>
    </xf>
    <xf numFmtId="0" fontId="0" fillId="7" borderId="0" xfId="0" applyFill="1"/>
    <xf numFmtId="0" fontId="0" fillId="7" borderId="0" xfId="0" applyFill="1" applyAlignment="1">
      <alignment horizontal="left" vertical="top"/>
    </xf>
    <xf numFmtId="0" fontId="5" fillId="2" borderId="2" xfId="0" applyFont="1" applyFill="1" applyBorder="1" applyAlignment="1">
      <alignment horizontal="left"/>
    </xf>
    <xf numFmtId="0" fontId="0" fillId="2" borderId="6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7" borderId="0" xfId="0" applyFill="1" applyAlignment="1">
      <alignment vertical="top"/>
    </xf>
    <xf numFmtId="0" fontId="0" fillId="2" borderId="10" xfId="0" applyFill="1" applyBorder="1" applyAlignment="1">
      <alignment vertical="top"/>
    </xf>
    <xf numFmtId="0" fontId="0" fillId="2" borderId="13" xfId="0" applyFill="1" applyBorder="1" applyAlignment="1">
      <alignment vertical="top"/>
    </xf>
    <xf numFmtId="0" fontId="5" fillId="2" borderId="0" xfId="0" applyFont="1" applyFill="1" applyAlignment="1">
      <alignment horizontal="center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7" xfId="0" applyFill="1" applyBorder="1" applyAlignment="1">
      <alignment horizontal="left" vertical="top"/>
    </xf>
    <xf numFmtId="0" fontId="0" fillId="3" borderId="8" xfId="0" applyFill="1" applyBorder="1" applyAlignment="1">
      <alignment horizontal="left" vertical="top"/>
    </xf>
    <xf numFmtId="0" fontId="0" fillId="3" borderId="9" xfId="0" applyFill="1" applyBorder="1" applyAlignment="1">
      <alignment horizontal="left" vertical="top"/>
    </xf>
    <xf numFmtId="0" fontId="0" fillId="3" borderId="11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12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2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ПЭД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tx>
            <c:strRef>
              <c:f>exercise_motor!$D$34</c:f>
              <c:strCache>
                <c:ptCount val="1"/>
                <c:pt idx="0">
                  <c:v>cos ϕ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8.2756545413437905</c:v>
                </c:pt>
                <c:pt idx="2">
                  <c:v>15.551309082687581</c:v>
                </c:pt>
                <c:pt idx="3">
                  <c:v>22.826963624031372</c:v>
                </c:pt>
                <c:pt idx="4">
                  <c:v>30.102618165375162</c:v>
                </c:pt>
                <c:pt idx="5">
                  <c:v>37.378272706718953</c:v>
                </c:pt>
                <c:pt idx="6">
                  <c:v>44.653927248062743</c:v>
                </c:pt>
                <c:pt idx="7">
                  <c:v>51.929581789406534</c:v>
                </c:pt>
                <c:pt idx="8">
                  <c:v>59.205236330750324</c:v>
                </c:pt>
                <c:pt idx="9">
                  <c:v>66.480890872094108</c:v>
                </c:pt>
                <c:pt idx="10">
                  <c:v>73.756545413437891</c:v>
                </c:pt>
                <c:pt idx="11">
                  <c:v>81.032199954781674</c:v>
                </c:pt>
                <c:pt idx="12">
                  <c:v>88.307854496125458</c:v>
                </c:pt>
                <c:pt idx="13">
                  <c:v>95.583509037469241</c:v>
                </c:pt>
                <c:pt idx="14">
                  <c:v>102.85916357881302</c:v>
                </c:pt>
                <c:pt idx="15">
                  <c:v>110.13481812015681</c:v>
                </c:pt>
                <c:pt idx="16">
                  <c:v>117.41047266150059</c:v>
                </c:pt>
                <c:pt idx="17">
                  <c:v>124.68612720284438</c:v>
                </c:pt>
                <c:pt idx="18">
                  <c:v>131.96178174418816</c:v>
                </c:pt>
                <c:pt idx="19">
                  <c:v>139.23743628553194</c:v>
                </c:pt>
                <c:pt idx="20">
                  <c:v>146.51309082687573</c:v>
                </c:pt>
              </c:numCache>
            </c:numRef>
          </c:xVal>
          <c:yVal>
            <c:numRef>
              <c:f>exercise_motor!$D$35:$D$55</c:f>
              <c:numCache>
                <c:formatCode>0.00</c:formatCode>
                <c:ptCount val="21"/>
                <c:pt idx="0">
                  <c:v>8.7586900101873005E-2</c:v>
                </c:pt>
                <c:pt idx="1">
                  <c:v>0.3244173972469957</c:v>
                </c:pt>
                <c:pt idx="2">
                  <c:v>0.41631599426512655</c:v>
                </c:pt>
                <c:pt idx="3">
                  <c:v>0.48193832807297721</c:v>
                </c:pt>
                <c:pt idx="4">
                  <c:v>0.53774834282239103</c:v>
                </c:pt>
                <c:pt idx="5">
                  <c:v>0.58759713162494576</c:v>
                </c:pt>
                <c:pt idx="6">
                  <c:v>0.63219598899936458</c:v>
                </c:pt>
                <c:pt idx="7">
                  <c:v>0.67130932876604421</c:v>
                </c:pt>
                <c:pt idx="8">
                  <c:v>0.70453446303799738</c:v>
                </c:pt>
                <c:pt idx="9">
                  <c:v>0.73167334181178778</c:v>
                </c:pt>
                <c:pt idx="10">
                  <c:v>0.7529231018128455</c:v>
                </c:pt>
                <c:pt idx="11">
                  <c:v>0.76893998533360952</c:v>
                </c:pt>
                <c:pt idx="12">
                  <c:v>0.78079837623305448</c:v>
                </c:pt>
                <c:pt idx="13">
                  <c:v>0.78987243155597431</c:v>
                </c:pt>
                <c:pt idx="14">
                  <c:v>0.79767607242914484</c:v>
                </c:pt>
                <c:pt idx="15">
                  <c:v>0.80569310261635385</c:v>
                </c:pt>
                <c:pt idx="16">
                  <c:v>0.81521188882494255</c:v>
                </c:pt>
                <c:pt idx="17">
                  <c:v>0.82715507811169064</c:v>
                </c:pt>
                <c:pt idx="18">
                  <c:v>0.84187263171949001</c:v>
                </c:pt>
                <c:pt idx="19">
                  <c:v>0.8588550716509763</c:v>
                </c:pt>
                <c:pt idx="20">
                  <c:v>0.87633967920483902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3A-4F6F-97E9-C4DFAA139467}"/>
            </c:ext>
          </c:extLst>
        </c:ser>
        <c:ser>
          <c:idx val="2"/>
          <c:order val="2"/>
          <c:tx>
            <c:strRef>
              <c:f>exercise_motor!$E$34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8.2756545413437905</c:v>
                </c:pt>
                <c:pt idx="2">
                  <c:v>15.551309082687581</c:v>
                </c:pt>
                <c:pt idx="3">
                  <c:v>22.826963624031372</c:v>
                </c:pt>
                <c:pt idx="4">
                  <c:v>30.102618165375162</c:v>
                </c:pt>
                <c:pt idx="5">
                  <c:v>37.378272706718953</c:v>
                </c:pt>
                <c:pt idx="6">
                  <c:v>44.653927248062743</c:v>
                </c:pt>
                <c:pt idx="7">
                  <c:v>51.929581789406534</c:v>
                </c:pt>
                <c:pt idx="8">
                  <c:v>59.205236330750324</c:v>
                </c:pt>
                <c:pt idx="9">
                  <c:v>66.480890872094108</c:v>
                </c:pt>
                <c:pt idx="10">
                  <c:v>73.756545413437891</c:v>
                </c:pt>
                <c:pt idx="11">
                  <c:v>81.032199954781674</c:v>
                </c:pt>
                <c:pt idx="12">
                  <c:v>88.307854496125458</c:v>
                </c:pt>
                <c:pt idx="13">
                  <c:v>95.583509037469241</c:v>
                </c:pt>
                <c:pt idx="14">
                  <c:v>102.85916357881302</c:v>
                </c:pt>
                <c:pt idx="15">
                  <c:v>110.13481812015681</c:v>
                </c:pt>
                <c:pt idx="16">
                  <c:v>117.41047266150059</c:v>
                </c:pt>
                <c:pt idx="17">
                  <c:v>124.68612720284438</c:v>
                </c:pt>
                <c:pt idx="18">
                  <c:v>131.96178174418816</c:v>
                </c:pt>
                <c:pt idx="19">
                  <c:v>139.23743628553194</c:v>
                </c:pt>
                <c:pt idx="20">
                  <c:v>146.51309082687573</c:v>
                </c:pt>
              </c:numCache>
            </c:numRef>
          </c:xVal>
          <c:yVal>
            <c:numRef>
              <c:f>exercise_motor!$E$35:$E$55</c:f>
              <c:numCache>
                <c:formatCode>0.0000</c:formatCode>
                <c:ptCount val="21"/>
                <c:pt idx="0">
                  <c:v>0.20539645318891719</c:v>
                </c:pt>
                <c:pt idx="1">
                  <c:v>0.42869566595675335</c:v>
                </c:pt>
                <c:pt idx="2">
                  <c:v>0.58705175903835805</c:v>
                </c:pt>
                <c:pt idx="3">
                  <c:v>0.69558444401646913</c:v>
                </c:pt>
                <c:pt idx="4">
                  <c:v>0.76690588327337239</c:v>
                </c:pt>
                <c:pt idx="5">
                  <c:v>0.81133814597990306</c:v>
                </c:pt>
                <c:pt idx="6">
                  <c:v>0.83713066408444681</c:v>
                </c:pt>
                <c:pt idx="7">
                  <c:v>0.85067768830194246</c:v>
                </c:pt>
                <c:pt idx="8">
                  <c:v>0.85673574410288333</c:v>
                </c:pt>
                <c:pt idx="9">
                  <c:v>0.85864108770231795</c:v>
                </c:pt>
                <c:pt idx="10">
                  <c:v>0.8585271620488536</c:v>
                </c:pt>
                <c:pt idx="11">
                  <c:v>0.85754205281365603</c:v>
                </c:pt>
                <c:pt idx="12">
                  <c:v>0.85606594437945172</c:v>
                </c:pt>
                <c:pt idx="13">
                  <c:v>0.85392857582953297</c:v>
                </c:pt>
                <c:pt idx="14">
                  <c:v>0.85062669693675019</c:v>
                </c:pt>
                <c:pt idx="15">
                  <c:v>0.84554152415252837</c:v>
                </c:pt>
                <c:pt idx="16">
                  <c:v>0.83815619659585183</c:v>
                </c:pt>
                <c:pt idx="17">
                  <c:v>0.8282732320422791</c:v>
                </c:pt>
                <c:pt idx="18">
                  <c:v>0.81623198291293908</c:v>
                </c:pt>
                <c:pt idx="19">
                  <c:v>0.80312609226353115</c:v>
                </c:pt>
                <c:pt idx="20">
                  <c:v>0.79102094977333437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3A-4F6F-97E9-C4DFAA139467}"/>
            </c:ext>
          </c:extLst>
        </c:ser>
        <c:ser>
          <c:idx val="3"/>
          <c:order val="3"/>
          <c:tx>
            <c:strRef>
              <c:f>exercise_motor!$F$34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8.2756545413437905</c:v>
                </c:pt>
                <c:pt idx="2">
                  <c:v>15.551309082687581</c:v>
                </c:pt>
                <c:pt idx="3">
                  <c:v>22.826963624031372</c:v>
                </c:pt>
                <c:pt idx="4">
                  <c:v>30.102618165375162</c:v>
                </c:pt>
                <c:pt idx="5">
                  <c:v>37.378272706718953</c:v>
                </c:pt>
                <c:pt idx="6">
                  <c:v>44.653927248062743</c:v>
                </c:pt>
                <c:pt idx="7">
                  <c:v>51.929581789406534</c:v>
                </c:pt>
                <c:pt idx="8">
                  <c:v>59.205236330750324</c:v>
                </c:pt>
                <c:pt idx="9">
                  <c:v>66.480890872094108</c:v>
                </c:pt>
                <c:pt idx="10">
                  <c:v>73.756545413437891</c:v>
                </c:pt>
                <c:pt idx="11">
                  <c:v>81.032199954781674</c:v>
                </c:pt>
                <c:pt idx="12">
                  <c:v>88.307854496125458</c:v>
                </c:pt>
                <c:pt idx="13">
                  <c:v>95.583509037469241</c:v>
                </c:pt>
                <c:pt idx="14">
                  <c:v>102.85916357881302</c:v>
                </c:pt>
                <c:pt idx="15">
                  <c:v>110.13481812015681</c:v>
                </c:pt>
                <c:pt idx="16">
                  <c:v>117.41047266150059</c:v>
                </c:pt>
                <c:pt idx="17">
                  <c:v>124.68612720284438</c:v>
                </c:pt>
                <c:pt idx="18">
                  <c:v>131.96178174418816</c:v>
                </c:pt>
                <c:pt idx="19">
                  <c:v>139.23743628553194</c:v>
                </c:pt>
                <c:pt idx="20">
                  <c:v>146.51309082687573</c:v>
                </c:pt>
              </c:numCache>
            </c:numRef>
          </c:xVal>
          <c:yVal>
            <c:numRef>
              <c:f>exercise_motor!$F$35:$F$55</c:f>
              <c:numCache>
                <c:formatCode>0.000000</c:formatCode>
                <c:ptCount val="21"/>
                <c:pt idx="0">
                  <c:v>-6.7016221001914289E-5</c:v>
                </c:pt>
                <c:pt idx="1">
                  <c:v>9.9818206947077659E-4</c:v>
                </c:pt>
                <c:pt idx="2">
                  <c:v>2.1142852181949001E-3</c:v>
                </c:pt>
                <c:pt idx="3">
                  <c:v>3.2860978400225394E-3</c:v>
                </c:pt>
                <c:pt idx="4">
                  <c:v>4.5161267382340942E-3</c:v>
                </c:pt>
                <c:pt idx="5">
                  <c:v>5.8049864084459557E-3</c:v>
                </c:pt>
                <c:pt idx="6">
                  <c:v>7.1518045425180699E-3</c:v>
                </c:pt>
                <c:pt idx="7">
                  <c:v>8.554627532463388E-3</c:v>
                </c:pt>
                <c:pt idx="8">
                  <c:v>1.0010825974354542E-2</c:v>
                </c:pt>
                <c:pt idx="9">
                  <c:v>1.1517500172233408E-2</c:v>
                </c:pt>
                <c:pt idx="10">
                  <c:v>1.3071885642018222E-2</c:v>
                </c:pt>
                <c:pt idx="11">
                  <c:v>1.4671758615412589E-2</c:v>
                </c:pt>
                <c:pt idx="12">
                  <c:v>1.6315841543812937E-2</c:v>
                </c:pt>
                <c:pt idx="13">
                  <c:v>1.8004208602216631E-2</c:v>
                </c:pt>
                <c:pt idx="14">
                  <c:v>1.9738691193131319E-2</c:v>
                </c:pt>
                <c:pt idx="15">
                  <c:v>2.1523283450481712E-2</c:v>
                </c:pt>
                <c:pt idx="16">
                  <c:v>2.3364547743518149E-2</c:v>
                </c:pt>
                <c:pt idx="17">
                  <c:v>2.5272020180725385E-2</c:v>
                </c:pt>
                <c:pt idx="18">
                  <c:v>2.725861611373015E-2</c:v>
                </c:pt>
                <c:pt idx="19">
                  <c:v>2.9341035641208824E-2</c:v>
                </c:pt>
                <c:pt idx="20" formatCode="0.000">
                  <c:v>3.1540169112797112E-2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3A-4F6F-97E9-C4DFAA139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1030976"/>
        <c:axId val="1706892496"/>
      </c:scatterChart>
      <c:scatterChart>
        <c:scatterStyle val="smoothMarker"/>
        <c:varyColors val="0"/>
        <c:ser>
          <c:idx val="1"/>
          <c:order val="0"/>
          <c:tx>
            <c:strRef>
              <c:f>exercise_motor!$C$34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8.2756545413437905</c:v>
                </c:pt>
                <c:pt idx="2">
                  <c:v>15.551309082687581</c:v>
                </c:pt>
                <c:pt idx="3">
                  <c:v>22.826963624031372</c:v>
                </c:pt>
                <c:pt idx="4">
                  <c:v>30.102618165375162</c:v>
                </c:pt>
                <c:pt idx="5">
                  <c:v>37.378272706718953</c:v>
                </c:pt>
                <c:pt idx="6">
                  <c:v>44.653927248062743</c:v>
                </c:pt>
                <c:pt idx="7">
                  <c:v>51.929581789406534</c:v>
                </c:pt>
                <c:pt idx="8">
                  <c:v>59.205236330750324</c:v>
                </c:pt>
                <c:pt idx="9">
                  <c:v>66.480890872094108</c:v>
                </c:pt>
                <c:pt idx="10">
                  <c:v>73.756545413437891</c:v>
                </c:pt>
                <c:pt idx="11">
                  <c:v>81.032199954781674</c:v>
                </c:pt>
                <c:pt idx="12">
                  <c:v>88.307854496125458</c:v>
                </c:pt>
                <c:pt idx="13">
                  <c:v>95.583509037469241</c:v>
                </c:pt>
                <c:pt idx="14">
                  <c:v>102.85916357881302</c:v>
                </c:pt>
                <c:pt idx="15">
                  <c:v>110.13481812015681</c:v>
                </c:pt>
                <c:pt idx="16">
                  <c:v>117.41047266150059</c:v>
                </c:pt>
                <c:pt idx="17">
                  <c:v>124.68612720284438</c:v>
                </c:pt>
                <c:pt idx="18">
                  <c:v>131.96178174418816</c:v>
                </c:pt>
                <c:pt idx="19">
                  <c:v>139.23743628553194</c:v>
                </c:pt>
                <c:pt idx="20">
                  <c:v>146.51309082687573</c:v>
                </c:pt>
              </c:numCache>
            </c:numRef>
          </c:xVal>
          <c:yVal>
            <c:numRef>
              <c:f>exercise_motor!$C$35:$C$55</c:f>
              <c:numCache>
                <c:formatCode>0.00</c:formatCode>
                <c:ptCount val="21"/>
                <c:pt idx="0">
                  <c:v>10.082918418626519</c:v>
                </c:pt>
                <c:pt idx="1">
                  <c:v>10.782132102286885</c:v>
                </c:pt>
                <c:pt idx="2">
                  <c:v>11.516950866329386</c:v>
                </c:pt>
                <c:pt idx="3">
                  <c:v>12.310241709821275</c:v>
                </c:pt>
                <c:pt idx="4">
                  <c:v>13.179732444488453</c:v>
                </c:pt>
                <c:pt idx="5">
                  <c:v>14.138342291151256</c:v>
                </c:pt>
                <c:pt idx="6">
                  <c:v>15.194512476160231</c:v>
                </c:pt>
                <c:pt idx="7">
                  <c:v>16.352536827831944</c:v>
                </c:pt>
                <c:pt idx="8">
                  <c:v>17.612892372884755</c:v>
                </c:pt>
                <c:pt idx="9">
                  <c:v>18.972569932874602</c:v>
                </c:pt>
                <c:pt idx="10">
                  <c:v>20.425404720630809</c:v>
                </c:pt>
                <c:pt idx="11">
                  <c:v>21.962406936691846</c:v>
                </c:pt>
                <c:pt idx="12">
                  <c:v>23.572092365741149</c:v>
                </c:pt>
                <c:pt idx="13">
                  <c:v>25.240812973042864</c:v>
                </c:pt>
                <c:pt idx="14">
                  <c:v>26.953087500877679</c:v>
                </c:pt>
                <c:pt idx="15">
                  <c:v>28.691932064978602</c:v>
                </c:pt>
                <c:pt idx="16">
                  <c:v>30.439190750966727</c:v>
                </c:pt>
                <c:pt idx="17">
                  <c:v>32.175866210787028</c:v>
                </c:pt>
                <c:pt idx="18">
                  <c:v>33.882450259144186</c:v>
                </c:pt>
                <c:pt idx="19">
                  <c:v>35.539254469938314</c:v>
                </c:pt>
                <c:pt idx="20">
                  <c:v>37.126740772700771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2A-4F68-A530-981AF05AE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36000"/>
        <c:axId val="41948480"/>
      </c:scatterChart>
      <c:valAx>
        <c:axId val="143103097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на валу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6892496"/>
        <c:crosses val="autoZero"/>
        <c:crossBetween val="midCat"/>
      </c:valAx>
      <c:valAx>
        <c:axId val="170689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</a:t>
                </a:r>
                <a:r>
                  <a:rPr lang="en-US"/>
                  <a:t>cos </a:t>
                </a:r>
                <a:r>
                  <a:rPr lang="el-GR"/>
                  <a:t>ϕ</a:t>
                </a:r>
                <a:r>
                  <a:rPr lang="ru-RU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31030976"/>
        <c:crosses val="autoZero"/>
        <c:crossBetween val="midCat"/>
      </c:valAx>
      <c:valAx>
        <c:axId val="4194848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936000"/>
        <c:crosses val="max"/>
        <c:crossBetween val="midCat"/>
      </c:valAx>
      <c:valAx>
        <c:axId val="4193600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4194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355324</xdr:colOff>
      <xdr:row>33</xdr:row>
      <xdr:rowOff>56687</xdr:rowOff>
    </xdr:from>
    <xdr:to>
      <xdr:col>20</xdr:col>
      <xdr:colOff>466726</xdr:colOff>
      <xdr:row>55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805FC47-A0DA-4E69-BCFB-460C6CAF84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532535</xdr:colOff>
      <xdr:row>0</xdr:row>
      <xdr:rowOff>9525</xdr:rowOff>
    </xdr:from>
    <xdr:to>
      <xdr:col>15</xdr:col>
      <xdr:colOff>446810</xdr:colOff>
      <xdr:row>13</xdr:row>
      <xdr:rowOff>114300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029C95F-909E-4492-8985-15DCBCC2DB07}"/>
            </a:ext>
          </a:extLst>
        </xdr:cNvPr>
        <xdr:cNvSpPr txBox="1"/>
      </xdr:nvSpPr>
      <xdr:spPr>
        <a:xfrm>
          <a:off x="4733060" y="9525"/>
          <a:ext cx="5600700" cy="26193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</a:t>
          </a:r>
          <a:r>
            <a:rPr lang="ru-RU" sz="1100" baseline="0"/>
            <a:t> показывает характеристики погружного  электрического двигателя, применяемого в УЭЦН.</a:t>
          </a:r>
        </a:p>
        <a:p>
          <a:endParaRPr lang="ru-RU" sz="1100" baseline="0"/>
        </a:p>
        <a:p>
          <a:pPr eaLnBrk="1" fontAlgn="auto" latinLnBrk="0" hangingPunct="1"/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>
            <a:effectLst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Определите номинальные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параметры ПЭД, включая номинальный ток, номинальный момент на валу.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зависимость параметров ПЭД от мощности на валу (от загрузки ПЭД). Сравните с характеристиками ПЭД из каталога</a:t>
          </a:r>
        </a:p>
        <a:p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Используйте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функции:</a:t>
          </a:r>
          <a:endParaRPr lang="ru-RU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ESP_motor_nameplate</a:t>
          </a:r>
          <a:endParaRPr lang="ru-RU" sz="110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ESP_motor_calc_mom</a:t>
          </a:r>
          <a:endParaRPr lang="ru-RU" sz="110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365940F2-664A-4738-81FF-62B5F738F497}"/>
            </a:ext>
          </a:extLst>
        </xdr:cNvPr>
        <xdr:cNvSpPr/>
      </xdr:nvSpPr>
      <xdr:spPr>
        <a:xfrm>
          <a:off x="32721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15</xdr:col>
      <xdr:colOff>504825</xdr:colOff>
      <xdr:row>0</xdr:row>
      <xdr:rowOff>28575</xdr:rowOff>
    </xdr:from>
    <xdr:to>
      <xdr:col>24</xdr:col>
      <xdr:colOff>481542</xdr:colOff>
      <xdr:row>13</xdr:row>
      <xdr:rowOff>133350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39C93CDF-615C-4C6D-95BD-E6173E0DC642}"/>
            </a:ext>
          </a:extLst>
        </xdr:cNvPr>
        <xdr:cNvSpPr txBox="1"/>
      </xdr:nvSpPr>
      <xdr:spPr>
        <a:xfrm>
          <a:off x="10391775" y="28575"/>
          <a:ext cx="5463117" cy="261937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Почему ассинхронный двигатель называется ассинхронным?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Что такое проскальзывание?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Что такое загрузка, мощность на валу и момент на валу двигателя. Как они связаны между собой?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 меняются КПД и коэффициент мощности ПЭД в зависимости от загрузки?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Как меняется скольжение ПЭД в зависимости от загрузки?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загрузка двигателя отличается от нагрузки двигателя?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Как характеристики асинхронного двигателя отличаются от вентильного?</a:t>
          </a:r>
        </a:p>
      </xdr:txBody>
    </xdr:sp>
    <xdr:clientData/>
  </xdr:twoCellAnchor>
  <xdr:twoCellAnchor>
    <xdr:from>
      <xdr:col>14</xdr:col>
      <xdr:colOff>575227</xdr:colOff>
      <xdr:row>26</xdr:row>
      <xdr:rowOff>174763</xdr:rowOff>
    </xdr:from>
    <xdr:to>
      <xdr:col>20</xdr:col>
      <xdr:colOff>9938</xdr:colOff>
      <xdr:row>30</xdr:row>
      <xdr:rowOff>184288</xdr:rowOff>
    </xdr:to>
    <xdr:sp macro="" textlink="">
      <xdr:nvSpPr>
        <xdr:cNvPr id="17" name="Выноска со стрелкой влево 3">
          <a:extLst>
            <a:ext uri="{FF2B5EF4-FFF2-40B4-BE49-F238E27FC236}">
              <a16:creationId xmlns:a16="http://schemas.microsoft.com/office/drawing/2014/main" id="{F5E17161-8420-4C48-A074-34B0DB3D7930}"/>
            </a:ext>
          </a:extLst>
        </xdr:cNvPr>
        <xdr:cNvSpPr/>
      </xdr:nvSpPr>
      <xdr:spPr>
        <a:xfrm>
          <a:off x="9810336" y="5376241"/>
          <a:ext cx="3112189" cy="771525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/>
            <a:t>1.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Определите номинальные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параметры ПЭД, включая номинальный ток, номинальный момент на валу.</a:t>
          </a:r>
          <a:endParaRPr lang="ru-RU" sz="1100">
            <a:effectLst/>
          </a:endParaRPr>
        </a:p>
      </xdr:txBody>
    </xdr:sp>
    <xdr:clientData/>
  </xdr:twoCellAnchor>
  <xdr:twoCellAnchor>
    <xdr:from>
      <xdr:col>8</xdr:col>
      <xdr:colOff>161925</xdr:colOff>
      <xdr:row>39</xdr:row>
      <xdr:rowOff>0</xdr:rowOff>
    </xdr:from>
    <xdr:to>
      <xdr:col>13</xdr:col>
      <xdr:colOff>9524</xdr:colOff>
      <xdr:row>43</xdr:row>
      <xdr:rowOff>9525</xdr:rowOff>
    </xdr:to>
    <xdr:sp macro="" textlink="">
      <xdr:nvSpPr>
        <xdr:cNvPr id="18" name="Выноска со стрелкой влево 3">
          <a:extLst>
            <a:ext uri="{FF2B5EF4-FFF2-40B4-BE49-F238E27FC236}">
              <a16:creationId xmlns:a16="http://schemas.microsoft.com/office/drawing/2014/main" id="{4CE8DBC8-9523-49F5-BCAC-FD8FAB8A2F15}"/>
            </a:ext>
          </a:extLst>
        </xdr:cNvPr>
        <xdr:cNvSpPr/>
      </xdr:nvSpPr>
      <xdr:spPr>
        <a:xfrm>
          <a:off x="5581650" y="7543800"/>
          <a:ext cx="3095624" cy="771525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/>
            <a:t>1.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зависимость параметров ПЭД от мощности на валу (от загрузки ПЭД). Сравните с характеристиками ПЭД из каталога</a:t>
          </a:r>
          <a:endParaRPr lang="ru-RU" sz="1100">
            <a:effectLst/>
          </a:endParaRPr>
        </a:p>
        <a:p>
          <a:endParaRPr lang="ru-RU" sz="11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1</xdr:row>
      <xdr:rowOff>57150</xdr:rowOff>
    </xdr:from>
    <xdr:to>
      <xdr:col>14</xdr:col>
      <xdr:colOff>0</xdr:colOff>
      <xdr:row>36</xdr:row>
      <xdr:rowOff>142875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1C6118D-62D1-4EC8-AE04-3CF1CC661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47650"/>
          <a:ext cx="8153400" cy="67532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10</xdr:col>
      <xdr:colOff>363255</xdr:colOff>
      <xdr:row>82</xdr:row>
      <xdr:rowOff>112059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12A9CDB5-D0C9-4C23-999C-0C002B90D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5118" y="7620000"/>
          <a:ext cx="5809313" cy="8113059"/>
        </a:xfrm>
        <a:prstGeom prst="rect">
          <a:avLst/>
        </a:prstGeom>
      </xdr:spPr>
    </xdr:pic>
    <xdr:clientData/>
  </xdr:twoCellAnchor>
  <xdr:twoCellAnchor editAs="oneCell">
    <xdr:from>
      <xdr:col>10</xdr:col>
      <xdr:colOff>225239</xdr:colOff>
      <xdr:row>39</xdr:row>
      <xdr:rowOff>12887</xdr:rowOff>
    </xdr:from>
    <xdr:to>
      <xdr:col>19</xdr:col>
      <xdr:colOff>582707</xdr:colOff>
      <xdr:row>82</xdr:row>
      <xdr:rowOff>183414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489C38DD-01C4-48C6-BEA5-71D626084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76415" y="7442387"/>
          <a:ext cx="5893174" cy="836202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87</xdr:row>
      <xdr:rowOff>0</xdr:rowOff>
    </xdr:from>
    <xdr:to>
      <xdr:col>9</xdr:col>
      <xdr:colOff>476766</xdr:colOff>
      <xdr:row>127</xdr:row>
      <xdr:rowOff>156882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90E3793-8E7C-4545-887D-42E9B248C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5119" y="16573500"/>
          <a:ext cx="5317706" cy="7776882"/>
        </a:xfrm>
        <a:prstGeom prst="rect">
          <a:avLst/>
        </a:prstGeom>
      </xdr:spPr>
    </xdr:pic>
    <xdr:clientData/>
  </xdr:twoCellAnchor>
  <xdr:twoCellAnchor editAs="oneCell">
    <xdr:from>
      <xdr:col>10</xdr:col>
      <xdr:colOff>123265</xdr:colOff>
      <xdr:row>86</xdr:row>
      <xdr:rowOff>56029</xdr:rowOff>
    </xdr:from>
    <xdr:to>
      <xdr:col>19</xdr:col>
      <xdr:colOff>88229</xdr:colOff>
      <xdr:row>130</xdr:row>
      <xdr:rowOff>11206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B9BF9320-1264-4AD2-B5BD-93CFAFF80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74441" y="16439029"/>
          <a:ext cx="5500670" cy="833717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132</xdr:row>
      <xdr:rowOff>1</xdr:rowOff>
    </xdr:from>
    <xdr:to>
      <xdr:col>10</xdr:col>
      <xdr:colOff>256303</xdr:colOff>
      <xdr:row>176</xdr:row>
      <xdr:rowOff>156883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4DD19B8E-57BA-44E9-ABCB-AA4FCE1EC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5118" y="25146001"/>
          <a:ext cx="5702361" cy="8538882"/>
        </a:xfrm>
        <a:prstGeom prst="rect">
          <a:avLst/>
        </a:prstGeom>
      </xdr:spPr>
    </xdr:pic>
    <xdr:clientData/>
  </xdr:twoCellAnchor>
  <xdr:twoCellAnchor editAs="oneCell">
    <xdr:from>
      <xdr:col>10</xdr:col>
      <xdr:colOff>347383</xdr:colOff>
      <xdr:row>131</xdr:row>
      <xdr:rowOff>112059</xdr:rowOff>
    </xdr:from>
    <xdr:to>
      <xdr:col>20</xdr:col>
      <xdr:colOff>58888</xdr:colOff>
      <xdr:row>180</xdr:row>
      <xdr:rowOff>156882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D1D0E71C-02DE-489C-9D88-03DEB0691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98559" y="25067559"/>
          <a:ext cx="6087653" cy="937932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motor_calc_mom"/>
      <definedName name="ESP_motor_nameplate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406D6-01FB-43E6-A9BD-45327783DFF7}">
  <sheetPr codeName="Лист1"/>
  <dimension ref="A1:M56"/>
  <sheetViews>
    <sheetView tabSelected="1" zoomScaleNormal="100" workbookViewId="0">
      <selection activeCell="J18" sqref="J18"/>
    </sheetView>
  </sheetViews>
  <sheetFormatPr defaultRowHeight="15" x14ac:dyDescent="0.25"/>
  <cols>
    <col min="2" max="2" width="8.28515625" customWidth="1"/>
    <col min="3" max="3" width="11.42578125" customWidth="1"/>
    <col min="4" max="4" width="12.42578125" customWidth="1"/>
    <col min="5" max="5" width="11.42578125" customWidth="1"/>
    <col min="9" max="9" width="10.28515625" customWidth="1"/>
    <col min="10" max="10" width="11" bestFit="1" customWidth="1"/>
  </cols>
  <sheetData>
    <row r="1" spans="1:12" x14ac:dyDescent="0.25">
      <c r="A1" s="16" t="s">
        <v>36</v>
      </c>
      <c r="F1" t="s">
        <v>37</v>
      </c>
      <c r="G1" t="str">
        <f>[1]!unf_Version()</f>
        <v>7.25</v>
      </c>
      <c r="H1" t="s">
        <v>38</v>
      </c>
      <c r="I1" s="17">
        <v>44027</v>
      </c>
      <c r="J1" s="18"/>
      <c r="K1" s="18"/>
      <c r="L1" s="18"/>
    </row>
    <row r="2" spans="1:12" x14ac:dyDescent="0.25">
      <c r="A2" t="s">
        <v>52</v>
      </c>
      <c r="H2" t="s">
        <v>39</v>
      </c>
      <c r="I2" s="19">
        <v>7.25</v>
      </c>
      <c r="J2" s="18"/>
      <c r="K2" s="18"/>
      <c r="L2" s="18"/>
    </row>
    <row r="3" spans="1:12" x14ac:dyDescent="0.25">
      <c r="A3" s="20" t="s">
        <v>40</v>
      </c>
      <c r="B3" s="27" t="s">
        <v>41</v>
      </c>
      <c r="C3" s="28"/>
      <c r="D3" s="28"/>
      <c r="E3" s="29"/>
      <c r="H3" t="s">
        <v>42</v>
      </c>
      <c r="I3" s="18" t="s">
        <v>41</v>
      </c>
      <c r="J3" s="18"/>
      <c r="K3" s="18"/>
      <c r="L3" s="18"/>
    </row>
    <row r="4" spans="1:12" x14ac:dyDescent="0.25">
      <c r="A4" s="20" t="s">
        <v>43</v>
      </c>
      <c r="B4" s="27" t="s">
        <v>44</v>
      </c>
      <c r="C4" s="28"/>
      <c r="D4" s="28"/>
      <c r="E4" s="29"/>
      <c r="H4" t="s">
        <v>45</v>
      </c>
      <c r="I4" s="18" t="s">
        <v>44</v>
      </c>
      <c r="J4" s="18"/>
      <c r="K4" s="18"/>
      <c r="L4" s="18"/>
    </row>
    <row r="5" spans="1:12" x14ac:dyDescent="0.25">
      <c r="A5" s="20" t="s">
        <v>46</v>
      </c>
      <c r="B5" s="27" t="s">
        <v>47</v>
      </c>
      <c r="C5" s="28"/>
      <c r="D5" s="28"/>
      <c r="E5" s="29"/>
      <c r="H5" t="s">
        <v>48</v>
      </c>
      <c r="I5" s="18" t="s">
        <v>47</v>
      </c>
      <c r="J5" s="18"/>
      <c r="K5" s="18"/>
      <c r="L5" s="18"/>
    </row>
    <row r="6" spans="1:12" x14ac:dyDescent="0.25">
      <c r="A6" s="21" t="s">
        <v>49</v>
      </c>
      <c r="B6" s="30" t="s">
        <v>50</v>
      </c>
      <c r="C6" s="31"/>
      <c r="D6" s="31"/>
      <c r="E6" s="32"/>
      <c r="H6" s="22" t="s">
        <v>51</v>
      </c>
      <c r="I6" s="23" t="s">
        <v>50</v>
      </c>
      <c r="J6" s="23"/>
      <c r="K6" s="23"/>
      <c r="L6" s="23"/>
    </row>
    <row r="7" spans="1:12" x14ac:dyDescent="0.25">
      <c r="A7" s="24"/>
      <c r="B7" s="33"/>
      <c r="C7" s="34"/>
      <c r="D7" s="34"/>
      <c r="E7" s="35"/>
      <c r="H7" s="22"/>
      <c r="I7" s="23"/>
      <c r="J7" s="23"/>
      <c r="K7" s="23"/>
      <c r="L7" s="23"/>
    </row>
    <row r="8" spans="1:12" x14ac:dyDescent="0.25">
      <c r="A8" s="25"/>
      <c r="B8" s="36"/>
      <c r="C8" s="37"/>
      <c r="D8" s="37"/>
      <c r="E8" s="38"/>
      <c r="H8" s="22"/>
      <c r="I8" s="23"/>
      <c r="J8" s="23"/>
      <c r="K8" s="23"/>
      <c r="L8" s="23"/>
    </row>
    <row r="9" spans="1:12" x14ac:dyDescent="0.25">
      <c r="A9" s="10"/>
      <c r="B9" s="10"/>
      <c r="C9" s="10"/>
      <c r="D9" s="10"/>
      <c r="E9" s="10"/>
    </row>
    <row r="11" spans="1:12" x14ac:dyDescent="0.25">
      <c r="B11" s="1" t="s">
        <v>7</v>
      </c>
    </row>
    <row r="12" spans="1:12" x14ac:dyDescent="0.25">
      <c r="B12" s="2" t="s">
        <v>3</v>
      </c>
      <c r="C12" s="3">
        <v>1</v>
      </c>
      <c r="D12" s="4"/>
    </row>
    <row r="13" spans="1:12" ht="18" x14ac:dyDescent="0.35">
      <c r="B13" s="2" t="s">
        <v>12</v>
      </c>
      <c r="C13" s="3">
        <v>1000</v>
      </c>
      <c r="D13" s="4" t="s">
        <v>0</v>
      </c>
    </row>
    <row r="14" spans="1:12" ht="18" x14ac:dyDescent="0.35">
      <c r="B14" s="2" t="s">
        <v>13</v>
      </c>
      <c r="C14" s="3">
        <v>50</v>
      </c>
      <c r="D14" s="4" t="s">
        <v>1</v>
      </c>
    </row>
    <row r="15" spans="1:12" ht="18" x14ac:dyDescent="0.35">
      <c r="B15" s="2" t="s">
        <v>17</v>
      </c>
      <c r="C15" s="3">
        <v>32</v>
      </c>
      <c r="D15" s="4" t="s">
        <v>2</v>
      </c>
    </row>
    <row r="16" spans="1:12" ht="18" x14ac:dyDescent="0.35">
      <c r="B16" s="2" t="s">
        <v>53</v>
      </c>
      <c r="C16" s="3">
        <v>0.02</v>
      </c>
      <c r="D16" s="4"/>
    </row>
    <row r="17" spans="2:13" ht="18" x14ac:dyDescent="0.35">
      <c r="B17" s="2" t="s">
        <v>54</v>
      </c>
      <c r="C17" s="3">
        <v>0.85</v>
      </c>
      <c r="D17" s="4"/>
    </row>
    <row r="18" spans="2:13" ht="18" x14ac:dyDescent="0.35">
      <c r="B18" s="2" t="s">
        <v>55</v>
      </c>
      <c r="C18" s="3">
        <v>0.8</v>
      </c>
      <c r="D18" s="4"/>
    </row>
    <row r="19" spans="2:13" x14ac:dyDescent="0.25">
      <c r="B19" s="26" t="s">
        <v>56</v>
      </c>
      <c r="C19" s="3">
        <v>2.5</v>
      </c>
      <c r="D19" s="4"/>
    </row>
    <row r="20" spans="2:13" x14ac:dyDescent="0.25">
      <c r="B20" s="26" t="s">
        <v>57</v>
      </c>
      <c r="C20" s="3">
        <v>0.56999999999999995</v>
      </c>
      <c r="D20" s="4"/>
    </row>
    <row r="21" spans="2:13" x14ac:dyDescent="0.25">
      <c r="B21" s="26" t="s">
        <v>58</v>
      </c>
      <c r="C21" s="3">
        <v>1.05</v>
      </c>
      <c r="D21" s="4"/>
    </row>
    <row r="23" spans="2:13" x14ac:dyDescent="0.25">
      <c r="B23" s="1" t="s">
        <v>8</v>
      </c>
    </row>
    <row r="24" spans="2:13" x14ac:dyDescent="0.25">
      <c r="B24" s="2" t="s">
        <v>9</v>
      </c>
      <c r="C24" s="3">
        <v>1000</v>
      </c>
      <c r="D24" s="4" t="s">
        <v>0</v>
      </c>
    </row>
    <row r="25" spans="2:13" x14ac:dyDescent="0.25">
      <c r="B25" s="2" t="s">
        <v>10</v>
      </c>
      <c r="C25" s="3">
        <v>50</v>
      </c>
      <c r="D25" s="4" t="s">
        <v>1</v>
      </c>
    </row>
    <row r="28" spans="2:13" x14ac:dyDescent="0.25">
      <c r="B28" s="1" t="s">
        <v>35</v>
      </c>
    </row>
    <row r="29" spans="2:13" x14ac:dyDescent="0.25">
      <c r="B29" s="11" t="str" cm="1">
        <f t="array" ref="B29:M30">[1]!ESP_motor_nameplate(Unom,Pnom,Fnom,ID,eff_nom,cos_nom,slip_nom)</f>
        <v>ПЭД 32-117-1000</v>
      </c>
      <c r="C29" s="11" t="str">
        <v>ПЭД 32-117-1000</v>
      </c>
      <c r="D29" s="11" t="str">
        <v>Generic</v>
      </c>
      <c r="E29" s="11" t="str">
        <v>32</v>
      </c>
      <c r="F29" s="11" t="str">
        <v>1000</v>
      </c>
      <c r="G29" s="11" t="str">
        <v>27,169424432453</v>
      </c>
      <c r="H29" s="11" t="str">
        <v>0,02</v>
      </c>
      <c r="I29" s="11" t="str">
        <v>0,8</v>
      </c>
      <c r="J29" s="11" t="str">
        <v>50</v>
      </c>
      <c r="K29" s="11" t="str">
        <v>103,937922019197</v>
      </c>
      <c r="L29" s="11" t="str">
        <v>10</v>
      </c>
      <c r="M29" s="11" t="str">
        <v>117</v>
      </c>
    </row>
    <row r="30" spans="2:13" x14ac:dyDescent="0.25">
      <c r="B30" s="11" t="str">
        <v>name</v>
      </c>
      <c r="C30" s="11" t="str">
        <v>name</v>
      </c>
      <c r="D30" s="11" t="str">
        <v>manufacturer_name</v>
      </c>
      <c r="E30" s="11" t="str">
        <v>Pnom_kW</v>
      </c>
      <c r="F30" s="11" t="str">
        <v>Unom_lin_V</v>
      </c>
      <c r="G30" s="11" t="str">
        <v>Inom_lin_A</v>
      </c>
      <c r="H30" s="11" t="str">
        <v>Snom_d</v>
      </c>
      <c r="I30" s="11" t="str">
        <v>CosPhinom_d</v>
      </c>
      <c r="J30" s="11" t="str">
        <v>Fnom_Hz</v>
      </c>
      <c r="K30" s="11" t="str">
        <v>Mnom_Nm</v>
      </c>
      <c r="L30" s="11" t="str">
        <v>length_m</v>
      </c>
      <c r="M30" s="11" t="str">
        <v>d_od_mm</v>
      </c>
    </row>
    <row r="33" spans="2:8" x14ac:dyDescent="0.25">
      <c r="B33" s="1" t="s">
        <v>14</v>
      </c>
    </row>
    <row r="34" spans="2:8" x14ac:dyDescent="0.25">
      <c r="B34" s="5" t="s">
        <v>11</v>
      </c>
      <c r="C34" s="5" t="s">
        <v>5</v>
      </c>
      <c r="D34" s="5" t="s">
        <v>16</v>
      </c>
      <c r="E34" s="5" t="s">
        <v>15</v>
      </c>
      <c r="F34" s="5" t="s">
        <v>6</v>
      </c>
      <c r="G34" s="5" t="s">
        <v>11</v>
      </c>
      <c r="H34" s="5" t="s">
        <v>4</v>
      </c>
    </row>
    <row r="35" spans="2:8" x14ac:dyDescent="0.25">
      <c r="B35" s="6">
        <v>1</v>
      </c>
      <c r="C35" s="12">
        <f t="array" ref="C35:H35">[1]!ESP_motor_calc_mom(B35,F,U,Unom,Pnom,Fnom,ID,eff_nom,cos_nom,slip_nom,117,lambda,alpha,xi)</f>
        <v>10.082918418626519</v>
      </c>
      <c r="D35" s="12">
        <v>8.7586900101873005E-2</v>
      </c>
      <c r="E35" s="13">
        <v>0.20539645318891719</v>
      </c>
      <c r="F35" s="14">
        <v>-6.7016221001914289E-5</v>
      </c>
      <c r="G35" s="12">
        <v>1</v>
      </c>
      <c r="H35" s="11">
        <v>0.31418031912573607</v>
      </c>
    </row>
    <row r="36" spans="2:8" x14ac:dyDescent="0.25">
      <c r="B36" s="6">
        <f t="shared" ref="B36:B55" si="0">$K$29*0.07+B35</f>
        <v>8.2756545413437905</v>
      </c>
      <c r="C36" s="12">
        <f t="array" ref="C36:H36">[1]!ESP_motor_calc_mom(B36,F,U,Unom,Pnom,Fnom,ID,eff_nom,cos_nom,slip_nom,117,lambda,alpha,xi)</f>
        <v>10.782132102286885</v>
      </c>
      <c r="D36" s="12">
        <v>0.3244173972469957</v>
      </c>
      <c r="E36" s="13">
        <v>0.42869566595675335</v>
      </c>
      <c r="F36" s="14">
        <v>9.9818206947077659E-4</v>
      </c>
      <c r="G36" s="12">
        <v>8.2756545413437905</v>
      </c>
      <c r="H36" s="11">
        <v>2.597278403911691</v>
      </c>
    </row>
    <row r="37" spans="2:8" x14ac:dyDescent="0.25">
      <c r="B37" s="6">
        <f t="shared" si="0"/>
        <v>15.551309082687581</v>
      </c>
      <c r="C37" s="12">
        <f t="array" ref="C37:H37">[1]!ESP_motor_calc_mom(B37,F,U,Unom,Pnom,Fnom,ID,eff_nom,cos_nom,slip_nom,117,lambda,alpha,xi)</f>
        <v>11.516950866329386</v>
      </c>
      <c r="D37" s="12">
        <v>0.41631599426512655</v>
      </c>
      <c r="E37" s="13">
        <v>0.58705175903835805</v>
      </c>
      <c r="F37" s="14">
        <v>2.1142852181949001E-3</v>
      </c>
      <c r="G37" s="12">
        <v>15.551309082687581</v>
      </c>
      <c r="H37" s="11">
        <v>4.8752583106420353</v>
      </c>
    </row>
    <row r="38" spans="2:8" x14ac:dyDescent="0.25">
      <c r="B38" s="6">
        <f t="shared" si="0"/>
        <v>22.826963624031372</v>
      </c>
      <c r="C38" s="12">
        <f t="array" ref="C38:H38">[1]!ESP_motor_calc_mom(B38,F,U,Unom,Pnom,Fnom,ID,eff_nom,cos_nom,slip_nom,117,lambda,alpha,xi)</f>
        <v>12.310241709821275</v>
      </c>
      <c r="D38" s="12">
        <v>0.48193832807297721</v>
      </c>
      <c r="E38" s="13">
        <v>0.69558444401646913</v>
      </c>
      <c r="F38" s="14">
        <v>3.2860978400225394E-3</v>
      </c>
      <c r="G38" s="12">
        <v>22.826963624031372</v>
      </c>
      <c r="H38" s="11">
        <v>7.1477365220869302</v>
      </c>
    </row>
    <row r="39" spans="2:8" x14ac:dyDescent="0.25">
      <c r="B39" s="6">
        <f t="shared" si="0"/>
        <v>30.102618165375162</v>
      </c>
      <c r="C39" s="12">
        <f t="array" ref="C39:H39">[1]!ESP_motor_calc_mom(B39,F,U,Unom,Pnom,Fnom,ID,eff_nom,cos_nom,slip_nom,117,lambda,alpha,xi)</f>
        <v>13.179732444488453</v>
      </c>
      <c r="D39" s="12">
        <v>0.53774834282239103</v>
      </c>
      <c r="E39" s="13">
        <v>0.76690588327337239</v>
      </c>
      <c r="F39" s="14">
        <v>4.5161267382340942E-3</v>
      </c>
      <c r="G39" s="12">
        <v>30.102618165375162</v>
      </c>
      <c r="H39" s="11">
        <v>9.4143073235510535</v>
      </c>
    </row>
    <row r="40" spans="2:8" x14ac:dyDescent="0.25">
      <c r="B40" s="6">
        <f t="shared" si="0"/>
        <v>37.378272706718953</v>
      </c>
      <c r="C40" s="12">
        <f t="array" ref="C40:H40">[1]!ESP_motor_calc_mom(B40,F,U,Unom,Pnom,Fnom,ID,eff_nom,cos_nom,slip_nom,117,lambda,alpha,xi)</f>
        <v>14.138342291151256</v>
      </c>
      <c r="D40" s="12">
        <v>0.58759713162494576</v>
      </c>
      <c r="E40" s="13">
        <v>0.81133814597990306</v>
      </c>
      <c r="F40" s="14">
        <v>5.8049864084459557E-3</v>
      </c>
      <c r="G40" s="12">
        <v>37.378272706718953</v>
      </c>
      <c r="H40" s="11">
        <v>11.674564301854094</v>
      </c>
    </row>
    <row r="41" spans="2:8" x14ac:dyDescent="0.25">
      <c r="B41" s="6">
        <f t="shared" si="0"/>
        <v>44.653927248062743</v>
      </c>
      <c r="C41" s="12">
        <f t="array" ref="C41:H41">[1]!ESP_motor_calc_mom(B41,F,U,Unom,Pnom,Fnom,ID,eff_nom,cos_nom,slip_nom,117,lambda,alpha,xi)</f>
        <v>15.194512476160231</v>
      </c>
      <c r="D41" s="12">
        <v>0.63219598899936458</v>
      </c>
      <c r="E41" s="13">
        <v>0.83713066408444681</v>
      </c>
      <c r="F41" s="14">
        <v>7.1518045425180699E-3</v>
      </c>
      <c r="G41" s="12">
        <v>44.653927248062743</v>
      </c>
      <c r="H41" s="11">
        <v>13.928116283114798</v>
      </c>
    </row>
    <row r="42" spans="2:8" x14ac:dyDescent="0.25">
      <c r="B42" s="6">
        <f t="shared" si="0"/>
        <v>51.929581789406534</v>
      </c>
      <c r="C42" s="12">
        <f t="array" ref="C42:H42">[1]!ESP_motor_calc_mom(B42,F,U,Unom,Pnom,Fnom,ID,eff_nom,cos_nom,slip_nom,117,lambda,alpha,xi)</f>
        <v>16.352536827831944</v>
      </c>
      <c r="D42" s="12">
        <v>0.67130932876604421</v>
      </c>
      <c r="E42" s="13">
        <v>0.85067768830194246</v>
      </c>
      <c r="F42" s="14">
        <v>8.554627532463388E-3</v>
      </c>
      <c r="G42" s="12">
        <v>51.929581789406534</v>
      </c>
      <c r="H42" s="11">
        <v>16.174597709338538</v>
      </c>
    </row>
    <row r="43" spans="2:8" x14ac:dyDescent="0.25">
      <c r="B43" s="6">
        <f t="shared" si="0"/>
        <v>59.205236330750324</v>
      </c>
      <c r="C43" s="12">
        <f t="array" ref="C43:H43">[1]!ESP_motor_calc_mom(B43,F,U,Unom,Pnom,Fnom,ID,eff_nom,cos_nom,slip_nom,117,lambda,alpha,xi)</f>
        <v>17.612892372884755</v>
      </c>
      <c r="D43" s="12">
        <v>0.70453446303799738</v>
      </c>
      <c r="E43" s="13">
        <v>0.85673574410288333</v>
      </c>
      <c r="F43" s="14">
        <v>1.0010825974354542E-2</v>
      </c>
      <c r="G43" s="12">
        <v>59.205236330750324</v>
      </c>
      <c r="H43" s="11">
        <v>18.41367345380846</v>
      </c>
    </row>
    <row r="44" spans="2:8" x14ac:dyDescent="0.25">
      <c r="B44" s="6">
        <f t="shared" si="0"/>
        <v>66.480890872094108</v>
      </c>
      <c r="C44" s="12">
        <f t="array" ref="C44:H44">[1]!ESP_motor_calc_mom(B44,F,U,Unom,Pnom,Fnom,ID,eff_nom,cos_nom,slip_nom,117,lambda,alpha,xi)</f>
        <v>18.972569932874602</v>
      </c>
      <c r="D44" s="12">
        <v>0.73167334181178778</v>
      </c>
      <c r="E44" s="13">
        <v>0.85864108770231795</v>
      </c>
      <c r="F44" s="14">
        <v>1.1517500172233408E-2</v>
      </c>
      <c r="G44" s="12">
        <v>66.480890872094108</v>
      </c>
      <c r="H44" s="11">
        <v>20.645038075280141</v>
      </c>
    </row>
    <row r="45" spans="2:8" x14ac:dyDescent="0.25">
      <c r="B45" s="6">
        <f t="shared" si="0"/>
        <v>73.756545413437891</v>
      </c>
      <c r="C45" s="12">
        <f t="array" ref="C45:H45">[1]!ESP_motor_calc_mom(B45,F,U,Unom,Pnom,Fnom,ID,eff_nom,cos_nom,slip_nom,117,lambda,alpha,xi)</f>
        <v>20.425404720630809</v>
      </c>
      <c r="D45" s="12">
        <v>0.7529231018128455</v>
      </c>
      <c r="E45" s="13">
        <v>0.8585271620488536</v>
      </c>
      <c r="F45" s="14">
        <v>1.3071885642018222E-2</v>
      </c>
      <c r="G45" s="12">
        <v>73.756545413437891</v>
      </c>
      <c r="H45" s="11">
        <v>22.868409510979824</v>
      </c>
    </row>
    <row r="46" spans="2:8" x14ac:dyDescent="0.25">
      <c r="B46" s="6">
        <f t="shared" si="0"/>
        <v>81.032199954781674</v>
      </c>
      <c r="C46" s="12">
        <f t="array" ref="C46:H46">[1]!ESP_motor_calc_mom(B46,F,U,Unom,Pnom,Fnom,ID,eff_nom,cos_nom,slip_nom,117,lambda,alpha,xi)</f>
        <v>21.962406936691846</v>
      </c>
      <c r="D46" s="12">
        <v>0.76893998533360952</v>
      </c>
      <c r="E46" s="13">
        <v>0.85754205281365603</v>
      </c>
      <c r="F46" s="14">
        <v>1.4671758615412589E-2</v>
      </c>
      <c r="G46" s="12">
        <v>81.032199954781674</v>
      </c>
      <c r="H46" s="11">
        <v>25.083517208406157</v>
      </c>
    </row>
    <row r="47" spans="2:8" x14ac:dyDescent="0.25">
      <c r="B47" s="6">
        <f t="shared" si="0"/>
        <v>88.307854496125458</v>
      </c>
      <c r="C47" s="12">
        <f t="array" ref="C47:H47">[1]!ESP_motor_calc_mom(B47,F,U,Unom,Pnom,Fnom,ID,eff_nom,cos_nom,slip_nom,117,lambda,alpha,xi)</f>
        <v>23.572092365741149</v>
      </c>
      <c r="D47" s="12">
        <v>0.78079837623305448</v>
      </c>
      <c r="E47" s="13">
        <v>0.85606594437945172</v>
      </c>
      <c r="F47" s="14">
        <v>1.6315841543812937E-2</v>
      </c>
      <c r="G47" s="12">
        <v>88.307854496125458</v>
      </c>
      <c r="H47" s="11">
        <v>27.290084695935541</v>
      </c>
    </row>
    <row r="48" spans="2:8" x14ac:dyDescent="0.25">
      <c r="B48" s="6">
        <f t="shared" si="0"/>
        <v>95.583509037469241</v>
      </c>
      <c r="C48" s="12">
        <f t="array" ref="C48:H48">[1]!ESP_motor_calc_mom(B48,F,U,Unom,Pnom,Fnom,ID,eff_nom,cos_nom,slip_nom,117,lambda,alpha,xi)</f>
        <v>25.240812973042864</v>
      </c>
      <c r="D48" s="12">
        <v>0.78987243155597431</v>
      </c>
      <c r="E48" s="13">
        <v>0.85392857582953297</v>
      </c>
      <c r="F48" s="14">
        <v>1.8004208602216631E-2</v>
      </c>
      <c r="G48" s="12">
        <v>95.583509037469241</v>
      </c>
      <c r="H48" s="11">
        <v>29.48780659223096</v>
      </c>
    </row>
    <row r="49" spans="2:8" x14ac:dyDescent="0.25">
      <c r="B49" s="6">
        <f t="shared" si="0"/>
        <v>102.85916357881302</v>
      </c>
      <c r="C49" s="12">
        <f t="array" ref="C49:H49">[1]!ESP_motor_calc_mom(B49,F,U,Unom,Pnom,Fnom,ID,eff_nom,cos_nom,slip_nom,117,lambda,alpha,xi)</f>
        <v>26.953087500877679</v>
      </c>
      <c r="D49" s="12">
        <v>0.79767607242914484</v>
      </c>
      <c r="E49" s="13">
        <v>0.85062669693675019</v>
      </c>
      <c r="F49" s="14">
        <v>1.9738691193131319E-2</v>
      </c>
      <c r="G49" s="12">
        <v>102.85916357881302</v>
      </c>
      <c r="H49" s="11">
        <v>31.676320054454365</v>
      </c>
    </row>
    <row r="50" spans="2:8" x14ac:dyDescent="0.25">
      <c r="B50" s="6">
        <f t="shared" si="0"/>
        <v>110.13481812015681</v>
      </c>
      <c r="C50" s="12">
        <f t="array" ref="C50:H50">[1]!ESP_motor_calc_mom(B50,F,U,Unom,Pnom,Fnom,ID,eff_nom,cos_nom,slip_nom,117,lambda,alpha,xi)</f>
        <v>28.691932064978602</v>
      </c>
      <c r="D50" s="12">
        <v>0.80569310261635385</v>
      </c>
      <c r="E50" s="13">
        <v>0.84554152415252837</v>
      </c>
      <c r="F50" s="14">
        <v>2.1523283450481712E-2</v>
      </c>
      <c r="G50" s="12">
        <v>110.13481812015681</v>
      </c>
      <c r="H50" s="11">
        <v>33.855170665282657</v>
      </c>
    </row>
    <row r="51" spans="2:8" x14ac:dyDescent="0.25">
      <c r="B51" s="6">
        <f t="shared" si="0"/>
        <v>117.41047266150059</v>
      </c>
      <c r="C51" s="12">
        <f t="array" ref="C51:H51">[1]!ESP_motor_calc_mom(B51,F,U,Unom,Pnom,Fnom,ID,eff_nom,cos_nom,slip_nom,117,lambda,alpha,xi)</f>
        <v>30.439190750966727</v>
      </c>
      <c r="D51" s="12">
        <v>0.81521188882494255</v>
      </c>
      <c r="E51" s="13">
        <v>0.83815619659585183</v>
      </c>
      <c r="F51" s="14">
        <v>2.3364547743518149E-2</v>
      </c>
      <c r="G51" s="12">
        <v>117.41047266150059</v>
      </c>
      <c r="H51" s="11">
        <v>36.023772758727162</v>
      </c>
    </row>
    <row r="52" spans="2:8" x14ac:dyDescent="0.25">
      <c r="B52" s="6">
        <f t="shared" si="0"/>
        <v>124.68612720284438</v>
      </c>
      <c r="C52" s="12">
        <f t="array" ref="C52:H52">[1]!ESP_motor_calc_mom(B52,F,U,Unom,Pnom,Fnom,ID,eff_nom,cos_nom,slip_nom,117,lambda,alpha,xi)</f>
        <v>32.175866210787028</v>
      </c>
      <c r="D52" s="12">
        <v>0.82715507811169064</v>
      </c>
      <c r="E52" s="13">
        <v>0.8282732320422791</v>
      </c>
      <c r="F52" s="14">
        <v>2.5272020180725385E-2</v>
      </c>
      <c r="G52" s="12">
        <v>124.68612720284438</v>
      </c>
      <c r="H52" s="11">
        <v>38.181364184756639</v>
      </c>
    </row>
    <row r="53" spans="2:8" x14ac:dyDescent="0.25">
      <c r="B53" s="6">
        <f t="shared" si="0"/>
        <v>131.96178174418816</v>
      </c>
      <c r="C53" s="12">
        <f t="array" ref="C53:H53">[1]!ESP_motor_calc_mom(B53,F,U,Unom,Pnom,Fnom,ID,eff_nom,cos_nom,slip_nom,117,lambda,alpha,xi)</f>
        <v>33.882450259144186</v>
      </c>
      <c r="D53" s="12">
        <v>0.84187263171949001</v>
      </c>
      <c r="E53" s="13">
        <v>0.81623198291293908</v>
      </c>
      <c r="F53" s="14">
        <v>2.725861611373015E-2</v>
      </c>
      <c r="G53" s="12">
        <v>131.96178174418816</v>
      </c>
      <c r="H53" s="11">
        <v>40.326955512723906</v>
      </c>
    </row>
    <row r="54" spans="2:8" x14ac:dyDescent="0.25">
      <c r="B54" s="6">
        <f t="shared" si="0"/>
        <v>139.23743628553194</v>
      </c>
      <c r="C54" s="12">
        <f t="array" ref="C54:H54">[1]!ESP_motor_calc_mom(B54,F,U,Unom,Pnom,Fnom,ID,eff_nom,cos_nom,slip_nom,117,lambda,alpha,xi)</f>
        <v>35.539254469938314</v>
      </c>
      <c r="D54" s="12">
        <v>0.8588550716509763</v>
      </c>
      <c r="E54" s="13">
        <v>0.80312609226353115</v>
      </c>
      <c r="F54" s="14">
        <v>2.9341035641208824E-2</v>
      </c>
      <c r="G54" s="12">
        <v>139.23743628553194</v>
      </c>
      <c r="H54" s="11">
        <v>42.459273673595952</v>
      </c>
    </row>
    <row r="55" spans="2:8" x14ac:dyDescent="0.25">
      <c r="B55" s="6">
        <f t="shared" si="0"/>
        <v>146.51309082687573</v>
      </c>
      <c r="C55" s="12" cm="1">
        <f t="array" ref="C55:H56">[1]!ESP_motor_calc_mom(B55,F,U,Unom,Pnom,Fnom,ID,eff_nom,cos_nom,slip_nom,117,lambda,alpha,xi)</f>
        <v>37.126740772700771</v>
      </c>
      <c r="D55" s="12">
        <v>0.87633967920483902</v>
      </c>
      <c r="E55" s="13">
        <v>0.79102094977333437</v>
      </c>
      <c r="F55" s="15">
        <v>3.1540169112797112E-2</v>
      </c>
      <c r="G55" s="12">
        <v>146.51309082687573</v>
      </c>
      <c r="H55" s="11">
        <v>44.576700040987575</v>
      </c>
    </row>
    <row r="56" spans="2:8" x14ac:dyDescent="0.25">
      <c r="C56" s="11" t="str">
        <v>I_lin_A</v>
      </c>
      <c r="D56" s="11" t="str">
        <v>CosPhi_d</v>
      </c>
      <c r="E56" s="11" t="str">
        <v>eff_d</v>
      </c>
      <c r="F56" s="11" t="str">
        <v>slip</v>
      </c>
      <c r="G56" s="11" t="str">
        <v>M_Nm</v>
      </c>
      <c r="H56" s="11" t="str">
        <v>Pshaft_kW</v>
      </c>
    </row>
  </sheetData>
  <mergeCells count="4">
    <mergeCell ref="B3:E3"/>
    <mergeCell ref="B4:E4"/>
    <mergeCell ref="B5:E5"/>
    <mergeCell ref="B6:E8"/>
  </mergeCells>
  <conditionalFormatting sqref="E35:E55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{34895320-7F39-4BAF-AA96-69A7C71630B3}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895320-7F39-4BAF-AA96-69A7C71630B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E35:E55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667B7-B66A-458E-8893-422907B6B6DE}">
  <sheetPr codeName="Лист3"/>
  <dimension ref="R9:AB13"/>
  <sheetViews>
    <sheetView zoomScale="85" zoomScaleNormal="85" workbookViewId="0">
      <selection activeCell="X167" sqref="X167"/>
    </sheetView>
  </sheetViews>
  <sheetFormatPr defaultRowHeight="15" x14ac:dyDescent="0.25"/>
  <cols>
    <col min="19" max="19" width="10.42578125" bestFit="1" customWidth="1"/>
    <col min="20" max="20" width="12.5703125" bestFit="1" customWidth="1"/>
    <col min="23" max="23" width="12.42578125" bestFit="1" customWidth="1"/>
    <col min="24" max="24" width="10.28515625" customWidth="1"/>
    <col min="25" max="25" width="10.7109375" customWidth="1"/>
  </cols>
  <sheetData>
    <row r="9" spans="18:28" x14ac:dyDescent="0.25">
      <c r="R9" s="5"/>
      <c r="S9" s="5"/>
      <c r="T9" s="5"/>
      <c r="U9" s="5"/>
      <c r="V9" s="5"/>
      <c r="W9" s="5"/>
      <c r="X9" s="5"/>
      <c r="Y9" s="5"/>
      <c r="Z9" s="39" t="s">
        <v>26</v>
      </c>
      <c r="AA9" s="39"/>
      <c r="AB9" s="39"/>
    </row>
    <row r="10" spans="18:28" x14ac:dyDescent="0.25">
      <c r="R10" s="5" t="s">
        <v>31</v>
      </c>
      <c r="S10" s="5" t="s">
        <v>18</v>
      </c>
      <c r="T10" s="5" t="s">
        <v>19</v>
      </c>
      <c r="U10" s="5" t="s">
        <v>20</v>
      </c>
      <c r="V10" s="5" t="s">
        <v>15</v>
      </c>
      <c r="W10" s="5" t="s">
        <v>21</v>
      </c>
      <c r="X10" s="5" t="s">
        <v>22</v>
      </c>
      <c r="Y10" s="5" t="s">
        <v>34</v>
      </c>
      <c r="Z10" s="5" t="s">
        <v>29</v>
      </c>
      <c r="AA10" s="5" t="s">
        <v>30</v>
      </c>
      <c r="AB10" s="5" t="s">
        <v>27</v>
      </c>
    </row>
    <row r="11" spans="18:28" x14ac:dyDescent="0.25">
      <c r="R11" s="5" t="s">
        <v>32</v>
      </c>
      <c r="S11" s="5" t="s">
        <v>23</v>
      </c>
      <c r="T11" s="5" t="s">
        <v>24</v>
      </c>
      <c r="U11" s="5" t="s">
        <v>25</v>
      </c>
      <c r="V11" s="5"/>
      <c r="W11" s="5"/>
      <c r="X11" s="5"/>
      <c r="Y11" s="5" t="s">
        <v>33</v>
      </c>
      <c r="Z11" s="5" t="s">
        <v>23</v>
      </c>
      <c r="AA11" s="5"/>
      <c r="AB11" s="5" t="s">
        <v>28</v>
      </c>
    </row>
    <row r="12" spans="18:28" x14ac:dyDescent="0.25">
      <c r="R12" s="8">
        <v>50</v>
      </c>
      <c r="S12" s="8">
        <v>8</v>
      </c>
      <c r="T12" s="8">
        <v>380</v>
      </c>
      <c r="U12" s="8">
        <v>17.100000000000001</v>
      </c>
      <c r="V12" s="8">
        <v>0.84499999999999997</v>
      </c>
      <c r="W12" s="8">
        <v>5.1999999999999998E-2</v>
      </c>
      <c r="X12" s="8">
        <v>0.86</v>
      </c>
      <c r="Y12" s="7">
        <f>R12*(1-W12)*2*3.1415</f>
        <v>297.81420000000003</v>
      </c>
      <c r="Z12" s="7">
        <f>T12*U12*3^0.5*X12/1000</f>
        <v>9.6791848869210053</v>
      </c>
      <c r="AA12" s="7">
        <f>Z12*V12</f>
        <v>8.17891122944825</v>
      </c>
      <c r="AB12" s="7">
        <f>AA12*1000/Y12</f>
        <v>27.46313382453976</v>
      </c>
    </row>
    <row r="13" spans="18:28" x14ac:dyDescent="0.25">
      <c r="R13" s="8">
        <v>50</v>
      </c>
      <c r="S13" s="8">
        <v>45</v>
      </c>
      <c r="T13" s="8">
        <v>1350</v>
      </c>
      <c r="U13" s="8">
        <v>27.3</v>
      </c>
      <c r="V13" s="8">
        <v>0.83</v>
      </c>
      <c r="W13" s="8">
        <v>5.1999999999999998E-2</v>
      </c>
      <c r="X13" s="8">
        <v>0.85</v>
      </c>
      <c r="Y13" s="7">
        <f>R13*(1-W13)*2*3.1415</f>
        <v>297.81420000000003</v>
      </c>
      <c r="Z13" s="7">
        <f>T13*U13*3^0.5*X13/1000</f>
        <v>54.259522636008327</v>
      </c>
      <c r="AA13" s="9">
        <f>Z13*V13</f>
        <v>45.035403787886906</v>
      </c>
      <c r="AB13" s="7">
        <f>AA13*1000/Y13</f>
        <v>151.21980008974353</v>
      </c>
    </row>
  </sheetData>
  <mergeCells count="1">
    <mergeCell ref="Z9:AB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18</vt:i4>
      </vt:variant>
    </vt:vector>
  </HeadingPairs>
  <TitlesOfParts>
    <vt:vector size="20" baseType="lpstr">
      <vt:lpstr>exercise_motor</vt:lpstr>
      <vt:lpstr>some_data</vt:lpstr>
      <vt:lpstr>alpha</vt:lpstr>
      <vt:lpstr>cos_nom</vt:lpstr>
      <vt:lpstr>eff_nom</vt:lpstr>
      <vt:lpstr>F</vt:lpstr>
      <vt:lpstr>Fnom</vt:lpstr>
      <vt:lpstr>ID</vt:lpstr>
      <vt:lpstr>input_Course</vt:lpstr>
      <vt:lpstr>input_Date</vt:lpstr>
      <vt:lpstr>input_Group</vt:lpstr>
      <vt:lpstr>input_Notes</vt:lpstr>
      <vt:lpstr>input_Student_Name</vt:lpstr>
      <vt:lpstr>input_Version</vt:lpstr>
      <vt:lpstr>lambda</vt:lpstr>
      <vt:lpstr>Pnom</vt:lpstr>
      <vt:lpstr>slip_nom</vt:lpstr>
      <vt:lpstr>U</vt:lpstr>
      <vt:lpstr>Unom</vt:lpstr>
      <vt:lpstr>xi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2019-06-11T10:40:46Z</dcterms:created>
  <dcterms:modified xsi:type="dcterms:W3CDTF">2020-07-15T17:09:06Z</dcterms:modified>
</cp:coreProperties>
</file>