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2007C18D-6196-4B36-9E0E-22C68B85BAF4}" xr6:coauthVersionLast="47" xr6:coauthVersionMax="47" xr10:uidLastSave="{00000000-0000-0000-0000-000000000000}"/>
  <bookViews>
    <workbookView xWindow="-98" yWindow="-98" windowWidth="20715" windowHeight="13276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3" i="3" l="1"/>
  <c r="AA13" i="3" s="1"/>
  <c r="Y13" i="3"/>
  <c r="Y12" i="3"/>
  <c r="AA12" i="3"/>
  <c r="AB12" i="3" s="1"/>
  <c r="Z12" i="3"/>
  <c r="G16" i="1" a="1"/>
  <c r="G17" i="1" a="1"/>
  <c r="P24" i="1" a="1"/>
  <c r="S24" i="1" a="1"/>
  <c r="G1" i="1"/>
  <c r="S24" i="1" l="1"/>
  <c r="P24" i="1"/>
  <c r="G17" i="1"/>
  <c r="G16" i="1"/>
  <c r="B36" i="1"/>
  <c r="AB13" i="3"/>
  <c r="R35" i="1" a="1"/>
  <c r="AA35" i="1" a="1"/>
  <c r="C36" i="1" a="1"/>
  <c r="C35" i="1" a="1"/>
  <c r="T57" i="1" a="1"/>
  <c r="B29" i="1" a="1"/>
  <c r="B29" i="1" l="1"/>
  <c r="T57" i="1"/>
  <c r="E35" i="1"/>
  <c r="C35" i="1"/>
  <c r="F35" i="1"/>
  <c r="D35" i="1"/>
  <c r="G35" i="1"/>
  <c r="H35" i="1"/>
  <c r="AA35" i="1"/>
  <c r="R35" i="1"/>
  <c r="G36" i="1"/>
  <c r="E36" i="1"/>
  <c r="F36" i="1"/>
  <c r="H36" i="1"/>
  <c r="C36" i="1"/>
  <c r="D36" i="1"/>
  <c r="B37" i="1"/>
  <c r="G22" i="1" a="1"/>
  <c r="AA38" i="1" a="1"/>
  <c r="R38" i="1" a="1"/>
  <c r="C37" i="1" a="1"/>
  <c r="W47" i="1" l="1"/>
  <c r="W48" i="1"/>
  <c r="R38" i="1"/>
  <c r="W50" i="1"/>
  <c r="W49" i="1"/>
  <c r="AA38" i="1"/>
  <c r="J26" i="1"/>
  <c r="J22" i="1"/>
  <c r="J25" i="1"/>
  <c r="J28" i="1"/>
  <c r="J24" i="1"/>
  <c r="J27" i="1"/>
  <c r="J23" i="1"/>
  <c r="G22" i="1"/>
  <c r="E37" i="1"/>
  <c r="C37" i="1"/>
  <c r="H37" i="1"/>
  <c r="F37" i="1"/>
  <c r="G37" i="1"/>
  <c r="D37" i="1"/>
  <c r="B38" i="1"/>
  <c r="C38" i="1" a="1"/>
  <c r="X49" i="1" l="1"/>
  <c r="F38" i="1"/>
  <c r="H38" i="1"/>
  <c r="G38" i="1"/>
  <c r="D38" i="1"/>
  <c r="E38" i="1"/>
  <c r="C38" i="1"/>
  <c r="B39" i="1"/>
  <c r="C39" i="1" a="1"/>
  <c r="F39" i="1" l="1"/>
  <c r="H39" i="1"/>
  <c r="E39" i="1"/>
  <c r="G39" i="1"/>
  <c r="D39" i="1"/>
  <c r="C39" i="1"/>
  <c r="B40" i="1"/>
  <c r="C40" i="1" a="1"/>
  <c r="H40" i="1" l="1"/>
  <c r="D40" i="1"/>
  <c r="C40" i="1"/>
  <c r="G40" i="1"/>
  <c r="E40" i="1"/>
  <c r="F40" i="1"/>
  <c r="B41" i="1"/>
  <c r="C41" i="1" a="1"/>
  <c r="C41" i="1" l="1"/>
  <c r="D41" i="1"/>
  <c r="F41" i="1"/>
  <c r="E41" i="1"/>
  <c r="G41" i="1"/>
  <c r="H41" i="1"/>
  <c r="B42" i="1"/>
  <c r="C42" i="1" a="1"/>
  <c r="G42" i="1" l="1"/>
  <c r="D42" i="1"/>
  <c r="E42" i="1"/>
  <c r="F42" i="1"/>
  <c r="H42" i="1"/>
  <c r="C42" i="1"/>
  <c r="B43" i="1"/>
  <c r="C43" i="1" a="1"/>
  <c r="F43" i="1" l="1"/>
  <c r="G43" i="1"/>
  <c r="H43" i="1"/>
  <c r="D43" i="1"/>
  <c r="C43" i="1"/>
  <c r="E43" i="1"/>
  <c r="B44" i="1"/>
  <c r="C44" i="1" a="1"/>
  <c r="D44" i="1" l="1"/>
  <c r="H44" i="1"/>
  <c r="F44" i="1"/>
  <c r="G44" i="1"/>
  <c r="C44" i="1"/>
  <c r="E44" i="1"/>
  <c r="B45" i="1"/>
  <c r="C45" i="1" a="1"/>
  <c r="D45" i="1" l="1"/>
  <c r="E45" i="1"/>
  <c r="C45" i="1"/>
  <c r="G45" i="1"/>
  <c r="H45" i="1"/>
  <c r="F45" i="1"/>
  <c r="B46" i="1"/>
  <c r="C46" i="1" a="1"/>
  <c r="G46" i="1" l="1"/>
  <c r="C46" i="1"/>
  <c r="E46" i="1"/>
  <c r="F46" i="1"/>
  <c r="D46" i="1"/>
  <c r="H46" i="1"/>
  <c r="B47" i="1"/>
  <c r="C47" i="1" a="1"/>
  <c r="F47" i="1" l="1"/>
  <c r="G47" i="1"/>
  <c r="E47" i="1"/>
  <c r="D47" i="1"/>
  <c r="H47" i="1"/>
  <c r="C47" i="1"/>
  <c r="B48" i="1"/>
  <c r="C48" i="1" a="1"/>
  <c r="G48" i="1" l="1"/>
  <c r="F48" i="1"/>
  <c r="C48" i="1"/>
  <c r="H48" i="1"/>
  <c r="D48" i="1"/>
  <c r="E48" i="1"/>
  <c r="B49" i="1"/>
  <c r="C49" i="1" a="1"/>
  <c r="F49" i="1" l="1"/>
  <c r="D49" i="1"/>
  <c r="G49" i="1"/>
  <c r="H49" i="1"/>
  <c r="C49" i="1"/>
  <c r="E49" i="1"/>
  <c r="B50" i="1"/>
  <c r="C50" i="1" a="1"/>
  <c r="H50" i="1" l="1"/>
  <c r="D50" i="1"/>
  <c r="G50" i="1"/>
  <c r="F50" i="1"/>
  <c r="E50" i="1"/>
  <c r="C50" i="1"/>
  <c r="B51" i="1"/>
  <c r="C51" i="1" a="1"/>
  <c r="E51" i="1" l="1"/>
  <c r="G51" i="1"/>
  <c r="D51" i="1"/>
  <c r="C51" i="1"/>
  <c r="F51" i="1"/>
  <c r="H51" i="1"/>
  <c r="B52" i="1"/>
  <c r="C52" i="1" a="1"/>
  <c r="C52" i="1" l="1"/>
  <c r="G52" i="1"/>
  <c r="E52" i="1"/>
  <c r="F52" i="1"/>
  <c r="H52" i="1"/>
  <c r="D52" i="1"/>
  <c r="B53" i="1"/>
  <c r="C53" i="1" a="1"/>
  <c r="C53" i="1" l="1"/>
  <c r="G53" i="1"/>
  <c r="D53" i="1"/>
  <c r="E53" i="1"/>
  <c r="F53" i="1"/>
  <c r="H53" i="1"/>
  <c r="B54" i="1"/>
  <c r="C54" i="1" a="1"/>
  <c r="D54" i="1" l="1"/>
  <c r="E54" i="1"/>
  <c r="G54" i="1"/>
  <c r="C54" i="1"/>
  <c r="F54" i="1"/>
  <c r="H54" i="1"/>
  <c r="B55" i="1"/>
  <c r="C55" i="1" a="1"/>
  <c r="D55" i="1" l="1"/>
  <c r="E55" i="1"/>
  <c r="F55" i="1"/>
  <c r="H55" i="1"/>
  <c r="C55" i="1"/>
  <c r="G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<sst xmlns="http://schemas.openxmlformats.org/spreadsheetml/2006/main" count="75" uniqueCount="64">
  <si>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</si>
  <si>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</si>
  <si>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</si>
  <si>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</si>
  <si>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</si>
  <si>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</si>
  <si>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</si>
  <si>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</si>
  <si>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</si>
  <si>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</si>
  <si>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</si>
  <si>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</si>
  <si>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</si>
  <si>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</si>
  <si>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</si>
  <si>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</si>
  <si>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</si>
  <si>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</si>
  <si>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</si>
  <si>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</si>
  <si>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</si>
  <si>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</si>
  <si>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</si>
  <si>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</si>
  <si>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</si>
  <si>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</si>
  <si>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</si>
  <si>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</si>
  <si>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</si>
  <si>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</si>
  <si>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</si>
  <si>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</si>
  <si>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</si>
  <si>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</si>
  <si>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</si>
  <si>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</si>
  <si>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</si>
  <si>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</si>
  <si>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</si>
  <si>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</si>
  <si>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</si>
  <si>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</si>
  <si>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</si>
  <si>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</si>
  <si>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</si>
  <si>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</si>
  <si>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</si>
  <si>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</si>
  <si>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</si>
  <si>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</si>
  <si>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</si>
  <si>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</si>
  <si>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Модель погружного электрического двигателя для УЭЦН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</si>
  <si>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</si>
  <si>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</si>
  <si>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</si>
  <si>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</si>
  <si>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</si>
  <si>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</si>
  <si>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show_array</t>
  </si>
  <si>
    <t>show_log</t>
  </si>
  <si>
    <t>кабель</t>
  </si>
  <si>
    <t>мотор</t>
  </si>
  <si>
    <t>Номинальные показатели ПЭД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</si>
</sst>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0"/>
    <numFmt numFmtId="167" formatCode="0.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16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4" borderId="0" xfId="0" applyFill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0.16184126802289941</c:v>
                </c:pt>
                <c:pt idx="1">
                  <c:v>0.25199379401739608</c:v>
                </c:pt>
                <c:pt idx="2">
                  <c:v>0.33543148417095847</c:v>
                </c:pt>
                <c:pt idx="3">
                  <c:v>0.41092394934912591</c:v>
                </c:pt>
                <c:pt idx="4">
                  <c:v>0.47757823404830269</c:v>
                </c:pt>
                <c:pt idx="5">
                  <c:v>0.53565529983302407</c:v>
                </c:pt>
                <c:pt idx="6">
                  <c:v>0.58564187369588727</c:v>
                </c:pt>
                <c:pt idx="7">
                  <c:v>0.6284209124446285</c:v>
                </c:pt>
                <c:pt idx="8">
                  <c:v>0.66470979137900865</c:v>
                </c:pt>
                <c:pt idx="9">
                  <c:v>0.69556397578923468</c:v>
                </c:pt>
                <c:pt idx="10">
                  <c:v>0.72158745738179697</c:v>
                </c:pt>
                <c:pt idx="11">
                  <c:v>0.74370274991698593</c:v>
                </c:pt>
                <c:pt idx="12">
                  <c:v>0.76241976839726433</c:v>
                </c:pt>
                <c:pt idx="13">
                  <c:v>0.77825076369791946</c:v>
                </c:pt>
                <c:pt idx="14">
                  <c:v>0.7916646094608113</c:v>
                </c:pt>
                <c:pt idx="15">
                  <c:v>0.80303876756029802</c:v>
                </c:pt>
                <c:pt idx="16">
                  <c:v>0.81265460915008259</c:v>
                </c:pt>
                <c:pt idx="17">
                  <c:v>0.82075115319865632</c:v>
                </c:pt>
                <c:pt idx="18">
                  <c:v>0.82756139994404088</c:v>
                </c:pt>
                <c:pt idx="19">
                  <c:v>0.83323888540678992</c:v>
                </c:pt>
                <c:pt idx="20">
                  <c:v>0.83792563163567813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7.9009151100421587E-2</c:v>
                </c:pt>
                <c:pt idx="1">
                  <c:v>0.39680450448931487</c:v>
                </c:pt>
                <c:pt idx="2">
                  <c:v>0.54100806870996587</c:v>
                </c:pt>
                <c:pt idx="3">
                  <c:v>0.62260628599025314</c:v>
                </c:pt>
                <c:pt idx="4">
                  <c:v>0.67430282496790339</c:v>
                </c:pt>
                <c:pt idx="5">
                  <c:v>0.70959631239172938</c:v>
                </c:pt>
                <c:pt idx="6">
                  <c:v>0.73484065781868113</c:v>
                </c:pt>
                <c:pt idx="7">
                  <c:v>0.75352890806803297</c:v>
                </c:pt>
                <c:pt idx="8">
                  <c:v>0.76761654876145846</c:v>
                </c:pt>
                <c:pt idx="9">
                  <c:v>0.77844240567715894</c:v>
                </c:pt>
                <c:pt idx="10">
                  <c:v>0.78676885284157183</c:v>
                </c:pt>
                <c:pt idx="11">
                  <c:v>0.79323270592116091</c:v>
                </c:pt>
                <c:pt idx="12">
                  <c:v>0.79820190153211013</c:v>
                </c:pt>
                <c:pt idx="13">
                  <c:v>0.80196730424638696</c:v>
                </c:pt>
                <c:pt idx="14">
                  <c:v>0.80475385238895825</c:v>
                </c:pt>
                <c:pt idx="15">
                  <c:v>0.80672699249148683</c:v>
                </c:pt>
                <c:pt idx="16">
                  <c:v>0.80800798750741365</c:v>
                </c:pt>
                <c:pt idx="17">
                  <c:v>0.80869405108662884</c:v>
                </c:pt>
                <c:pt idx="18">
                  <c:v>0.8088637473336957</c:v>
                </c:pt>
                <c:pt idx="19">
                  <c:v>0.80857563934816035</c:v>
                </c:pt>
                <c:pt idx="20">
                  <c:v>0.80787700189500344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1.0746950051399046E-3</c:v>
                </c:pt>
                <c:pt idx="1">
                  <c:v>2.1252007336367892E-3</c:v>
                </c:pt>
                <c:pt idx="2">
                  <c:v>3.186073294980682E-3</c:v>
                </c:pt>
                <c:pt idx="3">
                  <c:v>4.2607683001205862E-3</c:v>
                </c:pt>
                <c:pt idx="4">
                  <c:v>5.3458301381075005E-3</c:v>
                </c:pt>
                <c:pt idx="5">
                  <c:v>6.4447144198904252E-3</c:v>
                </c:pt>
                <c:pt idx="6">
                  <c:v>7.5574211454693622E-3</c:v>
                </c:pt>
                <c:pt idx="7">
                  <c:v>8.6874059257933123E-3</c:v>
                </c:pt>
                <c:pt idx="8">
                  <c:v>9.8312131499132746E-3</c:v>
                </c:pt>
                <c:pt idx="9">
                  <c:v>1.0995754039727256E-2</c:v>
                </c:pt>
                <c:pt idx="10">
                  <c:v>1.2174117373337248E-2</c:v>
                </c:pt>
                <c:pt idx="11">
                  <c:v>1.3376669983590259E-2</c:v>
                </c:pt>
                <c:pt idx="12">
                  <c:v>1.4599956259537292E-2</c:v>
                </c:pt>
                <c:pt idx="13">
                  <c:v>1.5843976201178337E-2</c:v>
                </c:pt>
                <c:pt idx="14">
                  <c:v>1.7112185419462404E-2</c:v>
                </c:pt>
                <c:pt idx="15">
                  <c:v>1.8408039525338496E-2</c:v>
                </c:pt>
                <c:pt idx="16">
                  <c:v>1.9731538518806609E-2</c:v>
                </c:pt>
                <c:pt idx="17">
                  <c:v>2.1082682399866746E-2</c:v>
                </c:pt>
                <c:pt idx="18">
                  <c:v>2.2468382390416916E-2</c:v>
                </c:pt>
                <c:pt idx="19">
                  <c:v>2.3888638490457109E-2</c:v>
                </c:pt>
                <c:pt idx="20">
                  <c:v>2.5346906310936338E-2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13.353315185033745</c:v>
                </c:pt>
                <c:pt idx="1">
                  <c:v>13.652673678843806</c:v>
                </c:pt>
                <c:pt idx="2">
                  <c:v>14.086074568229323</c:v>
                </c:pt>
                <c:pt idx="3">
                  <c:v>14.645190470933651</c:v>
                </c:pt>
                <c:pt idx="4">
                  <c:v>15.316523340895431</c:v>
                </c:pt>
                <c:pt idx="5">
                  <c:v>16.089686995136244</c:v>
                </c:pt>
                <c:pt idx="6">
                  <c:v>16.952691617020363</c:v>
                </c:pt>
                <c:pt idx="7">
                  <c:v>17.897168172490179</c:v>
                </c:pt>
                <c:pt idx="8">
                  <c:v>18.910094051851896</c:v>
                </c:pt>
                <c:pt idx="9">
                  <c:v>19.988687283338788</c:v>
                </c:pt>
                <c:pt idx="10">
                  <c:v>21.118682464180377</c:v>
                </c:pt>
                <c:pt idx="11">
                  <c:v>22.303208674788415</c:v>
                </c:pt>
                <c:pt idx="12">
                  <c:v>23.533107907720311</c:v>
                </c:pt>
                <c:pt idx="13">
                  <c:v>24.803165760497134</c:v>
                </c:pt>
                <c:pt idx="14">
                  <c:v>26.112349677293256</c:v>
                </c:pt>
                <c:pt idx="15">
                  <c:v>27.46023069252719</c:v>
                </c:pt>
                <c:pt idx="16">
                  <c:v>28.843194278797842</c:v>
                </c:pt>
                <c:pt idx="17">
                  <c:v>30.257904730450793</c:v>
                </c:pt>
                <c:pt idx="18">
                  <c:v>31.708498060473506</c:v>
                </c:pt>
                <c:pt idx="19">
                  <c:v>33.192024277993944</c:v>
                </c:pt>
                <c:pt idx="20">
                  <c:v>34.70923007098088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</a:t>
                </a:r>
                <a:r>
                  <a:rPr lang="ru-RU" baseline="0"/>
                  <a:t>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ax val="5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0.16184126802289941</c:v>
                </c:pt>
                <c:pt idx="1">
                  <c:v>0.25199379401739608</c:v>
                </c:pt>
                <c:pt idx="2">
                  <c:v>0.33543148417095847</c:v>
                </c:pt>
                <c:pt idx="3">
                  <c:v>0.41092394934912591</c:v>
                </c:pt>
                <c:pt idx="4">
                  <c:v>0.47757823404830269</c:v>
                </c:pt>
                <c:pt idx="5">
                  <c:v>0.53565529983302407</c:v>
                </c:pt>
                <c:pt idx="6">
                  <c:v>0.58564187369588727</c:v>
                </c:pt>
                <c:pt idx="7">
                  <c:v>0.6284209124446285</c:v>
                </c:pt>
                <c:pt idx="8">
                  <c:v>0.66470979137900865</c:v>
                </c:pt>
                <c:pt idx="9">
                  <c:v>0.69556397578923468</c:v>
                </c:pt>
                <c:pt idx="10">
                  <c:v>0.72158745738179697</c:v>
                </c:pt>
                <c:pt idx="11">
                  <c:v>0.74370274991698593</c:v>
                </c:pt>
                <c:pt idx="12">
                  <c:v>0.76241976839726433</c:v>
                </c:pt>
                <c:pt idx="13">
                  <c:v>0.77825076369791946</c:v>
                </c:pt>
                <c:pt idx="14">
                  <c:v>0.7916646094608113</c:v>
                </c:pt>
                <c:pt idx="15">
                  <c:v>0.80303876756029802</c:v>
                </c:pt>
                <c:pt idx="16">
                  <c:v>0.81265460915008259</c:v>
                </c:pt>
                <c:pt idx="17">
                  <c:v>0.82075115319865632</c:v>
                </c:pt>
                <c:pt idx="18">
                  <c:v>0.82756139994404088</c:v>
                </c:pt>
                <c:pt idx="19">
                  <c:v>0.83323888540678992</c:v>
                </c:pt>
                <c:pt idx="20">
                  <c:v>0.83792563163567813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ED-4A29-9853-0C430D0E9E8D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7.9009151100421587E-2</c:v>
                </c:pt>
                <c:pt idx="1">
                  <c:v>0.39680450448931487</c:v>
                </c:pt>
                <c:pt idx="2">
                  <c:v>0.54100806870996587</c:v>
                </c:pt>
                <c:pt idx="3">
                  <c:v>0.62260628599025314</c:v>
                </c:pt>
                <c:pt idx="4">
                  <c:v>0.67430282496790339</c:v>
                </c:pt>
                <c:pt idx="5">
                  <c:v>0.70959631239172938</c:v>
                </c:pt>
                <c:pt idx="6">
                  <c:v>0.73484065781868113</c:v>
                </c:pt>
                <c:pt idx="7">
                  <c:v>0.75352890806803297</c:v>
                </c:pt>
                <c:pt idx="8">
                  <c:v>0.76761654876145846</c:v>
                </c:pt>
                <c:pt idx="9">
                  <c:v>0.77844240567715894</c:v>
                </c:pt>
                <c:pt idx="10">
                  <c:v>0.78676885284157183</c:v>
                </c:pt>
                <c:pt idx="11">
                  <c:v>0.79323270592116091</c:v>
                </c:pt>
                <c:pt idx="12">
                  <c:v>0.79820190153211013</c:v>
                </c:pt>
                <c:pt idx="13">
                  <c:v>0.80196730424638696</c:v>
                </c:pt>
                <c:pt idx="14">
                  <c:v>0.80475385238895825</c:v>
                </c:pt>
                <c:pt idx="15">
                  <c:v>0.80672699249148683</c:v>
                </c:pt>
                <c:pt idx="16">
                  <c:v>0.80800798750741365</c:v>
                </c:pt>
                <c:pt idx="17">
                  <c:v>0.80869405108662884</c:v>
                </c:pt>
                <c:pt idx="18">
                  <c:v>0.8088637473336957</c:v>
                </c:pt>
                <c:pt idx="19">
                  <c:v>0.80857563934816035</c:v>
                </c:pt>
                <c:pt idx="20">
                  <c:v>0.80787700189500344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ED-4A29-9853-0C430D0E9E8D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1.0746950051399046E-3</c:v>
                </c:pt>
                <c:pt idx="1">
                  <c:v>2.1252007336367892E-3</c:v>
                </c:pt>
                <c:pt idx="2">
                  <c:v>3.186073294980682E-3</c:v>
                </c:pt>
                <c:pt idx="3">
                  <c:v>4.2607683001205862E-3</c:v>
                </c:pt>
                <c:pt idx="4">
                  <c:v>5.3458301381075005E-3</c:v>
                </c:pt>
                <c:pt idx="5">
                  <c:v>6.4447144198904252E-3</c:v>
                </c:pt>
                <c:pt idx="6">
                  <c:v>7.5574211454693622E-3</c:v>
                </c:pt>
                <c:pt idx="7">
                  <c:v>8.6874059257933123E-3</c:v>
                </c:pt>
                <c:pt idx="8">
                  <c:v>9.8312131499132746E-3</c:v>
                </c:pt>
                <c:pt idx="9">
                  <c:v>1.0995754039727256E-2</c:v>
                </c:pt>
                <c:pt idx="10">
                  <c:v>1.2174117373337248E-2</c:v>
                </c:pt>
                <c:pt idx="11">
                  <c:v>1.3376669983590259E-2</c:v>
                </c:pt>
                <c:pt idx="12">
                  <c:v>1.4599956259537292E-2</c:v>
                </c:pt>
                <c:pt idx="13">
                  <c:v>1.5843976201178337E-2</c:v>
                </c:pt>
                <c:pt idx="14">
                  <c:v>1.7112185419462404E-2</c:v>
                </c:pt>
                <c:pt idx="15">
                  <c:v>1.8408039525338496E-2</c:v>
                </c:pt>
                <c:pt idx="16">
                  <c:v>1.9731538518806609E-2</c:v>
                </c:pt>
                <c:pt idx="17">
                  <c:v>2.1082682399866746E-2</c:v>
                </c:pt>
                <c:pt idx="18">
                  <c:v>2.2468382390416916E-2</c:v>
                </c:pt>
                <c:pt idx="19">
                  <c:v>2.3888638490457109E-2</c:v>
                </c:pt>
                <c:pt idx="20">
                  <c:v>2.5346906310936338E-2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13.353315185033745</c:v>
                </c:pt>
                <c:pt idx="1">
                  <c:v>13.652673678843806</c:v>
                </c:pt>
                <c:pt idx="2">
                  <c:v>14.086074568229323</c:v>
                </c:pt>
                <c:pt idx="3">
                  <c:v>14.645190470933651</c:v>
                </c:pt>
                <c:pt idx="4">
                  <c:v>15.316523340895431</c:v>
                </c:pt>
                <c:pt idx="5">
                  <c:v>16.089686995136244</c:v>
                </c:pt>
                <c:pt idx="6">
                  <c:v>16.952691617020363</c:v>
                </c:pt>
                <c:pt idx="7">
                  <c:v>17.897168172490179</c:v>
                </c:pt>
                <c:pt idx="8">
                  <c:v>18.910094051851896</c:v>
                </c:pt>
                <c:pt idx="9">
                  <c:v>19.988687283338788</c:v>
                </c:pt>
                <c:pt idx="10">
                  <c:v>21.118682464180377</c:v>
                </c:pt>
                <c:pt idx="11">
                  <c:v>22.303208674788415</c:v>
                </c:pt>
                <c:pt idx="12">
                  <c:v>23.533107907720311</c:v>
                </c:pt>
                <c:pt idx="13">
                  <c:v>24.803165760497134</c:v>
                </c:pt>
                <c:pt idx="14">
                  <c:v>26.112349677293256</c:v>
                </c:pt>
                <c:pt idx="15">
                  <c:v>27.46023069252719</c:v>
                </c:pt>
                <c:pt idx="16">
                  <c:v>28.843194278797842</c:v>
                </c:pt>
                <c:pt idx="17">
                  <c:v>30.257904730450793</c:v>
                </c:pt>
                <c:pt idx="18">
                  <c:v>31.708498060473506</c:v>
                </c:pt>
                <c:pt idx="19">
                  <c:v>33.192024277993944</c:v>
                </c:pt>
                <c:pt idx="20">
                  <c:v>34.70923007098088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Мощность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ax val="5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433765</xdr:colOff>
      <xdr:row>38</xdr:row>
      <xdr:rowOff>123921</xdr:rowOff>
    </xdr:from>
    <xdr:to>
      <xdr:col>15</xdr:col>
      <xdr:colOff>343461</xdr:colOff>
      <xdr:row>61</xdr:row>
      <xdr:rowOff>10084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характеристики погружного 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14</xdr:col>
      <xdr:colOff>575227</xdr:colOff>
      <xdr:row>26</xdr:row>
      <xdr:rowOff>174763</xdr:rowOff>
    </xdr:from>
    <xdr:to>
      <xdr:col>20</xdr:col>
      <xdr:colOff>9938</xdr:colOff>
      <xdr:row>30</xdr:row>
      <xdr:rowOff>184288</xdr:rowOff>
    </xdr:to>
    <xdr:sp macro="" textlink="">
      <xdr:nvSpPr>
        <xdr:cNvPr id="17" name="Выноска со стрелкой влево 3">
          <a:extLst>
            <a:ext uri="{FF2B5EF4-FFF2-40B4-BE49-F238E27FC236}">
              <a16:creationId xmlns:a16="http://schemas.microsoft.com/office/drawing/2014/main" id="{F5E17161-8420-4C48-A074-34B0DB3D7930}"/>
            </a:ext>
          </a:extLst>
        </xdr:cNvPr>
        <xdr:cNvSpPr/>
      </xdr:nvSpPr>
      <xdr:spPr>
        <a:xfrm>
          <a:off x="9810336" y="5376241"/>
          <a:ext cx="3112189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/>
            <a:t>1.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  <a:endParaRPr lang="ru-RU" sz="1100">
            <a:effectLst/>
          </a:endParaRPr>
        </a:p>
      </xdr:txBody>
    </xdr:sp>
    <xdr:clientData/>
  </xdr:twoCellAnchor>
  <xdr:twoCellAnchor>
    <xdr:from>
      <xdr:col>8</xdr:col>
      <xdr:colOff>184337</xdr:colOff>
      <xdr:row>33</xdr:row>
      <xdr:rowOff>145676</xdr:rowOff>
    </xdr:from>
    <xdr:to>
      <xdr:col>13</xdr:col>
      <xdr:colOff>31936</xdr:colOff>
      <xdr:row>37</xdr:row>
      <xdr:rowOff>155201</xdr:rowOff>
    </xdr:to>
    <xdr:sp macro="" textlink="">
      <xdr:nvSpPr>
        <xdr:cNvPr id="18" name="Выноска со стрелкой влево 3">
          <a:extLst>
            <a:ext uri="{FF2B5EF4-FFF2-40B4-BE49-F238E27FC236}">
              <a16:creationId xmlns:a16="http://schemas.microsoft.com/office/drawing/2014/main" id="{4CE8DBC8-9523-49F5-BCAC-FD8FAB8A2F15}"/>
            </a:ext>
          </a:extLst>
        </xdr:cNvPr>
        <xdr:cNvSpPr/>
      </xdr:nvSpPr>
      <xdr:spPr>
        <a:xfrm>
          <a:off x="5507131" y="6633882"/>
          <a:ext cx="3074893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1.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  <xdr:twoCellAnchor>
    <xdr:from>
      <xdr:col>8</xdr:col>
      <xdr:colOff>425824</xdr:colOff>
      <xdr:row>61</xdr:row>
      <xdr:rowOff>22412</xdr:rowOff>
    </xdr:from>
    <xdr:to>
      <xdr:col>15</xdr:col>
      <xdr:colOff>335520</xdr:colOff>
      <xdr:row>83</xdr:row>
      <xdr:rowOff>99075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DE4EBFCE-9B82-4A97-96AA-F2A7EF9C4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ESP_cable"/>
      <definedName name="encode_ESP_motor"/>
      <definedName name="encode_json"/>
      <definedName name="ESP_motor_calc_mom"/>
      <definedName name="ESP_motor_calc_slip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AB58"/>
  <sheetViews>
    <sheetView tabSelected="1" zoomScale="70" zoomScaleNormal="70" workbookViewId="0">
      <selection activeCell="M22" sqref="M22"/>
    </sheetView>
  </sheetViews>
  <sheetFormatPr defaultRowHeight="14.25" x14ac:dyDescent="0.45"/>
  <cols>
    <col min="2" max="2" width="8.265625" customWidth="1"/>
    <col min="3" max="3" width="11.3984375" customWidth="1"/>
    <col min="4" max="4" width="12.3984375" customWidth="1"/>
    <col min="5" max="5" width="11.3984375" customWidth="1"/>
    <col min="7" max="7" width="12.59765625" customWidth="1"/>
    <col min="8" max="8" width="9.73046875" bestFit="1" customWidth="1"/>
    <col min="9" max="9" width="10.265625" customWidth="1"/>
    <col min="10" max="10" width="11" bestFit="1" customWidth="1"/>
    <col min="18" max="18" width="12.265625" customWidth="1"/>
    <col min="19" max="19" width="14.265625" customWidth="1"/>
  </cols>
  <sheetData>
    <row r="1" spans="1:12" x14ac:dyDescent="0.45">
      <c r="A1" s="15" t="s">
        <v>36</v>
      </c>
      <c r="F1" t="s">
        <v>37</v>
      </c>
      <c r="G1" t="str">
        <f>[1]!unf_version()</f>
        <v>7.38</v>
      </c>
      <c r="H1" t="s">
        <v>38</v>
      </c>
      <c r="I1" s="16">
        <v>44706</v>
      </c>
      <c r="J1" s="17"/>
      <c r="K1" s="17"/>
      <c r="L1" s="17"/>
    </row>
    <row r="2" spans="1:12" x14ac:dyDescent="0.45">
      <c r="A2" t="s">
        <v>52</v>
      </c>
      <c r="H2" t="s">
        <v>39</v>
      </c>
      <c r="I2" s="18">
        <v>7.38</v>
      </c>
      <c r="J2" s="17"/>
      <c r="K2" s="17"/>
      <c r="L2" s="17"/>
    </row>
    <row r="3" spans="1:12" x14ac:dyDescent="0.45">
      <c r="A3" s="19" t="s">
        <v>40</v>
      </c>
      <c r="B3" s="32" t="s">
        <v>41</v>
      </c>
      <c r="C3" s="33"/>
      <c r="D3" s="33"/>
      <c r="E3" s="34"/>
      <c r="H3" t="s">
        <v>42</v>
      </c>
      <c r="I3" s="17" t="s">
        <v>41</v>
      </c>
      <c r="J3" s="17"/>
      <c r="K3" s="17"/>
      <c r="L3" s="17"/>
    </row>
    <row r="4" spans="1:12" x14ac:dyDescent="0.45">
      <c r="A4" s="19" t="s">
        <v>43</v>
      </c>
      <c r="B4" s="32" t="s">
        <v>44</v>
      </c>
      <c r="C4" s="33"/>
      <c r="D4" s="33"/>
      <c r="E4" s="34"/>
      <c r="H4" t="s">
        <v>45</v>
      </c>
      <c r="I4" s="17" t="s">
        <v>44</v>
      </c>
      <c r="J4" s="17"/>
      <c r="K4" s="17"/>
      <c r="L4" s="17"/>
    </row>
    <row r="5" spans="1:12" x14ac:dyDescent="0.45">
      <c r="A5" s="19" t="s">
        <v>46</v>
      </c>
      <c r="B5" s="32" t="s">
        <v>47</v>
      </c>
      <c r="C5" s="33"/>
      <c r="D5" s="33"/>
      <c r="E5" s="34"/>
      <c r="H5" t="s">
        <v>48</v>
      </c>
      <c r="I5" s="17" t="s">
        <v>47</v>
      </c>
      <c r="J5" s="17"/>
      <c r="K5" s="17"/>
      <c r="L5" s="17"/>
    </row>
    <row r="6" spans="1:12" x14ac:dyDescent="0.45">
      <c r="A6" s="20" t="s">
        <v>49</v>
      </c>
      <c r="B6" s="35" t="s">
        <v>50</v>
      </c>
      <c r="C6" s="36"/>
      <c r="D6" s="36"/>
      <c r="E6" s="37"/>
      <c r="H6" s="21" t="s">
        <v>51</v>
      </c>
      <c r="I6" s="22" t="s">
        <v>50</v>
      </c>
      <c r="J6" s="22"/>
      <c r="K6" s="22"/>
      <c r="L6" s="22"/>
    </row>
    <row r="7" spans="1:12" x14ac:dyDescent="0.45">
      <c r="A7" s="23"/>
      <c r="B7" s="38"/>
      <c r="C7" s="39"/>
      <c r="D7" s="39"/>
      <c r="E7" s="40"/>
      <c r="H7" s="21"/>
      <c r="I7" s="22"/>
      <c r="J7" s="22"/>
      <c r="K7" s="22"/>
      <c r="L7" s="22"/>
    </row>
    <row r="8" spans="1:12" x14ac:dyDescent="0.45">
      <c r="A8" s="24"/>
      <c r="B8" s="41"/>
      <c r="C8" s="42"/>
      <c r="D8" s="42"/>
      <c r="E8" s="43"/>
      <c r="H8" s="21"/>
      <c r="I8" s="22"/>
      <c r="J8" s="22"/>
      <c r="K8" s="22"/>
      <c r="L8" s="22"/>
    </row>
    <row r="9" spans="1:12" x14ac:dyDescent="0.45">
      <c r="A9" s="10"/>
      <c r="B9" s="10"/>
      <c r="C9" s="10"/>
      <c r="D9" s="10"/>
      <c r="E9" s="10"/>
    </row>
    <row r="11" spans="1:12" x14ac:dyDescent="0.45">
      <c r="B11" s="1" t="s">
        <v>7</v>
      </c>
    </row>
    <row r="12" spans="1:12" x14ac:dyDescent="0.45">
      <c r="B12" s="2" t="s">
        <v>3</v>
      </c>
      <c r="C12" s="3">
        <v>2</v>
      </c>
      <c r="D12" s="4"/>
    </row>
    <row r="13" spans="1:12" ht="15.75" x14ac:dyDescent="0.55000000000000004">
      <c r="B13" s="2" t="s">
        <v>12</v>
      </c>
      <c r="C13" s="3">
        <v>1000</v>
      </c>
      <c r="D13" s="4" t="s">
        <v>0</v>
      </c>
    </row>
    <row r="14" spans="1:12" ht="15.75" x14ac:dyDescent="0.55000000000000004">
      <c r="B14" s="2" t="s">
        <v>13</v>
      </c>
      <c r="C14" s="3">
        <v>50</v>
      </c>
      <c r="D14" s="4" t="s">
        <v>1</v>
      </c>
    </row>
    <row r="15" spans="1:12" ht="15.75" x14ac:dyDescent="0.55000000000000004">
      <c r="B15" s="2" t="s">
        <v>17</v>
      </c>
      <c r="C15" s="3">
        <v>32</v>
      </c>
      <c r="D15" s="4" t="s">
        <v>2</v>
      </c>
    </row>
    <row r="16" spans="1:12" ht="15.75" x14ac:dyDescent="0.55000000000000004">
      <c r="B16" s="2" t="s">
        <v>53</v>
      </c>
      <c r="C16" s="3">
        <v>0.02</v>
      </c>
      <c r="D16" s="4"/>
      <c r="F16" t="s">
        <v>61</v>
      </c>
      <c r="G16" t="str" cm="1">
        <f t="array" ref="G16">[1]!encode_ESP_cable(M21)</f>
        <v>{"cable_R_Omkm":1.18,"cable_X_Omkm":0.01,"cable_t_max_C":120,"manufacturer":"default","name":"default_name","d_mm":16}</v>
      </c>
    </row>
    <row r="17" spans="2:20" ht="15.75" x14ac:dyDescent="0.55000000000000004">
      <c r="B17" s="2" t="s">
        <v>54</v>
      </c>
      <c r="C17" s="3">
        <v>0.85</v>
      </c>
      <c r="D17" s="4"/>
      <c r="F17" t="s">
        <v>62</v>
      </c>
      <c r="G17" t="str" cm="1">
        <f t="array" ref="G17">[1]!encode_ESP_motor(ID,Pnom,Unom,Fnom,eff_nom,cos_nom,slip_nom)</f>
        <v>{"motor_ID":2,"U_surf_high_lin_V":1000,"f_surf_Hz":50,"power_fact_kW":30,"U_nom_lin_V":1000,"P_nom_kW":32,"F_nom_Hz":50,"eff_nom_fr":0.85,"cosphi_nom_fr":0.8,"slip_nom_fr":0.02}</v>
      </c>
    </row>
    <row r="18" spans="2:20" ht="15.75" x14ac:dyDescent="0.55000000000000004">
      <c r="B18" s="2" t="s">
        <v>55</v>
      </c>
      <c r="C18" s="3">
        <v>0.8</v>
      </c>
      <c r="D18" s="4"/>
    </row>
    <row r="19" spans="2:20" x14ac:dyDescent="0.45">
      <c r="B19" s="25" t="s">
        <v>56</v>
      </c>
      <c r="C19" s="3">
        <v>2.5</v>
      </c>
      <c r="D19" s="4"/>
    </row>
    <row r="20" spans="2:20" x14ac:dyDescent="0.45">
      <c r="B20" s="25" t="s">
        <v>57</v>
      </c>
      <c r="C20" s="3">
        <v>0.56999999999999995</v>
      </c>
      <c r="D20" s="4"/>
    </row>
    <row r="21" spans="2:20" x14ac:dyDescent="0.45">
      <c r="B21" s="25" t="s">
        <v>58</v>
      </c>
      <c r="C21" s="3">
        <v>1.05</v>
      </c>
      <c r="D21" s="4"/>
      <c r="G21" t="s">
        <v>63</v>
      </c>
      <c r="M21">
        <v>0</v>
      </c>
      <c r="P21" t="s">
        <v>59</v>
      </c>
      <c r="Q21">
        <v>1</v>
      </c>
      <c r="S21" t="s">
        <v>59</v>
      </c>
      <c r="T21">
        <v>0</v>
      </c>
    </row>
    <row r="22" spans="2:20" x14ac:dyDescent="0.45">
      <c r="G22" t="str" cm="1">
        <f t="array" ref="G22:H31">[1]!decode_json(B29)</f>
        <v>Pnom_kW</v>
      </c>
      <c r="H22" s="30">
        <v>35.200000000000003</v>
      </c>
      <c r="J22" s="28">
        <f>H22*F/50</f>
        <v>38.720000000000006</v>
      </c>
      <c r="P22" t="s">
        <v>60</v>
      </c>
      <c r="Q22">
        <v>1</v>
      </c>
      <c r="S22" t="s">
        <v>60</v>
      </c>
      <c r="T22">
        <v>1</v>
      </c>
    </row>
    <row r="23" spans="2:20" x14ac:dyDescent="0.45">
      <c r="B23" s="1" t="s">
        <v>8</v>
      </c>
      <c r="G23" t="str">
        <v>Unom_lin_V</v>
      </c>
      <c r="H23" s="30">
        <v>1100</v>
      </c>
      <c r="J23" s="28">
        <f>H23*F/50</f>
        <v>1210</v>
      </c>
    </row>
    <row r="24" spans="2:20" x14ac:dyDescent="0.45">
      <c r="B24" s="2" t="s">
        <v>9</v>
      </c>
      <c r="C24" s="3">
        <v>1100</v>
      </c>
      <c r="D24" s="4" t="s">
        <v>0</v>
      </c>
      <c r="G24" t="str">
        <v>Inom_lin_A</v>
      </c>
      <c r="H24" s="30">
        <v>27.169424432452999</v>
      </c>
      <c r="J24" s="28">
        <f>H24</f>
        <v>27.169424432452999</v>
      </c>
      <c r="P24" t="str" cm="1">
        <f t="array" ref="P24">[1]!encode_json(P21:Q22)</f>
        <v>{"show_array":1,"show_log":1}</v>
      </c>
      <c r="S24" t="str" cm="1">
        <f t="array" ref="S24">[1]!encode_json(S21:T22)</f>
        <v>{"show_array":0,"show_log":1}</v>
      </c>
    </row>
    <row r="25" spans="2:20" x14ac:dyDescent="0.45">
      <c r="B25" s="2" t="s">
        <v>10</v>
      </c>
      <c r="C25" s="3">
        <v>55</v>
      </c>
      <c r="D25" s="4" t="s">
        <v>1</v>
      </c>
      <c r="G25" t="str">
        <v>Snom_d</v>
      </c>
      <c r="H25" s="30">
        <v>0.02</v>
      </c>
      <c r="J25" s="28">
        <f>H25</f>
        <v>0.02</v>
      </c>
    </row>
    <row r="26" spans="2:20" x14ac:dyDescent="0.45">
      <c r="G26" t="str">
        <v>Mnom_Nm</v>
      </c>
      <c r="H26" s="30">
        <v>103.937922019197</v>
      </c>
      <c r="J26" s="28">
        <f>H26</f>
        <v>103.937922019197</v>
      </c>
    </row>
    <row r="27" spans="2:20" x14ac:dyDescent="0.45">
      <c r="G27" t="str">
        <v>CosPhinom_d</v>
      </c>
      <c r="H27" s="31">
        <v>0.8</v>
      </c>
      <c r="J27" s="28">
        <f>H27</f>
        <v>0.8</v>
      </c>
    </row>
    <row r="28" spans="2:20" x14ac:dyDescent="0.45">
      <c r="B28" s="1" t="s">
        <v>35</v>
      </c>
      <c r="G28" t="str">
        <v>Fnom_Hz</v>
      </c>
      <c r="H28" s="30">
        <v>50</v>
      </c>
      <c r="J28" s="28">
        <f>H28</f>
        <v>50</v>
      </c>
    </row>
    <row r="29" spans="2:20" x14ac:dyDescent="0.45">
      <c r="B29" s="29" t="str" cm="1">
        <f t="array" ref="B29:C30">[1]!ESP_motor_nameplate(G17,G16,F,P24)</f>
        <v>{"Pnom_kW":35.2,"Unom_lin_V":1100,"Inom_lin_A":27.169424432453,"Snom_d":0.02,"Mnom_Nm":103.937922019197,"CosPhinom_d":0.8,"Fnom_Hz":50,"F_Hz":55,"length_m":10,"d_od_mm":117}</v>
      </c>
      <c r="C29" s="29" t="str">
        <v>[]</v>
      </c>
      <c r="G29" t="str">
        <v>F_Hz</v>
      </c>
      <c r="H29" s="30">
        <v>55</v>
      </c>
    </row>
    <row r="30" spans="2:20" x14ac:dyDescent="0.45">
      <c r="B30" s="29" t="str">
        <v>log</v>
      </c>
      <c r="C30" s="29">
        <v>0</v>
      </c>
      <c r="G30" t="str">
        <v>length_m</v>
      </c>
      <c r="H30" s="30">
        <v>10</v>
      </c>
    </row>
    <row r="31" spans="2:20" x14ac:dyDescent="0.45">
      <c r="G31" t="str">
        <v>d_od_mm</v>
      </c>
      <c r="H31" s="30">
        <v>117</v>
      </c>
    </row>
    <row r="32" spans="2:20" x14ac:dyDescent="0.45">
      <c r="B32" s="11">
        <v>100</v>
      </c>
    </row>
    <row r="33" spans="2:28" x14ac:dyDescent="0.45">
      <c r="B33" s="1" t="s">
        <v>14</v>
      </c>
    </row>
    <row r="34" spans="2:28" x14ac:dyDescent="0.4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</row>
    <row r="35" spans="2:28" x14ac:dyDescent="0.45">
      <c r="B35" s="6">
        <v>1</v>
      </c>
      <c r="C35" s="12">
        <f t="array" ref="C35:H35">[1]!ESP_motor_calc_mom(B35,F,U,$G$17,$G$16,$P$24)</f>
        <v>13.353315185033745</v>
      </c>
      <c r="D35" s="12">
        <v>0.16184126802289941</v>
      </c>
      <c r="E35" s="13">
        <v>7.9009151100421587E-2</v>
      </c>
      <c r="F35" s="14">
        <v>1.0746950051399046E-3</v>
      </c>
      <c r="G35" s="12">
        <v>0.9997880861847348</v>
      </c>
      <c r="H35" s="11">
        <v>0.34513065050710551</v>
      </c>
      <c r="P35">
        <v>60</v>
      </c>
      <c r="R35" t="str" cm="1">
        <f t="array" ref="R35:S36">[1]!ESP_motor_calc_mom(P35,F,U,$G$17,$G$16,S24)</f>
        <v>{"I_lin_A":19.3657435415782,"CosPhi_d":0.678582358360106,"eff_d":0.819663665624939,"s_d":1.03288211265697E-02,"M_Nm":60.0056654916258,"Pshaft_kW":20.5222860841596,"cable_dU_V":0,"U_motor_V":1100,"eff_full_fr":0.772611618083645,"load_d":57.7322158514416}</v>
      </c>
      <c r="S35" t="str">
        <v>[]</v>
      </c>
      <c r="AA35" t="str" cm="1">
        <f t="array" ref="AA35:AB36">[1]!ESP_motor_calc_slip(slip_nom,F,U,$G$17,$G$16,S24)</f>
        <v>{"I_lin_A":29.1241639527865,"CosPhi_d":0.814391312940295,"eff_d":0.857409108844145,"s_d":0.02,"M_Nm":114.408784506825,"Pshaft_kW":38.7461009071975,"cable_dU_V":0,"U_motor_V":1100,"eff_full_fr":0,"load_d":110.074150304538}</v>
      </c>
      <c r="AB35" t="str">
        <v>[]</v>
      </c>
    </row>
    <row r="36" spans="2:28" x14ac:dyDescent="0.45">
      <c r="B36" s="6">
        <f t="shared" ref="B36:B55" si="0">$B$32*0.07+B35</f>
        <v>8</v>
      </c>
      <c r="C36" s="12">
        <f t="array" ref="C36:H36">[1]!ESP_motor_calc_mom(B36,F,U,$G$17,$G$16,$P$24)</f>
        <v>13.652673678843806</v>
      </c>
      <c r="D36" s="12">
        <v>0.25199379401739608</v>
      </c>
      <c r="E36" s="13">
        <v>0.39680450448931487</v>
      </c>
      <c r="F36" s="14">
        <v>2.1252007336367892E-3</v>
      </c>
      <c r="G36" s="12">
        <v>8.0019032866271314</v>
      </c>
      <c r="H36" s="11">
        <v>2.7593825327842927</v>
      </c>
      <c r="R36" t="str">
        <v>log</v>
      </c>
      <c r="S36">
        <v>0</v>
      </c>
      <c r="AA36" t="str">
        <v>log</v>
      </c>
      <c r="AB36">
        <v>0</v>
      </c>
    </row>
    <row r="37" spans="2:28" x14ac:dyDescent="0.45">
      <c r="B37" s="6">
        <f t="shared" si="0"/>
        <v>15</v>
      </c>
      <c r="C37" s="12">
        <f t="array" ref="C37:H37">[1]!ESP_motor_calc_mom(B37,F,U,$G$17,$G$16,$P$24)</f>
        <v>14.086074568229323</v>
      </c>
      <c r="D37" s="12">
        <v>0.33543148417095847</v>
      </c>
      <c r="E37" s="13">
        <v>0.54100806870996587</v>
      </c>
      <c r="F37" s="14">
        <v>3.186073294980682E-3</v>
      </c>
      <c r="G37" s="12">
        <v>14.999219349684225</v>
      </c>
      <c r="H37" s="11">
        <v>5.1668435462036859</v>
      </c>
    </row>
    <row r="38" spans="2:28" x14ac:dyDescent="0.45">
      <c r="B38" s="6">
        <f t="shared" si="0"/>
        <v>22</v>
      </c>
      <c r="C38" s="12">
        <f t="array" ref="C38:H38">[1]!ESP_motor_calc_mom(B38,F,U,$G$17,$G$16,$P$24)</f>
        <v>14.645190470933651</v>
      </c>
      <c r="D38" s="12">
        <v>0.41092394934912591</v>
      </c>
      <c r="E38" s="13">
        <v>0.62260628599025314</v>
      </c>
      <c r="F38" s="14">
        <v>4.2607683001205862E-3</v>
      </c>
      <c r="G38" s="12">
        <v>22.009468979217353</v>
      </c>
      <c r="H38" s="11">
        <v>7.573519375618007</v>
      </c>
      <c r="R38" t="str" cm="1">
        <f t="array" ref="R38:S47">[1]!decode_json(R35)</f>
        <v>I_lin_A</v>
      </c>
      <c r="S38" s="27">
        <v>19.365743541578201</v>
      </c>
      <c r="AA38" t="str" cm="1">
        <f t="array" ref="AA38:AB47">[1]!decode_json(AA35)</f>
        <v>I_lin_A</v>
      </c>
      <c r="AB38">
        <v>29.1241639527865</v>
      </c>
    </row>
    <row r="39" spans="2:28" x14ac:dyDescent="0.45">
      <c r="B39" s="6">
        <f t="shared" si="0"/>
        <v>29</v>
      </c>
      <c r="C39" s="12">
        <f t="array" ref="C39:H39">[1]!ESP_motor_calc_mom(B39,F,U,$G$17,$G$16,$P$24)</f>
        <v>15.316523340895431</v>
      </c>
      <c r="D39" s="12">
        <v>0.47757823404830269</v>
      </c>
      <c r="E39" s="13">
        <v>0.67430282496790339</v>
      </c>
      <c r="F39" s="14">
        <v>5.3458301381075005E-3</v>
      </c>
      <c r="G39" s="12">
        <v>29.004995200708336</v>
      </c>
      <c r="H39" s="11">
        <v>9.9698233523309305</v>
      </c>
      <c r="R39" t="str">
        <v>CosPhi_d</v>
      </c>
      <c r="S39" s="27">
        <v>0.67858235836010605</v>
      </c>
      <c r="AA39" t="str">
        <v>CosPhi_d</v>
      </c>
      <c r="AB39">
        <v>0.81439131294029499</v>
      </c>
    </row>
    <row r="40" spans="2:28" x14ac:dyDescent="0.45">
      <c r="B40" s="6">
        <f t="shared" si="0"/>
        <v>36</v>
      </c>
      <c r="C40" s="12">
        <f t="array" ref="C40:H40">[1]!ESP_motor_calc_mom(B40,F,U,$G$17,$G$16,$P$24)</f>
        <v>16.089686995136244</v>
      </c>
      <c r="D40" s="12">
        <v>0.53565529983302407</v>
      </c>
      <c r="E40" s="13">
        <v>0.70959631239172938</v>
      </c>
      <c r="F40" s="14">
        <v>6.4447144198904252E-3</v>
      </c>
      <c r="G40" s="12">
        <v>36.002902773155419</v>
      </c>
      <c r="H40" s="11">
        <v>12.361526766537661</v>
      </c>
      <c r="R40" t="str">
        <v>eff_d</v>
      </c>
      <c r="S40" s="27">
        <v>0.81966366562493898</v>
      </c>
      <c r="AA40" t="str">
        <v>eff_d</v>
      </c>
      <c r="AB40">
        <v>0.85740910884414501</v>
      </c>
    </row>
    <row r="41" spans="2:28" x14ac:dyDescent="0.45">
      <c r="B41" s="6">
        <f t="shared" si="0"/>
        <v>43</v>
      </c>
      <c r="C41" s="12">
        <f t="array" ref="C41:H41">[1]!ESP_motor_calc_mom(B41,F,U,$G$17,$G$16,$P$24)</f>
        <v>16.952691617020363</v>
      </c>
      <c r="D41" s="12">
        <v>0.58564187369588727</v>
      </c>
      <c r="E41" s="13">
        <v>0.73484065781868113</v>
      </c>
      <c r="F41" s="14">
        <v>7.5574211454693622E-3</v>
      </c>
      <c r="G41" s="12">
        <v>42.997556529332236</v>
      </c>
      <c r="H41" s="11">
        <v>14.746593967851954</v>
      </c>
      <c r="R41" t="str">
        <v>s_d</v>
      </c>
      <c r="S41" s="26">
        <v>1.0328821126569699E-2</v>
      </c>
      <c r="AA41" t="str">
        <v>s_d</v>
      </c>
      <c r="AB41">
        <v>0.02</v>
      </c>
    </row>
    <row r="42" spans="2:28" x14ac:dyDescent="0.45">
      <c r="B42" s="6">
        <f t="shared" si="0"/>
        <v>50</v>
      </c>
      <c r="C42" s="12">
        <f t="array" ref="C42:H42">[1]!ESP_motor_calc_mom(B42,F,U,$G$17,$G$16,$P$24)</f>
        <v>17.897168172490179</v>
      </c>
      <c r="D42" s="12">
        <v>0.6284209124446285</v>
      </c>
      <c r="E42" s="13">
        <v>0.75352890806803297</v>
      </c>
      <c r="F42" s="14">
        <v>8.6874059257933123E-3</v>
      </c>
      <c r="G42" s="12">
        <v>50.004541143845032</v>
      </c>
      <c r="H42" s="11">
        <v>17.130207669701839</v>
      </c>
      <c r="R42" t="str">
        <v>M_Nm</v>
      </c>
      <c r="S42" s="27">
        <v>60.005665491625798</v>
      </c>
      <c r="AA42" t="str">
        <v>M_Nm</v>
      </c>
      <c r="AB42">
        <v>114.408784506825</v>
      </c>
    </row>
    <row r="43" spans="2:28" x14ac:dyDescent="0.45">
      <c r="B43" s="6">
        <f t="shared" si="0"/>
        <v>57</v>
      </c>
      <c r="C43" s="12">
        <f t="array" ref="C43:H43">[1]!ESP_motor_calc_mom(B43,F,U,$G$17,$G$16,$P$24)</f>
        <v>18.910094051851896</v>
      </c>
      <c r="D43" s="12">
        <v>0.66470979137900865</v>
      </c>
      <c r="E43" s="13">
        <v>0.76761654876145846</v>
      </c>
      <c r="F43" s="14">
        <v>9.8312131499132746E-3</v>
      </c>
      <c r="G43" s="12">
        <v>56.996221569850213</v>
      </c>
      <c r="H43" s="11">
        <v>19.502839911072886</v>
      </c>
      <c r="R43" t="str">
        <v>Pshaft_kW</v>
      </c>
      <c r="S43" s="27">
        <v>20.5222860841596</v>
      </c>
      <c r="AA43" t="str">
        <v>Pshaft_kW</v>
      </c>
      <c r="AB43">
        <v>38.746100907197501</v>
      </c>
    </row>
    <row r="44" spans="2:28" x14ac:dyDescent="0.45">
      <c r="B44" s="6">
        <f t="shared" si="0"/>
        <v>64</v>
      </c>
      <c r="C44" s="12">
        <f t="array" ref="C44:H44">[1]!ESP_motor_calc_mom(B44,F,U,$G$17,$G$16,$P$24)</f>
        <v>19.988687283338788</v>
      </c>
      <c r="D44" s="12">
        <v>0.69556397578923468</v>
      </c>
      <c r="E44" s="13">
        <v>0.77844240567715894</v>
      </c>
      <c r="F44" s="14">
        <v>1.0995754039727256E-2</v>
      </c>
      <c r="G44" s="12">
        <v>64.00809307819803</v>
      </c>
      <c r="H44" s="11">
        <v>21.876387267773136</v>
      </c>
      <c r="R44" t="str">
        <v>cable_dU_V</v>
      </c>
      <c r="S44" s="27">
        <v>0</v>
      </c>
      <c r="AA44" t="str">
        <v>cable_dU_V</v>
      </c>
      <c r="AB44">
        <v>0</v>
      </c>
    </row>
    <row r="45" spans="2:28" x14ac:dyDescent="0.45">
      <c r="B45" s="6">
        <f t="shared" si="0"/>
        <v>71</v>
      </c>
      <c r="C45" s="12">
        <f t="array" ref="C45:H45">[1]!ESP_motor_calc_mom(B45,F,U,$G$17,$G$16,$P$24)</f>
        <v>21.118682464180377</v>
      </c>
      <c r="D45" s="12">
        <v>0.72158745738179697</v>
      </c>
      <c r="E45" s="13">
        <v>0.78676885284157183</v>
      </c>
      <c r="F45" s="14">
        <v>1.2174117373337248E-2</v>
      </c>
      <c r="G45" s="12">
        <v>70.991729618134428</v>
      </c>
      <c r="H45" s="11">
        <v>24.234313200567467</v>
      </c>
      <c r="R45" t="str">
        <v>U_motor_V</v>
      </c>
      <c r="S45" s="27">
        <v>1100</v>
      </c>
      <c r="AA45" t="str">
        <v>U_motor_V</v>
      </c>
      <c r="AB45">
        <v>1100</v>
      </c>
    </row>
    <row r="46" spans="2:28" x14ac:dyDescent="0.45">
      <c r="B46" s="6">
        <f t="shared" si="0"/>
        <v>78</v>
      </c>
      <c r="C46" s="12">
        <f t="array" ref="C46:H46">[1]!ESP_motor_calc_mom(B46,F,U,$G$17,$G$16,$P$24)</f>
        <v>22.303208674788415</v>
      </c>
      <c r="D46" s="12">
        <v>0.74370274991698593</v>
      </c>
      <c r="E46" s="13">
        <v>0.79323270592116091</v>
      </c>
      <c r="F46" s="14">
        <v>1.3376669983590259E-2</v>
      </c>
      <c r="G46" s="12">
        <v>78.001179661999402</v>
      </c>
      <c r="H46" s="11">
        <v>26.594700843436716</v>
      </c>
      <c r="R46" t="str">
        <v>eff_full_fr</v>
      </c>
      <c r="S46" s="27">
        <v>0.77261161808364498</v>
      </c>
      <c r="AA46" t="str">
        <v>eff_full_fr</v>
      </c>
      <c r="AB46">
        <v>0</v>
      </c>
    </row>
    <row r="47" spans="2:28" x14ac:dyDescent="0.45">
      <c r="B47" s="6">
        <f t="shared" si="0"/>
        <v>85</v>
      </c>
      <c r="C47" s="12">
        <f t="array" ref="C47:H47">[1]!ESP_motor_calc_mom(B47,F,U,$G$17,$G$16,$P$24)</f>
        <v>23.533107907720311</v>
      </c>
      <c r="D47" s="12">
        <v>0.76241976839726433</v>
      </c>
      <c r="E47" s="13">
        <v>0.79820190153211013</v>
      </c>
      <c r="F47" s="14">
        <v>1.4599956259537292E-2</v>
      </c>
      <c r="G47" s="12">
        <v>85.007808360234847</v>
      </c>
      <c r="H47" s="11">
        <v>28.947692762171599</v>
      </c>
      <c r="R47" t="str">
        <v>load_d</v>
      </c>
      <c r="S47" s="27">
        <v>57.732215851441602</v>
      </c>
      <c r="W47">
        <f>S43/H22</f>
        <v>0.58301949102726125</v>
      </c>
      <c r="AA47" t="str">
        <v>load_d</v>
      </c>
      <c r="AB47">
        <v>110.07415030453799</v>
      </c>
    </row>
    <row r="48" spans="2:28" x14ac:dyDescent="0.45">
      <c r="B48" s="6">
        <f t="shared" si="0"/>
        <v>92</v>
      </c>
      <c r="C48" s="12">
        <f t="array" ref="C48:H48">[1]!ESP_motor_calc_mom(B48,F,U,$G$17,$G$16,$P$24)</f>
        <v>24.803165760497134</v>
      </c>
      <c r="D48" s="12">
        <v>0.77825076369791946</v>
      </c>
      <c r="E48" s="13">
        <v>0.80196730424638696</v>
      </c>
      <c r="F48" s="14">
        <v>1.5843976201178337E-2</v>
      </c>
      <c r="G48" s="12">
        <v>92.003549540658184</v>
      </c>
      <c r="H48" s="11">
        <v>31.290398622094425</v>
      </c>
      <c r="S48" s="27"/>
      <c r="W48">
        <f>S42/H26</f>
        <v>0.57732215851441537</v>
      </c>
    </row>
    <row r="49" spans="2:26" x14ac:dyDescent="0.45">
      <c r="B49" s="6">
        <f t="shared" si="0"/>
        <v>99</v>
      </c>
      <c r="C49" s="12">
        <f t="array" ref="C49:H49">[1]!ESP_motor_calc_mom(B49,F,U,$G$17,$G$16,$P$24)</f>
        <v>26.112349677293256</v>
      </c>
      <c r="D49" s="12">
        <v>0.7916646094608113</v>
      </c>
      <c r="E49" s="13">
        <v>0.80475385238895825</v>
      </c>
      <c r="F49" s="14">
        <v>1.7112185419462404E-2</v>
      </c>
      <c r="G49" s="12">
        <v>98.999158043130421</v>
      </c>
      <c r="H49" s="11">
        <v>33.626216887890287</v>
      </c>
      <c r="W49">
        <f>S38/H24</f>
        <v>0.71277709948269818</v>
      </c>
      <c r="X49">
        <f>(W49+W50)/2</f>
        <v>0.78050252371641538</v>
      </c>
    </row>
    <row r="50" spans="2:26" x14ac:dyDescent="0.45">
      <c r="B50" s="6">
        <f t="shared" si="0"/>
        <v>106</v>
      </c>
      <c r="C50" s="12">
        <f t="array" ref="C50:H50">[1]!ESP_motor_calc_mom(B50,F,U,$G$17,$G$16,$P$24)</f>
        <v>27.46023069252719</v>
      </c>
      <c r="D50" s="12">
        <v>0.80303876756029802</v>
      </c>
      <c r="E50" s="13">
        <v>0.80672699249148683</v>
      </c>
      <c r="F50" s="14">
        <v>1.8408039525338496E-2</v>
      </c>
      <c r="G50" s="12">
        <v>106.00381437557952</v>
      </c>
      <c r="H50" s="11">
        <v>35.957959879920736</v>
      </c>
      <c r="W50">
        <f>S39/H27</f>
        <v>0.84822794795013257</v>
      </c>
    </row>
    <row r="51" spans="2:26" x14ac:dyDescent="0.45">
      <c r="B51" s="6">
        <f t="shared" si="0"/>
        <v>113</v>
      </c>
      <c r="C51" s="12">
        <f t="array" ref="C51:H51">[1]!ESP_motor_calc_mom(B51,F,U,$G$17,$G$16,$P$24)</f>
        <v>28.843194278797842</v>
      </c>
      <c r="D51" s="12">
        <v>0.81265460915008259</v>
      </c>
      <c r="E51" s="13">
        <v>0.80800798750741365</v>
      </c>
      <c r="F51" s="14">
        <v>1.9731538518806609E-2</v>
      </c>
      <c r="G51" s="12">
        <v>113.00695841842033</v>
      </c>
      <c r="H51" s="11">
        <v>38.281837379592076</v>
      </c>
    </row>
    <row r="52" spans="2:26" x14ac:dyDescent="0.45">
      <c r="B52" s="6">
        <f t="shared" si="0"/>
        <v>120</v>
      </c>
      <c r="C52" s="12">
        <f t="array" ref="C52:H52">[1]!ESP_motor_calc_mom(B52,F,U,$G$17,$G$16,$P$24)</f>
        <v>30.257904730450793</v>
      </c>
      <c r="D52" s="12">
        <v>0.82075115319865632</v>
      </c>
      <c r="E52" s="13">
        <v>0.80869405108662884</v>
      </c>
      <c r="F52" s="14">
        <v>2.1082682399866746E-2</v>
      </c>
      <c r="G52" s="12">
        <v>119.99794085598694</v>
      </c>
      <c r="H52" s="11">
        <v>40.594048198585384</v>
      </c>
    </row>
    <row r="53" spans="2:26" x14ac:dyDescent="0.45">
      <c r="B53" s="6">
        <f t="shared" si="0"/>
        <v>127</v>
      </c>
      <c r="C53" s="12">
        <f t="array" ref="C53:H53">[1]!ESP_motor_calc_mom(B53,F,U,$G$17,$G$16,$P$24)</f>
        <v>31.708498060473506</v>
      </c>
      <c r="D53" s="12">
        <v>0.82756139994404088</v>
      </c>
      <c r="E53" s="13">
        <v>0.8088637473336957</v>
      </c>
      <c r="F53" s="14">
        <v>2.2468382390416916E-2</v>
      </c>
      <c r="G53" s="12">
        <v>127.00056667317467</v>
      </c>
      <c r="H53" s="11">
        <v>42.902147323268522</v>
      </c>
    </row>
    <row r="54" spans="2:26" x14ac:dyDescent="0.45">
      <c r="B54" s="6">
        <f t="shared" si="0"/>
        <v>134</v>
      </c>
      <c r="C54" s="12">
        <f t="array" ref="C54:H54">[1]!ESP_motor_calc_mom(B54,F,U,$G$17,$G$16,$P$24)</f>
        <v>33.192024277993944</v>
      </c>
      <c r="D54" s="12">
        <v>0.83323888540678992</v>
      </c>
      <c r="E54" s="13">
        <v>0.80857563934816035</v>
      </c>
      <c r="F54" s="14">
        <v>2.3888638490457109E-2</v>
      </c>
      <c r="G54" s="12">
        <v>134.00153025450939</v>
      </c>
      <c r="H54" s="11">
        <v>45.201378907887403</v>
      </c>
    </row>
    <row r="55" spans="2:26" x14ac:dyDescent="0.45">
      <c r="B55" s="6">
        <f t="shared" si="0"/>
        <v>141</v>
      </c>
      <c r="C55" s="12">
        <f t="array" ref="C55:H55">[1]!ESP_motor_calc_mom(B55,F,U,$G$17,$G$16,$P$24)</f>
        <v>34.70923007098088</v>
      </c>
      <c r="D55" s="12">
        <v>0.83792563163567813</v>
      </c>
      <c r="E55" s="13">
        <v>0.80787700189500344</v>
      </c>
      <c r="F55" s="14">
        <v>2.5346906310936338E-2</v>
      </c>
      <c r="G55" s="12">
        <v>141.00380721493093</v>
      </c>
      <c r="H55" s="11">
        <v>47.49232844407446</v>
      </c>
      <c r="T55" s="28"/>
    </row>
    <row r="56" spans="2:26" x14ac:dyDescent="0.45">
      <c r="C56" s="11"/>
      <c r="D56" s="11"/>
      <c r="E56" s="11"/>
      <c r="F56" s="11"/>
      <c r="G56" s="11"/>
      <c r="H56" s="11"/>
    </row>
    <row r="57" spans="2:26" x14ac:dyDescent="0.45">
      <c r="T57" s="28" cm="1">
        <f t="array" ref="T57:Z58">[1]!ESP_motor_calc_mom(B38,F,U,$G$17,$G$16,$P$24)</f>
        <v>14.645190470933651</v>
      </c>
      <c r="U57">
        <v>0.41092394934912591</v>
      </c>
      <c r="V57">
        <v>0.62260628599025314</v>
      </c>
      <c r="W57">
        <v>4.2607683001205862E-3</v>
      </c>
      <c r="X57">
        <v>22.009468979217353</v>
      </c>
      <c r="Y57">
        <v>7.573519375618007</v>
      </c>
      <c r="Z57" t="str">
        <v>[]</v>
      </c>
    </row>
    <row r="58" spans="2:26" x14ac:dyDescent="0.45">
      <c r="T58" t="str">
        <v>I_lin_A</v>
      </c>
      <c r="U58" t="str">
        <v>CosPhi_d</v>
      </c>
      <c r="V58" t="str">
        <v>eff_d</v>
      </c>
      <c r="W58" t="str">
        <v>slip</v>
      </c>
      <c r="X58" t="str">
        <v>M_Nm</v>
      </c>
      <c r="Y58" t="str">
        <v>Pshaft_kW</v>
      </c>
      <c r="Z58" t="str">
        <v>log</v>
      </c>
    </row>
  </sheetData>
  <mergeCells count="4">
    <mergeCell ref="B3:E3"/>
    <mergeCell ref="B4:E4"/>
    <mergeCell ref="B5:E5"/>
    <mergeCell ref="B6:E8"/>
  </mergeCells>
  <conditionalFormatting sqref="E35:E5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zoomScale="85" zoomScaleNormal="85" workbookViewId="0">
      <selection activeCell="X167" sqref="X167"/>
    </sheetView>
  </sheetViews>
  <sheetFormatPr defaultRowHeight="14.25" x14ac:dyDescent="0.45"/>
  <cols>
    <col min="19" max="19" width="10.3984375" bestFit="1" customWidth="1"/>
    <col min="20" max="20" width="12.59765625" bestFit="1" customWidth="1"/>
    <col min="23" max="23" width="12.3984375" bestFit="1" customWidth="1"/>
    <col min="24" max="24" width="10.265625" customWidth="1"/>
    <col min="25" max="25" width="10.73046875" customWidth="1"/>
  </cols>
  <sheetData>
    <row r="9" spans="18:28" x14ac:dyDescent="0.45">
      <c r="R9" s="5"/>
      <c r="S9" s="5"/>
      <c r="T9" s="5"/>
      <c r="U9" s="5"/>
      <c r="V9" s="5"/>
      <c r="W9" s="5"/>
      <c r="X9" s="5"/>
      <c r="Y9" s="5"/>
      <c r="Z9" s="44" t="s">
        <v>26</v>
      </c>
      <c r="AA9" s="44"/>
      <c r="AB9" s="44"/>
    </row>
    <row r="10" spans="18:28" x14ac:dyDescent="0.4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4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45">
      <c r="R12" s="8">
        <v>50</v>
      </c>
      <c r="S12" s="8">
        <v>8</v>
      </c>
      <c r="T12" s="8">
        <v>380</v>
      </c>
      <c r="U12" s="8">
        <v>17.100000000000001</v>
      </c>
      <c r="V12" s="8">
        <v>0.84499999999999997</v>
      </c>
      <c r="W12" s="8">
        <v>5.1999999999999998E-2</v>
      </c>
      <c r="X12" s="8">
        <v>0.86</v>
      </c>
      <c r="Y12" s="7">
        <f>R12*(1-W12)*2*3.1415</f>
        <v>297.81420000000003</v>
      </c>
      <c r="Z12" s="7">
        <f>T12*U12*3^0.5*X12/1000</f>
        <v>9.6791848869210053</v>
      </c>
      <c r="AA12" s="7">
        <f>Z12*V12</f>
        <v>8.17891122944825</v>
      </c>
      <c r="AB12" s="7">
        <f>AA12*1000/Y12</f>
        <v>27.46313382453976</v>
      </c>
    </row>
    <row r="13" spans="18:28" x14ac:dyDescent="0.45">
      <c r="R13" s="8">
        <v>50</v>
      </c>
      <c r="S13" s="8">
        <v>45</v>
      </c>
      <c r="T13" s="8">
        <v>1350</v>
      </c>
      <c r="U13" s="8">
        <v>27.3</v>
      </c>
      <c r="V13" s="8">
        <v>0.83</v>
      </c>
      <c r="W13" s="8">
        <v>5.1999999999999998E-2</v>
      </c>
      <c r="X13" s="8">
        <v>0.85</v>
      </c>
      <c r="Y13" s="7">
        <f>R13*(1-W13)*2*3.1415</f>
        <v>297.81420000000003</v>
      </c>
      <c r="Z13" s="7">
        <f>T13*U13*3^0.5*X13/1000</f>
        <v>54.259522636008327</v>
      </c>
      <c r="AA13" s="9">
        <f>Z13*V13</f>
        <v>45.035403787886906</v>
      </c>
      <c r="AB13" s="7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lambda</vt:lpstr>
      <vt:lpstr>Pnom</vt:lpstr>
      <vt:lpstr>slip_nom</vt:lpstr>
      <vt:lpstr>U</vt:lpstr>
      <vt:lpstr>Unom</vt:lpstr>
      <vt:lpstr>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2019-06-11T10:40:46Z</dcterms:created>
  <dcterms:modified xsi:type="dcterms:W3CDTF">2022-05-25T08:04:55Z</dcterms:modified>
</cp:coreProperties>
</file>