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A55FBB5-9F98-4496-861B-E9D16DD9485B}" xr6:coauthVersionLast="45" xr6:coauthVersionMax="45" xr10:uidLastSave="{00000000-0000-0000-0000-000000000000}"/>
  <bookViews>
    <workbookView xWindow="-26565" yWindow="1605" windowWidth="24390" windowHeight="16740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3" i="3" l="1"/>
  <c r="AA13" i="3" s="1"/>
  <c r="Y13" i="3"/>
  <c r="Y12" i="3"/>
  <c r="AA12" i="3"/>
  <c r="AB12" i="3" s="1"/>
  <c r="Z12" i="3"/>
  <c r="B29" i="1" a="1"/>
  <c r="G1" i="1"/>
  <c r="C35" i="1" a="1"/>
  <c r="B29" i="1" l="1"/>
  <c r="C35" i="1"/>
  <c r="D35" i="1"/>
  <c r="E35" i="1"/>
  <c r="F35" i="1"/>
  <c r="G35" i="1"/>
  <c r="H35" i="1"/>
  <c r="B36" i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AB13" i="3"/>
  <c r="C36" i="1" a="1"/>
  <c r="H36" i="1" l="1"/>
  <c r="C36" i="1"/>
  <c r="D36" i="1"/>
  <c r="E36" i="1"/>
  <c r="F36" i="1"/>
  <c r="G36" i="1"/>
  <c r="C37" i="1" a="1"/>
  <c r="D37" i="1" l="1"/>
  <c r="C37" i="1"/>
  <c r="F37" i="1"/>
  <c r="H37" i="1"/>
  <c r="E37" i="1"/>
  <c r="G37" i="1"/>
  <c r="C38" i="1" a="1"/>
  <c r="D38" i="1" l="1"/>
  <c r="F38" i="1"/>
  <c r="E38" i="1"/>
  <c r="G38" i="1"/>
  <c r="H38" i="1"/>
  <c r="C38" i="1"/>
  <c r="C39" i="1" a="1"/>
  <c r="E39" i="1" l="1"/>
  <c r="D39" i="1"/>
  <c r="F39" i="1"/>
  <c r="G39" i="1"/>
  <c r="H39" i="1"/>
  <c r="C39" i="1"/>
  <c r="C40" i="1" a="1"/>
  <c r="D40" i="1" l="1"/>
  <c r="F40" i="1"/>
  <c r="C40" i="1"/>
  <c r="G40" i="1"/>
  <c r="E40" i="1"/>
  <c r="H40" i="1"/>
  <c r="C41" i="1" a="1"/>
  <c r="C42" i="1" a="1"/>
  <c r="D42" i="1" l="1"/>
  <c r="H42" i="1"/>
  <c r="E42" i="1"/>
  <c r="C42" i="1"/>
  <c r="G42" i="1"/>
  <c r="F42" i="1"/>
  <c r="D41" i="1"/>
  <c r="C41" i="1"/>
  <c r="E41" i="1"/>
  <c r="F41" i="1"/>
  <c r="G41" i="1"/>
  <c r="H41" i="1"/>
  <c r="C43" i="1" a="1"/>
  <c r="F43" i="1" l="1"/>
  <c r="C43" i="1"/>
  <c r="D43" i="1"/>
  <c r="E43" i="1"/>
  <c r="H43" i="1"/>
  <c r="G43" i="1"/>
  <c r="C44" i="1" a="1"/>
  <c r="G44" i="1" l="1"/>
  <c r="H44" i="1"/>
  <c r="F44" i="1"/>
  <c r="C44" i="1"/>
  <c r="E44" i="1"/>
  <c r="D44" i="1"/>
  <c r="C45" i="1" a="1"/>
  <c r="D45" i="1" l="1"/>
  <c r="G45" i="1"/>
  <c r="H45" i="1"/>
  <c r="E45" i="1"/>
  <c r="F45" i="1"/>
  <c r="C45" i="1"/>
  <c r="C46" i="1" a="1"/>
  <c r="E46" i="1" l="1"/>
  <c r="F46" i="1"/>
  <c r="G46" i="1"/>
  <c r="H46" i="1"/>
  <c r="C46" i="1"/>
  <c r="D46" i="1"/>
  <c r="C47" i="1" a="1"/>
  <c r="F47" i="1" l="1"/>
  <c r="C47" i="1"/>
  <c r="D47" i="1"/>
  <c r="G47" i="1"/>
  <c r="H47" i="1"/>
  <c r="E47" i="1"/>
  <c r="C48" i="1" a="1"/>
  <c r="C48" i="1" l="1"/>
  <c r="D48" i="1"/>
  <c r="E48" i="1"/>
  <c r="F48" i="1"/>
  <c r="G48" i="1"/>
  <c r="H48" i="1"/>
  <c r="C49" i="1" a="1"/>
  <c r="D49" i="1" l="1"/>
  <c r="G49" i="1"/>
  <c r="H49" i="1"/>
  <c r="C49" i="1"/>
  <c r="E49" i="1"/>
  <c r="F49" i="1"/>
  <c r="C50" i="1" a="1"/>
  <c r="G50" i="1" l="1"/>
  <c r="C50" i="1"/>
  <c r="D50" i="1"/>
  <c r="E50" i="1"/>
  <c r="H50" i="1"/>
  <c r="F50" i="1"/>
  <c r="C51" i="1" a="1"/>
  <c r="H51" i="1" l="1"/>
  <c r="E51" i="1"/>
  <c r="F51" i="1"/>
  <c r="G51" i="1"/>
  <c r="C51" i="1"/>
  <c r="D51" i="1"/>
  <c r="C52" i="1" a="1"/>
  <c r="C52" i="1" l="1"/>
  <c r="D52" i="1"/>
  <c r="F52" i="1"/>
  <c r="H52" i="1"/>
  <c r="G52" i="1"/>
  <c r="E52" i="1"/>
  <c r="C53" i="1" a="1"/>
  <c r="F53" i="1" l="1"/>
  <c r="C53" i="1"/>
  <c r="D53" i="1"/>
  <c r="E53" i="1"/>
  <c r="G53" i="1"/>
  <c r="H53" i="1"/>
  <c r="C54" i="1" a="1"/>
  <c r="C54" i="1" l="1"/>
  <c r="D54" i="1"/>
  <c r="F54" i="1"/>
  <c r="E54" i="1"/>
  <c r="G54" i="1"/>
  <c r="H54" i="1"/>
  <c r="C55" i="1" a="1"/>
  <c r="C5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<sst xmlns="http://schemas.openxmlformats.org/spreadsheetml/2006/main" count="68" uniqueCount="59">
  <si>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</si>
  <si>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</si>
  <si>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</si>
  <si>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</si>
  <si>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</si>
  <si>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</si>
  <si>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</si>
  <si>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</si>
  <si>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</si>
  <si>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</si>
  <si>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</si>
  <si>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</si>
  <si>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</si>
  <si>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</si>
  <si>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</si>
  <si>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</si>
  <si>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</si>
  <si>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</si>
  <si>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</si>
  <si>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</si>
  <si>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</si>
  <si>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</si>
  <si>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</si>
  <si>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</si>
  <si>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</si>
  <si>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</si>
  <si>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</si>
  <si>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</si>
  <si>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</si>
  <si>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</si>
  <si>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</si>
  <si>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</si>
  <si>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</si>
  <si>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</si>
  <si>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</si>
  <si>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</si>
  <si>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</si>
  <si>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</si>
  <si>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</si>
  <si>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</si>
  <si>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</si>
  <si>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</si>
  <si>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</si>
  <si>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</si>
  <si>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</si>
  <si>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</si>
  <si>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</si>
  <si>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</si>
  <si>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</si>
  <si>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</si>
  <si>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</si>
  <si>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</si>
  <si>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Модель погружного электрического двигателя для УЭЦН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</si>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</sst>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7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 formatCode="0.000">
                  <c:v>0.02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8.2756545413437905</c:v>
                </c:pt>
                <c:pt idx="2">
                  <c:v>15.551309082687581</c:v>
                </c:pt>
                <c:pt idx="3">
                  <c:v>22.826963624031372</c:v>
                </c:pt>
                <c:pt idx="4">
                  <c:v>30.102618165375162</c:v>
                </c:pt>
                <c:pt idx="5">
                  <c:v>37.378272706718953</c:v>
                </c:pt>
                <c:pt idx="6">
                  <c:v>44.653927248062743</c:v>
                </c:pt>
                <c:pt idx="7">
                  <c:v>51.929581789406534</c:v>
                </c:pt>
                <c:pt idx="8">
                  <c:v>59.205236330750324</c:v>
                </c:pt>
                <c:pt idx="9">
                  <c:v>66.480890872094108</c:v>
                </c:pt>
                <c:pt idx="10">
                  <c:v>73.756545413437891</c:v>
                </c:pt>
                <c:pt idx="11">
                  <c:v>81.032199954781674</c:v>
                </c:pt>
                <c:pt idx="12">
                  <c:v>88.307854496125458</c:v>
                </c:pt>
                <c:pt idx="13">
                  <c:v>95.583509037469241</c:v>
                </c:pt>
                <c:pt idx="14">
                  <c:v>102.85916357881302</c:v>
                </c:pt>
                <c:pt idx="15">
                  <c:v>110.13481812015681</c:v>
                </c:pt>
                <c:pt idx="16">
                  <c:v>117.41047266150059</c:v>
                </c:pt>
                <c:pt idx="17">
                  <c:v>124.68612720284438</c:v>
                </c:pt>
                <c:pt idx="18">
                  <c:v>131.96178174418816</c:v>
                </c:pt>
                <c:pt idx="19">
                  <c:v>139.23743628553194</c:v>
                </c:pt>
                <c:pt idx="20">
                  <c:v>146.51309082687573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0.26140049661022524</c:v>
                </c:pt>
                <c:pt idx="1">
                  <c:v>2.1632602068819327</c:v>
                </c:pt>
                <c:pt idx="2">
                  <c:v>4.0651199171536403</c:v>
                </c:pt>
                <c:pt idx="3">
                  <c:v>5.9669796274253484</c:v>
                </c:pt>
                <c:pt idx="4">
                  <c:v>7.8688393376970565</c:v>
                </c:pt>
                <c:pt idx="5">
                  <c:v>9.7706990479687637</c:v>
                </c:pt>
                <c:pt idx="6">
                  <c:v>11.672558758240472</c:v>
                </c:pt>
                <c:pt idx="7">
                  <c:v>13.574418468512178</c:v>
                </c:pt>
                <c:pt idx="8">
                  <c:v>15.476278178783884</c:v>
                </c:pt>
                <c:pt idx="9">
                  <c:v>17.378137889055591</c:v>
                </c:pt>
                <c:pt idx="10">
                  <c:v>19.279997599327295</c:v>
                </c:pt>
                <c:pt idx="11">
                  <c:v>21.181857309599003</c:v>
                </c:pt>
                <c:pt idx="12">
                  <c:v>23.083717019870708</c:v>
                </c:pt>
                <c:pt idx="13">
                  <c:v>24.985576730142412</c:v>
                </c:pt>
                <c:pt idx="14">
                  <c:v>26.88743644041412</c:v>
                </c:pt>
                <c:pt idx="15">
                  <c:v>28.789296150685821</c:v>
                </c:pt>
                <c:pt idx="16">
                  <c:v>30.691155860957533</c:v>
                </c:pt>
                <c:pt idx="17">
                  <c:v>32.593015571229238</c:v>
                </c:pt>
                <c:pt idx="18">
                  <c:v>34.494875281500946</c:v>
                </c:pt>
                <c:pt idx="19">
                  <c:v>36.396734991772647</c:v>
                </c:pt>
                <c:pt idx="20">
                  <c:v>38.298594702044355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на валу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355324</xdr:colOff>
      <xdr:row>33</xdr:row>
      <xdr:rowOff>56687</xdr:rowOff>
    </xdr:from>
    <xdr:to>
      <xdr:col>20</xdr:col>
      <xdr:colOff>466726</xdr:colOff>
      <xdr:row>55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характеристики погружного 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14</xdr:col>
      <xdr:colOff>575227</xdr:colOff>
      <xdr:row>26</xdr:row>
      <xdr:rowOff>174763</xdr:rowOff>
    </xdr:from>
    <xdr:to>
      <xdr:col>20</xdr:col>
      <xdr:colOff>9938</xdr:colOff>
      <xdr:row>30</xdr:row>
      <xdr:rowOff>184288</xdr:rowOff>
    </xdr:to>
    <xdr:sp macro="" textlink="">
      <xdr:nvSpPr>
        <xdr:cNvPr id="17" name="Выноска со стрелкой влево 3">
          <a:extLst>
            <a:ext uri="{FF2B5EF4-FFF2-40B4-BE49-F238E27FC236}">
              <a16:creationId xmlns:a16="http://schemas.microsoft.com/office/drawing/2014/main" id="{F5E17161-8420-4C48-A074-34B0DB3D7930}"/>
            </a:ext>
          </a:extLst>
        </xdr:cNvPr>
        <xdr:cNvSpPr/>
      </xdr:nvSpPr>
      <xdr:spPr>
        <a:xfrm>
          <a:off x="9810336" y="5376241"/>
          <a:ext cx="3112189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/>
            <a:t>1.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  <a:endParaRPr lang="ru-RU" sz="1100">
            <a:effectLst/>
          </a:endParaRPr>
        </a:p>
      </xdr:txBody>
    </xdr:sp>
    <xdr:clientData/>
  </xdr:twoCellAnchor>
  <xdr:twoCellAnchor>
    <xdr:from>
      <xdr:col>8</xdr:col>
      <xdr:colOff>161925</xdr:colOff>
      <xdr:row>39</xdr:row>
      <xdr:rowOff>0</xdr:rowOff>
    </xdr:from>
    <xdr:to>
      <xdr:col>13</xdr:col>
      <xdr:colOff>9524</xdr:colOff>
      <xdr:row>43</xdr:row>
      <xdr:rowOff>9525</xdr:rowOff>
    </xdr:to>
    <xdr:sp macro="" textlink="">
      <xdr:nvSpPr>
        <xdr:cNvPr id="18" name="Выноска со стрелкой влево 3">
          <a:extLst>
            <a:ext uri="{FF2B5EF4-FFF2-40B4-BE49-F238E27FC236}">
              <a16:creationId xmlns:a16="http://schemas.microsoft.com/office/drawing/2014/main" id="{4CE8DBC8-9523-49F5-BCAC-FD8FAB8A2F15}"/>
            </a:ext>
          </a:extLst>
        </xdr:cNvPr>
        <xdr:cNvSpPr/>
      </xdr:nvSpPr>
      <xdr:spPr>
        <a:xfrm>
          <a:off x="5581650" y="7543800"/>
          <a:ext cx="3095624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1.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motor_calc_mom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M56"/>
  <sheetViews>
    <sheetView tabSelected="1" topLeftCell="A10" zoomScale="115" zoomScaleNormal="115" workbookViewId="0">
      <selection activeCell="L19" sqref="L19"/>
    </sheetView>
  </sheetViews>
  <sheetFormatPr defaultRowHeight="15" x14ac:dyDescent="0.25"/>
  <cols>
    <col min="2" max="2" width="8.28515625" customWidth="1"/>
    <col min="3" max="3" width="11.42578125" customWidth="1"/>
    <col min="4" max="4" width="12.42578125" customWidth="1"/>
    <col min="5" max="5" width="11.42578125" customWidth="1"/>
    <col min="9" max="9" width="10.28515625" customWidth="1"/>
    <col min="10" max="10" width="11" bestFit="1" customWidth="1"/>
  </cols>
  <sheetData>
    <row r="1" spans="1:12" x14ac:dyDescent="0.25">
      <c r="A1" s="16" t="s">
        <v>36</v>
      </c>
      <c r="F1" t="s">
        <v>37</v>
      </c>
      <c r="G1" t="str">
        <f>[1]!unf_Version()</f>
        <v>7.25</v>
      </c>
      <c r="H1" t="s">
        <v>38</v>
      </c>
      <c r="I1" s="17">
        <v>43991</v>
      </c>
      <c r="J1" s="18"/>
      <c r="K1" s="18"/>
      <c r="L1" s="18"/>
    </row>
    <row r="2" spans="1:12" x14ac:dyDescent="0.25">
      <c r="A2" t="s">
        <v>52</v>
      </c>
      <c r="H2" t="s">
        <v>39</v>
      </c>
      <c r="I2" s="19">
        <v>7.25</v>
      </c>
      <c r="J2" s="18"/>
      <c r="K2" s="18"/>
      <c r="L2" s="18"/>
    </row>
    <row r="3" spans="1:12" x14ac:dyDescent="0.25">
      <c r="A3" s="20" t="s">
        <v>40</v>
      </c>
      <c r="B3" s="27" t="s">
        <v>41</v>
      </c>
      <c r="C3" s="28"/>
      <c r="D3" s="28"/>
      <c r="E3" s="29"/>
      <c r="H3" t="s">
        <v>42</v>
      </c>
      <c r="I3" s="18" t="s">
        <v>41</v>
      </c>
      <c r="J3" s="18"/>
      <c r="K3" s="18"/>
      <c r="L3" s="18"/>
    </row>
    <row r="4" spans="1:12" x14ac:dyDescent="0.25">
      <c r="A4" s="20" t="s">
        <v>43</v>
      </c>
      <c r="B4" s="27" t="s">
        <v>44</v>
      </c>
      <c r="C4" s="28"/>
      <c r="D4" s="28"/>
      <c r="E4" s="29"/>
      <c r="H4" t="s">
        <v>45</v>
      </c>
      <c r="I4" s="18" t="s">
        <v>44</v>
      </c>
      <c r="J4" s="18"/>
      <c r="K4" s="18"/>
      <c r="L4" s="18"/>
    </row>
    <row r="5" spans="1:12" x14ac:dyDescent="0.25">
      <c r="A5" s="20" t="s">
        <v>46</v>
      </c>
      <c r="B5" s="27" t="s">
        <v>47</v>
      </c>
      <c r="C5" s="28"/>
      <c r="D5" s="28"/>
      <c r="E5" s="29"/>
      <c r="H5" t="s">
        <v>48</v>
      </c>
      <c r="I5" s="18" t="s">
        <v>47</v>
      </c>
      <c r="J5" s="18"/>
      <c r="K5" s="18"/>
      <c r="L5" s="18"/>
    </row>
    <row r="6" spans="1:12" x14ac:dyDescent="0.25">
      <c r="A6" s="21" t="s">
        <v>49</v>
      </c>
      <c r="B6" s="30" t="s">
        <v>50</v>
      </c>
      <c r="C6" s="31"/>
      <c r="D6" s="31"/>
      <c r="E6" s="32"/>
      <c r="H6" s="22" t="s">
        <v>51</v>
      </c>
      <c r="I6" s="23" t="s">
        <v>50</v>
      </c>
      <c r="J6" s="23"/>
      <c r="K6" s="23"/>
      <c r="L6" s="23"/>
    </row>
    <row r="7" spans="1:12" x14ac:dyDescent="0.25">
      <c r="A7" s="24"/>
      <c r="B7" s="33"/>
      <c r="C7" s="34"/>
      <c r="D7" s="34"/>
      <c r="E7" s="35"/>
      <c r="H7" s="22"/>
      <c r="I7" s="23"/>
      <c r="J7" s="23"/>
      <c r="K7" s="23"/>
      <c r="L7" s="23"/>
    </row>
    <row r="8" spans="1:12" x14ac:dyDescent="0.25">
      <c r="A8" s="25"/>
      <c r="B8" s="36"/>
      <c r="C8" s="37"/>
      <c r="D8" s="37"/>
      <c r="E8" s="38"/>
      <c r="H8" s="22"/>
      <c r="I8" s="23"/>
      <c r="J8" s="23"/>
      <c r="K8" s="23"/>
      <c r="L8" s="23"/>
    </row>
    <row r="9" spans="1:12" x14ac:dyDescent="0.25">
      <c r="A9" s="10"/>
      <c r="B9" s="10"/>
      <c r="C9" s="10"/>
      <c r="D9" s="10"/>
      <c r="E9" s="10"/>
    </row>
    <row r="11" spans="1:12" x14ac:dyDescent="0.25">
      <c r="B11" s="1" t="s">
        <v>7</v>
      </c>
    </row>
    <row r="12" spans="1:12" x14ac:dyDescent="0.25">
      <c r="B12" s="2" t="s">
        <v>3</v>
      </c>
      <c r="C12" s="3">
        <v>0</v>
      </c>
      <c r="D12" s="4"/>
    </row>
    <row r="13" spans="1:12" ht="18" x14ac:dyDescent="0.35">
      <c r="B13" s="2" t="s">
        <v>12</v>
      </c>
      <c r="C13" s="3">
        <v>1000</v>
      </c>
      <c r="D13" s="4" t="s">
        <v>0</v>
      </c>
    </row>
    <row r="14" spans="1:12" ht="18" x14ac:dyDescent="0.35">
      <c r="B14" s="2" t="s">
        <v>13</v>
      </c>
      <c r="C14" s="3">
        <v>50</v>
      </c>
      <c r="D14" s="4" t="s">
        <v>1</v>
      </c>
    </row>
    <row r="15" spans="1:12" ht="18" x14ac:dyDescent="0.35">
      <c r="B15" s="2" t="s">
        <v>17</v>
      </c>
      <c r="C15" s="3">
        <v>32</v>
      </c>
      <c r="D15" s="4" t="s">
        <v>2</v>
      </c>
    </row>
    <row r="16" spans="1:12" ht="18" x14ac:dyDescent="0.35">
      <c r="B16" s="2" t="s">
        <v>53</v>
      </c>
      <c r="C16" s="3">
        <v>0.02</v>
      </c>
      <c r="D16" s="4"/>
    </row>
    <row r="17" spans="2:13" ht="18" x14ac:dyDescent="0.35">
      <c r="B17" s="2" t="s">
        <v>54</v>
      </c>
      <c r="C17" s="3">
        <v>0.85</v>
      </c>
      <c r="D17" s="4"/>
    </row>
    <row r="18" spans="2:13" ht="18" x14ac:dyDescent="0.35">
      <c r="B18" s="2" t="s">
        <v>55</v>
      </c>
      <c r="C18" s="3">
        <v>0.8</v>
      </c>
      <c r="D18" s="4"/>
    </row>
    <row r="19" spans="2:13" x14ac:dyDescent="0.25">
      <c r="B19" s="26" t="s">
        <v>56</v>
      </c>
      <c r="C19" s="3">
        <v>2.5</v>
      </c>
      <c r="D19" s="4"/>
    </row>
    <row r="20" spans="2:13" x14ac:dyDescent="0.25">
      <c r="B20" s="26" t="s">
        <v>57</v>
      </c>
      <c r="C20" s="3">
        <v>0.56999999999999995</v>
      </c>
      <c r="D20" s="4"/>
    </row>
    <row r="21" spans="2:13" x14ac:dyDescent="0.25">
      <c r="B21" s="26" t="s">
        <v>58</v>
      </c>
      <c r="C21" s="3">
        <v>1.05</v>
      </c>
      <c r="D21" s="4"/>
    </row>
    <row r="23" spans="2:13" x14ac:dyDescent="0.25">
      <c r="B23" s="1" t="s">
        <v>8</v>
      </c>
    </row>
    <row r="24" spans="2:13" x14ac:dyDescent="0.25">
      <c r="B24" s="2" t="s">
        <v>9</v>
      </c>
      <c r="C24" s="3">
        <v>1000</v>
      </c>
      <c r="D24" s="4" t="s">
        <v>0</v>
      </c>
    </row>
    <row r="25" spans="2:13" x14ac:dyDescent="0.25">
      <c r="B25" s="2" t="s">
        <v>10</v>
      </c>
      <c r="C25" s="3">
        <v>50</v>
      </c>
      <c r="D25" s="4" t="s">
        <v>1</v>
      </c>
    </row>
    <row r="28" spans="2:13" x14ac:dyDescent="0.25">
      <c r="B28" s="1" t="s">
        <v>35</v>
      </c>
    </row>
    <row r="29" spans="2:13" x14ac:dyDescent="0.25">
      <c r="B29" s="11" t="str" cm="1">
        <f t="array" ref="B29:M30">[1]!ESP_motor_nameplate(Unom,Pnom,Fnom,ID,eff_nom,cos_nom,slip_nom)</f>
        <v>ПЭД 32-117-1000</v>
      </c>
      <c r="C29" s="11" t="str">
        <v>ПЭД 32-117-1000</v>
      </c>
      <c r="D29" s="11" t="str">
        <v>Generic</v>
      </c>
      <c r="E29" s="11" t="str">
        <v>32</v>
      </c>
      <c r="F29" s="11" t="str">
        <v>1000</v>
      </c>
      <c r="G29" s="11" t="str">
        <v>27,169424432453</v>
      </c>
      <c r="H29" s="11" t="str">
        <v>0,02</v>
      </c>
      <c r="I29" s="11" t="str">
        <v>0,8</v>
      </c>
      <c r="J29" s="11" t="str">
        <v>50</v>
      </c>
      <c r="K29" s="11" t="str">
        <v>103,937922019197</v>
      </c>
      <c r="L29" s="11" t="str">
        <v>10</v>
      </c>
      <c r="M29" s="11" t="str">
        <v>117</v>
      </c>
    </row>
    <row r="30" spans="2:13" x14ac:dyDescent="0.25">
      <c r="B30" s="11" t="str">
        <v>name</v>
      </c>
      <c r="C30" s="11" t="str">
        <v>name</v>
      </c>
      <c r="D30" s="11" t="str">
        <v>manufacturer_name</v>
      </c>
      <c r="E30" s="11" t="str">
        <v>Pnom_kW</v>
      </c>
      <c r="F30" s="11" t="str">
        <v>Unom_lin_V</v>
      </c>
      <c r="G30" s="11" t="str">
        <v>Inom_lin_A</v>
      </c>
      <c r="H30" s="11" t="str">
        <v>Snom_d</v>
      </c>
      <c r="I30" s="11" t="str">
        <v>CosPhinom_d</v>
      </c>
      <c r="J30" s="11" t="str">
        <v>Fnom_Hz</v>
      </c>
      <c r="K30" s="11" t="str">
        <v>Mnom_Nm</v>
      </c>
      <c r="L30" s="11" t="str">
        <v>length_m</v>
      </c>
      <c r="M30" s="11" t="str">
        <v>d_od_mm</v>
      </c>
    </row>
    <row r="33" spans="2:8" x14ac:dyDescent="0.25">
      <c r="B33" s="1" t="s">
        <v>14</v>
      </c>
    </row>
    <row r="34" spans="2:8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</row>
    <row r="35" spans="2:8" x14ac:dyDescent="0.25">
      <c r="B35" s="6">
        <v>1</v>
      </c>
      <c r="C35" s="12">
        <f t="array" ref="C35:H35">[1]!ESP_motor_calc_mom(B35,F,U,Unom,Pnom,Fnom,ID,eff_nom,cos_nom,slip_nom,117,lambda,alpha,xi)</f>
        <v>0.26140049661022524</v>
      </c>
      <c r="D35" s="12">
        <v>0.8</v>
      </c>
      <c r="E35" s="13">
        <v>0.85</v>
      </c>
      <c r="F35" s="14">
        <v>0.02</v>
      </c>
      <c r="G35" s="12">
        <v>0.99999999999999989</v>
      </c>
      <c r="H35" s="11">
        <v>0.30787608005179939</v>
      </c>
    </row>
    <row r="36" spans="2:8" x14ac:dyDescent="0.25">
      <c r="B36" s="6">
        <f t="shared" ref="B36:B55" si="0">$K$29*0.07+B35</f>
        <v>8.2756545413437905</v>
      </c>
      <c r="C36" s="12">
        <f t="array" ref="C36:H36">[1]!ESP_motor_calc_mom(B36,F,U,Unom,Pnom,Fnom,ID,eff_nom,cos_nom,slip_nom,117,lambda,alpha,xi)</f>
        <v>2.1632602068819327</v>
      </c>
      <c r="D36" s="12">
        <v>0.8</v>
      </c>
      <c r="E36" s="13">
        <v>0.85</v>
      </c>
      <c r="F36" s="14">
        <v>0.02</v>
      </c>
      <c r="G36" s="12">
        <v>8.2756545413437905</v>
      </c>
      <c r="H36" s="11">
        <v>2.5478760800517981</v>
      </c>
    </row>
    <row r="37" spans="2:8" x14ac:dyDescent="0.25">
      <c r="B37" s="6">
        <f t="shared" si="0"/>
        <v>15.551309082687581</v>
      </c>
      <c r="C37" s="12">
        <f t="array" ref="C37:H37">[1]!ESP_motor_calc_mom(B37,F,U,Unom,Pnom,Fnom,ID,eff_nom,cos_nom,slip_nom,117,lambda,alpha,xi)</f>
        <v>4.0651199171536403</v>
      </c>
      <c r="D37" s="12">
        <v>0.8</v>
      </c>
      <c r="E37" s="13">
        <v>0.85</v>
      </c>
      <c r="F37" s="14">
        <v>0.02</v>
      </c>
      <c r="G37" s="12">
        <v>15.551309082687581</v>
      </c>
      <c r="H37" s="11">
        <v>4.787876080051797</v>
      </c>
    </row>
    <row r="38" spans="2:8" x14ac:dyDescent="0.25">
      <c r="B38" s="6">
        <f t="shared" si="0"/>
        <v>22.826963624031372</v>
      </c>
      <c r="C38" s="12">
        <f t="array" ref="C38:H38">[1]!ESP_motor_calc_mom(B38,F,U,Unom,Pnom,Fnom,ID,eff_nom,cos_nom,slip_nom,117,lambda,alpha,xi)</f>
        <v>5.9669796274253484</v>
      </c>
      <c r="D38" s="12">
        <v>0.8</v>
      </c>
      <c r="E38" s="13">
        <v>0.85</v>
      </c>
      <c r="F38" s="14">
        <v>0.02</v>
      </c>
      <c r="G38" s="12">
        <v>22.826963624031372</v>
      </c>
      <c r="H38" s="11">
        <v>7.0278760800517963</v>
      </c>
    </row>
    <row r="39" spans="2:8" x14ac:dyDescent="0.25">
      <c r="B39" s="6">
        <f t="shared" si="0"/>
        <v>30.102618165375162</v>
      </c>
      <c r="C39" s="12">
        <f t="array" ref="C39:H39">[1]!ESP_motor_calc_mom(B39,F,U,Unom,Pnom,Fnom,ID,eff_nom,cos_nom,slip_nom,117,lambda,alpha,xi)</f>
        <v>7.8688393376970565</v>
      </c>
      <c r="D39" s="12">
        <v>0.8</v>
      </c>
      <c r="E39" s="13">
        <v>0.85</v>
      </c>
      <c r="F39" s="14">
        <v>0.02</v>
      </c>
      <c r="G39" s="12">
        <v>30.102618165375166</v>
      </c>
      <c r="H39" s="11">
        <v>9.2678760800517956</v>
      </c>
    </row>
    <row r="40" spans="2:8" x14ac:dyDescent="0.25">
      <c r="B40" s="6">
        <f t="shared" si="0"/>
        <v>37.378272706718953</v>
      </c>
      <c r="C40" s="12">
        <f t="array" ref="C40:H40">[1]!ESP_motor_calc_mom(B40,F,U,Unom,Pnom,Fnom,ID,eff_nom,cos_nom,slip_nom,117,lambda,alpha,xi)</f>
        <v>9.7706990479687637</v>
      </c>
      <c r="D40" s="12">
        <v>0.8</v>
      </c>
      <c r="E40" s="13">
        <v>0.85</v>
      </c>
      <c r="F40" s="14">
        <v>0.02</v>
      </c>
      <c r="G40" s="12">
        <v>37.378272706718953</v>
      </c>
      <c r="H40" s="11">
        <v>11.507876080051794</v>
      </c>
    </row>
    <row r="41" spans="2:8" x14ac:dyDescent="0.25">
      <c r="B41" s="6">
        <f t="shared" si="0"/>
        <v>44.653927248062743</v>
      </c>
      <c r="C41" s="12">
        <f t="array" ref="C41:H41">[1]!ESP_motor_calc_mom(B41,F,U,Unom,Pnom,Fnom,ID,eff_nom,cos_nom,slip_nom,117,lambda,alpha,xi)</f>
        <v>11.672558758240472</v>
      </c>
      <c r="D41" s="12">
        <v>0.8</v>
      </c>
      <c r="E41" s="13">
        <v>0.85</v>
      </c>
      <c r="F41" s="14">
        <v>0.02</v>
      </c>
      <c r="G41" s="12">
        <v>44.653927248062743</v>
      </c>
      <c r="H41" s="11">
        <v>13.747876080051793</v>
      </c>
    </row>
    <row r="42" spans="2:8" x14ac:dyDescent="0.25">
      <c r="B42" s="6">
        <f t="shared" si="0"/>
        <v>51.929581789406534</v>
      </c>
      <c r="C42" s="12">
        <f t="array" ref="C42:H42">[1]!ESP_motor_calc_mom(B42,F,U,Unom,Pnom,Fnom,ID,eff_nom,cos_nom,slip_nom,117,lambda,alpha,xi)</f>
        <v>13.574418468512178</v>
      </c>
      <c r="D42" s="12">
        <v>0.8</v>
      </c>
      <c r="E42" s="13">
        <v>0.85</v>
      </c>
      <c r="F42" s="14">
        <v>0.02</v>
      </c>
      <c r="G42" s="12">
        <v>51.929581789406534</v>
      </c>
      <c r="H42" s="11">
        <v>15.987876080051791</v>
      </c>
    </row>
    <row r="43" spans="2:8" x14ac:dyDescent="0.25">
      <c r="B43" s="6">
        <f t="shared" si="0"/>
        <v>59.205236330750324</v>
      </c>
      <c r="C43" s="12">
        <f t="array" ref="C43:H43">[1]!ESP_motor_calc_mom(B43,F,U,Unom,Pnom,Fnom,ID,eff_nom,cos_nom,slip_nom,117,lambda,alpha,xi)</f>
        <v>15.476278178783884</v>
      </c>
      <c r="D43" s="12">
        <v>0.8</v>
      </c>
      <c r="E43" s="13">
        <v>0.85</v>
      </c>
      <c r="F43" s="14">
        <v>0.02</v>
      </c>
      <c r="G43" s="12">
        <v>59.205236330750324</v>
      </c>
      <c r="H43" s="11">
        <v>18.227876080051789</v>
      </c>
    </row>
    <row r="44" spans="2:8" x14ac:dyDescent="0.25">
      <c r="B44" s="6">
        <f t="shared" si="0"/>
        <v>66.480890872094108</v>
      </c>
      <c r="C44" s="12">
        <f t="array" ref="C44:H44">[1]!ESP_motor_calc_mom(B44,F,U,Unom,Pnom,Fnom,ID,eff_nom,cos_nom,slip_nom,117,lambda,alpha,xi)</f>
        <v>17.378137889055591</v>
      </c>
      <c r="D44" s="12">
        <v>0.8</v>
      </c>
      <c r="E44" s="13">
        <v>0.85</v>
      </c>
      <c r="F44" s="14">
        <v>0.02</v>
      </c>
      <c r="G44" s="12">
        <v>66.480890872094108</v>
      </c>
      <c r="H44" s="11">
        <v>20.467876080051788</v>
      </c>
    </row>
    <row r="45" spans="2:8" x14ac:dyDescent="0.25">
      <c r="B45" s="6">
        <f t="shared" si="0"/>
        <v>73.756545413437891</v>
      </c>
      <c r="C45" s="12">
        <f t="array" ref="C45:H45">[1]!ESP_motor_calc_mom(B45,F,U,Unom,Pnom,Fnom,ID,eff_nom,cos_nom,slip_nom,117,lambda,alpha,xi)</f>
        <v>19.279997599327295</v>
      </c>
      <c r="D45" s="12">
        <v>0.8</v>
      </c>
      <c r="E45" s="13">
        <v>0.85</v>
      </c>
      <c r="F45" s="14">
        <v>0.02</v>
      </c>
      <c r="G45" s="12">
        <v>73.756545413437891</v>
      </c>
      <c r="H45" s="11">
        <v>22.707876080051783</v>
      </c>
    </row>
    <row r="46" spans="2:8" x14ac:dyDescent="0.25">
      <c r="B46" s="6">
        <f t="shared" si="0"/>
        <v>81.032199954781674</v>
      </c>
      <c r="C46" s="12">
        <f t="array" ref="C46:H46">[1]!ESP_motor_calc_mom(B46,F,U,Unom,Pnom,Fnom,ID,eff_nom,cos_nom,slip_nom,117,lambda,alpha,xi)</f>
        <v>21.181857309599003</v>
      </c>
      <c r="D46" s="12">
        <v>0.8</v>
      </c>
      <c r="E46" s="13">
        <v>0.85</v>
      </c>
      <c r="F46" s="14">
        <v>0.02</v>
      </c>
      <c r="G46" s="12">
        <v>81.032199954781674</v>
      </c>
      <c r="H46" s="11">
        <v>24.947876080051781</v>
      </c>
    </row>
    <row r="47" spans="2:8" x14ac:dyDescent="0.25">
      <c r="B47" s="6">
        <f t="shared" si="0"/>
        <v>88.307854496125458</v>
      </c>
      <c r="C47" s="12">
        <f t="array" ref="C47:H47">[1]!ESP_motor_calc_mom(B47,F,U,Unom,Pnom,Fnom,ID,eff_nom,cos_nom,slip_nom,117,lambda,alpha,xi)</f>
        <v>23.083717019870708</v>
      </c>
      <c r="D47" s="12">
        <v>0.8</v>
      </c>
      <c r="E47" s="13">
        <v>0.85</v>
      </c>
      <c r="F47" s="14">
        <v>0.02</v>
      </c>
      <c r="G47" s="12">
        <v>88.307854496125458</v>
      </c>
      <c r="H47" s="11">
        <v>27.187876080051776</v>
      </c>
    </row>
    <row r="48" spans="2:8" x14ac:dyDescent="0.25">
      <c r="B48" s="6">
        <f t="shared" si="0"/>
        <v>95.583509037469241</v>
      </c>
      <c r="C48" s="12">
        <f t="array" ref="C48:H48">[1]!ESP_motor_calc_mom(B48,F,U,Unom,Pnom,Fnom,ID,eff_nom,cos_nom,slip_nom,117,lambda,alpha,xi)</f>
        <v>24.985576730142412</v>
      </c>
      <c r="D48" s="12">
        <v>0.8</v>
      </c>
      <c r="E48" s="13">
        <v>0.85</v>
      </c>
      <c r="F48" s="14">
        <v>0.02</v>
      </c>
      <c r="G48" s="12">
        <v>95.583509037469241</v>
      </c>
      <c r="H48" s="11">
        <v>29.427876080051774</v>
      </c>
    </row>
    <row r="49" spans="2:8" x14ac:dyDescent="0.25">
      <c r="B49" s="6">
        <f t="shared" si="0"/>
        <v>102.85916357881302</v>
      </c>
      <c r="C49" s="12">
        <f t="array" ref="C49:H49">[1]!ESP_motor_calc_mom(B49,F,U,Unom,Pnom,Fnom,ID,eff_nom,cos_nom,slip_nom,117,lambda,alpha,xi)</f>
        <v>26.88743644041412</v>
      </c>
      <c r="D49" s="12">
        <v>0.8</v>
      </c>
      <c r="E49" s="13">
        <v>0.85</v>
      </c>
      <c r="F49" s="14">
        <v>0.02</v>
      </c>
      <c r="G49" s="12">
        <v>102.85916357881302</v>
      </c>
      <c r="H49" s="11">
        <v>31.667876080051769</v>
      </c>
    </row>
    <row r="50" spans="2:8" x14ac:dyDescent="0.25">
      <c r="B50" s="6">
        <f t="shared" si="0"/>
        <v>110.13481812015681</v>
      </c>
      <c r="C50" s="12">
        <f t="array" ref="C50:H50">[1]!ESP_motor_calc_mom(B50,F,U,Unom,Pnom,Fnom,ID,eff_nom,cos_nom,slip_nom,117,lambda,alpha,xi)</f>
        <v>28.789296150685821</v>
      </c>
      <c r="D50" s="12">
        <v>0.8</v>
      </c>
      <c r="E50" s="13">
        <v>0.85</v>
      </c>
      <c r="F50" s="14">
        <v>0.02</v>
      </c>
      <c r="G50" s="12">
        <v>110.13481812015679</v>
      </c>
      <c r="H50" s="11">
        <v>33.907876080051764</v>
      </c>
    </row>
    <row r="51" spans="2:8" x14ac:dyDescent="0.25">
      <c r="B51" s="6">
        <f t="shared" si="0"/>
        <v>117.41047266150059</v>
      </c>
      <c r="C51" s="12">
        <f t="array" ref="C51:H51">[1]!ESP_motor_calc_mom(B51,F,U,Unom,Pnom,Fnom,ID,eff_nom,cos_nom,slip_nom,117,lambda,alpha,xi)</f>
        <v>30.691155860957533</v>
      </c>
      <c r="D51" s="12">
        <v>0.8</v>
      </c>
      <c r="E51" s="13">
        <v>0.85</v>
      </c>
      <c r="F51" s="14">
        <v>0.02</v>
      </c>
      <c r="G51" s="12">
        <v>117.41047266150061</v>
      </c>
      <c r="H51" s="11">
        <v>36.147876080051766</v>
      </c>
    </row>
    <row r="52" spans="2:8" x14ac:dyDescent="0.25">
      <c r="B52" s="6">
        <f t="shared" si="0"/>
        <v>124.68612720284438</v>
      </c>
      <c r="C52" s="12">
        <f t="array" ref="C52:H52">[1]!ESP_motor_calc_mom(B52,F,U,Unom,Pnom,Fnom,ID,eff_nom,cos_nom,slip_nom,117,lambda,alpha,xi)</f>
        <v>32.593015571229238</v>
      </c>
      <c r="D52" s="12">
        <v>0.8</v>
      </c>
      <c r="E52" s="13">
        <v>0.85</v>
      </c>
      <c r="F52" s="14">
        <v>0.02</v>
      </c>
      <c r="G52" s="12">
        <v>124.68612720284438</v>
      </c>
      <c r="H52" s="11">
        <v>38.387876080051761</v>
      </c>
    </row>
    <row r="53" spans="2:8" x14ac:dyDescent="0.25">
      <c r="B53" s="6">
        <f t="shared" si="0"/>
        <v>131.96178174418816</v>
      </c>
      <c r="C53" s="12">
        <f t="array" ref="C53:H53">[1]!ESP_motor_calc_mom(B53,F,U,Unom,Pnom,Fnom,ID,eff_nom,cos_nom,slip_nom,117,lambda,alpha,xi)</f>
        <v>34.494875281500946</v>
      </c>
      <c r="D53" s="12">
        <v>0.8</v>
      </c>
      <c r="E53" s="13">
        <v>0.85</v>
      </c>
      <c r="F53" s="14">
        <v>0.02</v>
      </c>
      <c r="G53" s="12">
        <v>131.96178174418816</v>
      </c>
      <c r="H53" s="11">
        <v>40.627876080051756</v>
      </c>
    </row>
    <row r="54" spans="2:8" x14ac:dyDescent="0.25">
      <c r="B54" s="6">
        <f t="shared" si="0"/>
        <v>139.23743628553194</v>
      </c>
      <c r="C54" s="12">
        <f t="array" ref="C54:H54">[1]!ESP_motor_calc_mom(B54,F,U,Unom,Pnom,Fnom,ID,eff_nom,cos_nom,slip_nom,117,lambda,alpha,xi)</f>
        <v>36.396734991772647</v>
      </c>
      <c r="D54" s="12">
        <v>0.8</v>
      </c>
      <c r="E54" s="13">
        <v>0.85</v>
      </c>
      <c r="F54" s="14">
        <v>0.02</v>
      </c>
      <c r="G54" s="12">
        <v>139.23743628553194</v>
      </c>
      <c r="H54" s="11">
        <v>42.867876080051751</v>
      </c>
    </row>
    <row r="55" spans="2:8" x14ac:dyDescent="0.25">
      <c r="B55" s="6">
        <f t="shared" si="0"/>
        <v>146.51309082687573</v>
      </c>
      <c r="C55" s="12" cm="1">
        <f t="array" ref="C55:H56">[1]!ESP_motor_calc_mom(B55,F,U,Unom,Pnom,Fnom,ID,eff_nom,cos_nom,slip_nom,117,lambda,alpha,xi)</f>
        <v>38.298594702044355</v>
      </c>
      <c r="D55" s="12">
        <v>0.8</v>
      </c>
      <c r="E55" s="13">
        <v>0.85</v>
      </c>
      <c r="F55" s="15">
        <v>0.02</v>
      </c>
      <c r="G55" s="12">
        <v>146.51309082687573</v>
      </c>
      <c r="H55" s="11">
        <v>45.107876080051753</v>
      </c>
    </row>
    <row r="56" spans="2:8" x14ac:dyDescent="0.25">
      <c r="C56" s="11" t="str">
        <v>I_lin_A</v>
      </c>
      <c r="D56" s="11" t="str">
        <v>CosPhi_d</v>
      </c>
      <c r="E56" s="11" t="str">
        <v>eff_d</v>
      </c>
      <c r="F56" s="11" t="str">
        <v>slip</v>
      </c>
      <c r="G56" s="11" t="str">
        <v>M_Nm</v>
      </c>
      <c r="H56" s="11" t="str">
        <v>Pshaft_kW</v>
      </c>
    </row>
  </sheetData>
  <mergeCells count="4">
    <mergeCell ref="B3:E3"/>
    <mergeCell ref="B4:E4"/>
    <mergeCell ref="B5:E5"/>
    <mergeCell ref="B6:E8"/>
  </mergeCells>
  <conditionalFormatting sqref="E35:E5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39" t="s">
        <v>26</v>
      </c>
      <c r="AA9" s="39"/>
      <c r="AB9" s="39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8">
        <v>50</v>
      </c>
      <c r="S12" s="8">
        <v>8</v>
      </c>
      <c r="T12" s="8">
        <v>380</v>
      </c>
      <c r="U12" s="8">
        <v>17.100000000000001</v>
      </c>
      <c r="V12" s="8">
        <v>0.84499999999999997</v>
      </c>
      <c r="W12" s="8">
        <v>5.1999999999999998E-2</v>
      </c>
      <c r="X12" s="8">
        <v>0.86</v>
      </c>
      <c r="Y12" s="7">
        <f>R12*(1-W12)*2*3.1415</f>
        <v>297.81420000000003</v>
      </c>
      <c r="Z12" s="7">
        <f>T12*U12*3^0.5*X12/1000</f>
        <v>9.6791848869210053</v>
      </c>
      <c r="AA12" s="7">
        <f>Z12*V12</f>
        <v>8.17891122944825</v>
      </c>
      <c r="AB12" s="7">
        <f>AA12*1000/Y12</f>
        <v>27.46313382453976</v>
      </c>
    </row>
    <row r="13" spans="18:28" x14ac:dyDescent="0.25">
      <c r="R13" s="8">
        <v>50</v>
      </c>
      <c r="S13" s="8">
        <v>45</v>
      </c>
      <c r="T13" s="8">
        <v>1350</v>
      </c>
      <c r="U13" s="8">
        <v>27.3</v>
      </c>
      <c r="V13" s="8">
        <v>0.83</v>
      </c>
      <c r="W13" s="8">
        <v>5.1999999999999998E-2</v>
      </c>
      <c r="X13" s="8">
        <v>0.85</v>
      </c>
      <c r="Y13" s="7">
        <f>R13*(1-W13)*2*3.1415</f>
        <v>297.81420000000003</v>
      </c>
      <c r="Z13" s="7">
        <f>T13*U13*3^0.5*X13/1000</f>
        <v>54.259522636008327</v>
      </c>
      <c r="AA13" s="9">
        <f>Z13*V13</f>
        <v>45.035403787886906</v>
      </c>
      <c r="AB13" s="7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18</vt:i4>
      </vt:variant>
    </vt:vector>
  </HeadingPairs>
  <TitlesOfParts>
    <vt:vector size="20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lambda</vt:lpstr>
      <vt:lpstr>Pnom</vt:lpstr>
      <vt:lpstr>slip_nom</vt:lpstr>
      <vt:lpstr>U</vt:lpstr>
      <vt:lpstr>Unom</vt:lpstr>
      <vt:lpstr>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2019-06-11T10:40:46Z</dcterms:created>
  <dcterms:modified xsi:type="dcterms:W3CDTF">2020-06-09T18:59:50Z</dcterms:modified>
</cp:coreProperties>
</file>