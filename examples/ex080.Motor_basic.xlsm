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A0DC0A68-CB8C-4C71-A0A5-3EFC1CB35251}" xr6:coauthVersionLast="46" xr6:coauthVersionMax="46" xr10:uidLastSave="{00000000-0000-0000-0000-000000000000}"/>
  <bookViews>
    <workbookView xWindow="-9465" yWindow="-21720" windowWidth="38640" windowHeight="21240" xr2:uid="{D87573BE-CE25-4BB0-B737-F86120CA6188}"/>
  </bookViews>
  <sheets>
    <sheet name="exercise_motor" sheetId="1" r:id="rId1"/>
    <sheet name="some_data" sheetId="3" r:id="rId2"/>
  </sheets>
  <externalReferences>
    <externalReference r:id="rId3"/>
  </externalReferences>
  <definedNames>
    <definedName name="alpha">exercise_motor!$C$20</definedName>
    <definedName name="cos_nom">exercise_motor!$C$18</definedName>
    <definedName name="eff_nom">exercise_motor!$C$17</definedName>
    <definedName name="F">exercise_motor!$C$25</definedName>
    <definedName name="Fnom">exercise_motor!$C$14</definedName>
    <definedName name="ID">exercise_motor!$C$12</definedName>
    <definedName name="input_Course">exercise_motor!$I$3</definedName>
    <definedName name="input_Date">exercise_motor!$I$1</definedName>
    <definedName name="input_Group">exercise_motor!$I$4</definedName>
    <definedName name="input_Notes">exercise_motor!$I$6</definedName>
    <definedName name="input_Student_Name">exercise_motor!$I$5</definedName>
    <definedName name="input_Version">exercise_motor!$I$2</definedName>
    <definedName name="lambda">exercise_motor!$C$19</definedName>
    <definedName name="Pnom">exercise_motor!$C$15</definedName>
    <definedName name="slip_nom">exercise_motor!$C$16</definedName>
    <definedName name="U">exercise_motor!$C$24</definedName>
    <definedName name="Unom">exercise_motor!$C$13</definedName>
    <definedName name="xi">exercise_motor!$C$21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1" l="1" a="1"/>
  <c r="G17" i="1" a="1"/>
  <c r="P24" i="1" a="1"/>
  <c r="S24" i="1" a="1"/>
  <c r="G16" i="1" l="1"/>
  <c r="G17" i="1"/>
  <c r="S24" i="1"/>
  <c r="P24" i="1"/>
  <c r="AA35" i="1" a="1"/>
  <c r="T57" i="1" a="1"/>
  <c r="C35" i="1" a="1"/>
  <c r="R35" i="1" a="1"/>
  <c r="B29" i="1" a="1"/>
  <c r="T57" i="1" l="1"/>
  <c r="AA35" i="1"/>
  <c r="R35" i="1"/>
  <c r="B29" i="1"/>
  <c r="E35" i="1"/>
  <c r="F35" i="1"/>
  <c r="G35" i="1"/>
  <c r="H35" i="1"/>
  <c r="C35" i="1"/>
  <c r="D35" i="1"/>
  <c r="Z13" i="3"/>
  <c r="AA13" i="3" s="1"/>
  <c r="Y13" i="3"/>
  <c r="Y12" i="3"/>
  <c r="AA12" i="3"/>
  <c r="AB12" i="3" s="1"/>
  <c r="Z12" i="3"/>
  <c r="AA38" i="1" a="1"/>
  <c r="G22" i="1" a="1"/>
  <c r="G1" i="1"/>
  <c r="R38" i="1" a="1"/>
  <c r="AA38" i="1" l="1"/>
  <c r="W48" i="1"/>
  <c r="W50" i="1"/>
  <c r="W49" i="1"/>
  <c r="W47" i="1"/>
  <c r="G22" i="1"/>
  <c r="J28" i="1"/>
  <c r="J27" i="1"/>
  <c r="J26" i="1"/>
  <c r="J25" i="1"/>
  <c r="J24" i="1"/>
  <c r="J23" i="1"/>
  <c r="J22" i="1"/>
  <c r="R38" i="1"/>
  <c r="B36" i="1"/>
  <c r="AB13" i="3"/>
  <c r="C36" i="1" a="1"/>
  <c r="X49" i="1" l="1"/>
  <c r="G36" i="1"/>
  <c r="E36" i="1"/>
  <c r="F36" i="1"/>
  <c r="H36" i="1"/>
  <c r="C36" i="1"/>
  <c r="D36" i="1"/>
  <c r="B37" i="1"/>
  <c r="C37" i="1" a="1"/>
  <c r="E37" i="1" l="1"/>
  <c r="C37" i="1"/>
  <c r="H37" i="1"/>
  <c r="F37" i="1"/>
  <c r="G37" i="1"/>
  <c r="D37" i="1"/>
  <c r="B38" i="1"/>
  <c r="C38" i="1" a="1"/>
  <c r="F38" i="1" l="1"/>
  <c r="H38" i="1"/>
  <c r="G38" i="1"/>
  <c r="D38" i="1"/>
  <c r="E38" i="1"/>
  <c r="C38" i="1"/>
  <c r="B39" i="1"/>
  <c r="C39" i="1" a="1"/>
  <c r="F39" i="1" l="1"/>
  <c r="H39" i="1"/>
  <c r="E39" i="1"/>
  <c r="G39" i="1"/>
  <c r="D39" i="1"/>
  <c r="C39" i="1"/>
  <c r="B40" i="1"/>
  <c r="C40" i="1" a="1"/>
  <c r="H40" i="1" l="1"/>
  <c r="D40" i="1"/>
  <c r="C40" i="1"/>
  <c r="G40" i="1"/>
  <c r="E40" i="1"/>
  <c r="F40" i="1"/>
  <c r="B41" i="1"/>
  <c r="C41" i="1" a="1"/>
  <c r="C41" i="1" l="1"/>
  <c r="D41" i="1"/>
  <c r="F41" i="1"/>
  <c r="E41" i="1"/>
  <c r="G41" i="1"/>
  <c r="H41" i="1"/>
  <c r="B42" i="1"/>
  <c r="C42" i="1" a="1"/>
  <c r="G42" i="1" l="1"/>
  <c r="D42" i="1"/>
  <c r="E42" i="1"/>
  <c r="F42" i="1"/>
  <c r="H42" i="1"/>
  <c r="C42" i="1"/>
  <c r="B43" i="1"/>
  <c r="C43" i="1" a="1"/>
  <c r="F43" i="1" l="1"/>
  <c r="G43" i="1"/>
  <c r="H43" i="1"/>
  <c r="D43" i="1"/>
  <c r="C43" i="1"/>
  <c r="E43" i="1"/>
  <c r="B44" i="1"/>
  <c r="C44" i="1" a="1"/>
  <c r="D44" i="1" l="1"/>
  <c r="H44" i="1"/>
  <c r="F44" i="1"/>
  <c r="G44" i="1"/>
  <c r="C44" i="1"/>
  <c r="E44" i="1"/>
  <c r="B45" i="1"/>
  <c r="C45" i="1" a="1"/>
  <c r="D45" i="1" l="1"/>
  <c r="E45" i="1"/>
  <c r="C45" i="1"/>
  <c r="G45" i="1"/>
  <c r="H45" i="1"/>
  <c r="F45" i="1"/>
  <c r="B46" i="1"/>
  <c r="C46" i="1" a="1"/>
  <c r="G46" i="1" l="1"/>
  <c r="C46" i="1"/>
  <c r="E46" i="1"/>
  <c r="F46" i="1"/>
  <c r="D46" i="1"/>
  <c r="H46" i="1"/>
  <c r="B47" i="1"/>
  <c r="C47" i="1" a="1"/>
  <c r="F47" i="1" l="1"/>
  <c r="G47" i="1"/>
  <c r="E47" i="1"/>
  <c r="D47" i="1"/>
  <c r="H47" i="1"/>
  <c r="C47" i="1"/>
  <c r="B48" i="1"/>
  <c r="C48" i="1" a="1"/>
  <c r="G48" i="1" l="1"/>
  <c r="F48" i="1"/>
  <c r="C48" i="1"/>
  <c r="H48" i="1"/>
  <c r="D48" i="1"/>
  <c r="E48" i="1"/>
  <c r="B49" i="1"/>
  <c r="C49" i="1" a="1"/>
  <c r="F49" i="1" l="1"/>
  <c r="D49" i="1"/>
  <c r="G49" i="1"/>
  <c r="H49" i="1"/>
  <c r="C49" i="1"/>
  <c r="E49" i="1"/>
  <c r="B50" i="1"/>
  <c r="C50" i="1" a="1"/>
  <c r="H50" i="1" l="1"/>
  <c r="D50" i="1"/>
  <c r="G50" i="1"/>
  <c r="F50" i="1"/>
  <c r="E50" i="1"/>
  <c r="C50" i="1"/>
  <c r="B51" i="1"/>
  <c r="C51" i="1" a="1"/>
  <c r="E51" i="1" l="1"/>
  <c r="G51" i="1"/>
  <c r="D51" i="1"/>
  <c r="C51" i="1"/>
  <c r="F51" i="1"/>
  <c r="H51" i="1"/>
  <c r="B52" i="1"/>
  <c r="C52" i="1" a="1"/>
  <c r="C52" i="1" l="1"/>
  <c r="G52" i="1"/>
  <c r="E52" i="1"/>
  <c r="F52" i="1"/>
  <c r="H52" i="1"/>
  <c r="D52" i="1"/>
  <c r="B53" i="1"/>
  <c r="C53" i="1" a="1"/>
  <c r="C53" i="1" l="1"/>
  <c r="G53" i="1"/>
  <c r="D53" i="1"/>
  <c r="E53" i="1"/>
  <c r="F53" i="1"/>
  <c r="H53" i="1"/>
  <c r="B54" i="1"/>
  <c r="C54" i="1" a="1"/>
  <c r="D54" i="1" l="1"/>
  <c r="E54" i="1"/>
  <c r="G54" i="1"/>
  <c r="C54" i="1"/>
  <c r="F54" i="1"/>
  <c r="H54" i="1"/>
  <c r="B55" i="1"/>
  <c r="C55" i="1" a="1"/>
  <c r="D55" i="1" l="1"/>
  <c r="E55" i="1"/>
  <c r="F55" i="1"/>
  <c r="H55" i="1"/>
  <c r="C55" i="1"/>
  <c r="G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F7F0DCA0-7A4E-4F85-8CF0-75FF0E69406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<sst xmlns="http://schemas.openxmlformats.org/spreadsheetml/2006/main" count="75" uniqueCount="64">
  <si>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V</t>
  </si>
  <si>
    <t>Hz</t>
  </si>
  <si>
    <t>kW</t>
  </si>
  <si>
    <t>ID</t>
  </si>
  <si>
    <t>P</t>
  </si>
  <si>
    <t>I</t>
  </si>
  <si>
    <t>s</t>
  </si>
  <si>
    <t>Параметры ПЭД номинальные</t>
  </si>
  <si>
    <t>Параметры ПЭД рабочие</t>
  </si>
  <si>
    <t>U</t>
  </si>
  <si>
    <t>F</t>
  </si>
  <si>
    <t>M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</si>
  <si>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</si>
  <si>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</si>
  <si>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Характеристика ПЭД</t>
  </si>
  <si>
    <t>КПД</t>
  </si>
  <si>
    <r>
      <t xml:space="preserve">cos </t>
    </r>
    <r>
      <rPr>
        <sz val="11"/>
        <color theme="1"/>
        <rFont val="Calibri"/>
        <family val="2"/>
        <charset val="204"/>
      </rPr>
      <t>ϕ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</si>
  <si>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</si>
  <si>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Мощность</t>
  </si>
  <si>
    <t>Напряжение</t>
  </si>
  <si>
    <t>Ток</t>
  </si>
  <si>
    <t>Скольжение</t>
  </si>
  <si>
    <t>Коэф мощ</t>
  </si>
  <si>
    <t>кВт</t>
  </si>
  <si>
    <t>В</t>
  </si>
  <si>
    <t>А</t>
  </si>
  <si>
    <t xml:space="preserve">Расчет  </t>
  </si>
  <si>
    <t xml:space="preserve">М </t>
  </si>
  <si>
    <t>Нм</t>
  </si>
  <si>
    <t>P эл</t>
  </si>
  <si>
    <t>Р вал</t>
  </si>
  <si>
    <t>Частота</t>
  </si>
  <si>
    <t>Гц</t>
  </si>
  <si>
    <t>рад/сек</t>
  </si>
  <si>
    <t>Частота вр</t>
  </si>
  <si>
    <t>Номинальные параметры работы двигателя</t>
  </si>
  <si>
    <t>Упражнения по работе с макросами Unifloc VBA</t>
  </si>
  <si>
    <t>версия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</si>
  <si>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</si>
  <si>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</si>
  <si>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</si>
  <si>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</si>
  <si>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</si>
  <si>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</si>
  <si>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</si>
  <si>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</si>
  <si>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</si>
  <si>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</si>
  <si>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</si>
  <si>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</si>
  <si>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</si>
  <si>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</si>
  <si>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Модель погружного электрического двигателя для УЭЦН</t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</si>
  <si>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</si>
  <si>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</si>
  <si>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</si>
  <si>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</si>
  <si>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</si>
  <si>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</si>
  <si>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show_array</t>
  </si>
  <si>
    <t>show_log</t>
  </si>
  <si>
    <t>кабель</t>
  </si>
  <si>
    <t>мотор</t>
  </si>
  <si>
    <t>Номинальные показатели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</si>
</sst>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0"/>
    <numFmt numFmtId="167" formatCode="0.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1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164" fontId="0" fillId="2" borderId="0" xfId="0" applyNumberFormat="1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1" fillId="0" borderId="0" xfId="0" applyFont="1" applyAlignment="1">
      <alignment horizontal="left"/>
    </xf>
    <xf numFmtId="0" fontId="0" fillId="6" borderId="0" xfId="0" applyFill="1"/>
    <xf numFmtId="2" fontId="0" fillId="6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6" fillId="0" borderId="0" xfId="0" applyFont="1"/>
    <xf numFmtId="14" fontId="0" fillId="7" borderId="0" xfId="0" applyNumberForma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top"/>
    </xf>
    <xf numFmtId="0" fontId="5" fillId="2" borderId="2" xfId="0" applyFont="1" applyFill="1" applyBorder="1" applyAlignment="1">
      <alignment horizontal="left"/>
    </xf>
    <xf numFmtId="0" fontId="0" fillId="2" borderId="6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13" xfId="0" applyFill="1" applyBorder="1" applyAlignment="1">
      <alignment vertical="top"/>
    </xf>
    <xf numFmtId="0" fontId="5" fillId="2" borderId="0" xfId="0" applyFont="1" applyFill="1" applyAlignment="1">
      <alignment horizontal="center"/>
    </xf>
    <xf numFmtId="16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1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12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4" borderId="0" xfId="0" applyFill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0.16184126802289941</c:v>
                </c:pt>
                <c:pt idx="1">
                  <c:v>0.25199379401739608</c:v>
                </c:pt>
                <c:pt idx="2">
                  <c:v>0.33543148417095847</c:v>
                </c:pt>
                <c:pt idx="3">
                  <c:v>0.41092394934912591</c:v>
                </c:pt>
                <c:pt idx="4">
                  <c:v>0.47757823404830269</c:v>
                </c:pt>
                <c:pt idx="5">
                  <c:v>0.53565529983302407</c:v>
                </c:pt>
                <c:pt idx="6">
                  <c:v>0.58564187369588727</c:v>
                </c:pt>
                <c:pt idx="7">
                  <c:v>0.6284209124446285</c:v>
                </c:pt>
                <c:pt idx="8">
                  <c:v>0.66470979137900865</c:v>
                </c:pt>
                <c:pt idx="9">
                  <c:v>0.69556397578923468</c:v>
                </c:pt>
                <c:pt idx="10">
                  <c:v>0.72158745738179697</c:v>
                </c:pt>
                <c:pt idx="11">
                  <c:v>0.74370274991698593</c:v>
                </c:pt>
                <c:pt idx="12">
                  <c:v>0.76241976839726433</c:v>
                </c:pt>
                <c:pt idx="13">
                  <c:v>0.77825076369791946</c:v>
                </c:pt>
                <c:pt idx="14">
                  <c:v>0.7916646094608113</c:v>
                </c:pt>
                <c:pt idx="15">
                  <c:v>0.80303876756029802</c:v>
                </c:pt>
                <c:pt idx="16">
                  <c:v>0.81265460915008259</c:v>
                </c:pt>
                <c:pt idx="17">
                  <c:v>0.82075115319865632</c:v>
                </c:pt>
                <c:pt idx="18">
                  <c:v>0.82756139994404088</c:v>
                </c:pt>
                <c:pt idx="19">
                  <c:v>0.83323888540678992</c:v>
                </c:pt>
                <c:pt idx="20">
                  <c:v>0.83792563163567813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3A-4F6F-97E9-C4DFAA139467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7.9009151100421587E-2</c:v>
                </c:pt>
                <c:pt idx="1">
                  <c:v>0.39680450448931487</c:v>
                </c:pt>
                <c:pt idx="2">
                  <c:v>0.54100806870996587</c:v>
                </c:pt>
                <c:pt idx="3">
                  <c:v>0.62260628599025314</c:v>
                </c:pt>
                <c:pt idx="4">
                  <c:v>0.67430282496790339</c:v>
                </c:pt>
                <c:pt idx="5">
                  <c:v>0.70959631239172938</c:v>
                </c:pt>
                <c:pt idx="6">
                  <c:v>0.73484065781868113</c:v>
                </c:pt>
                <c:pt idx="7">
                  <c:v>0.75352890806803297</c:v>
                </c:pt>
                <c:pt idx="8">
                  <c:v>0.76761654876145846</c:v>
                </c:pt>
                <c:pt idx="9">
                  <c:v>0.77844240567715894</c:v>
                </c:pt>
                <c:pt idx="10">
                  <c:v>0.78676885284157183</c:v>
                </c:pt>
                <c:pt idx="11">
                  <c:v>0.79323270592116091</c:v>
                </c:pt>
                <c:pt idx="12">
                  <c:v>0.79820190153211013</c:v>
                </c:pt>
                <c:pt idx="13">
                  <c:v>0.80196730424638696</c:v>
                </c:pt>
                <c:pt idx="14">
                  <c:v>0.80475385238895825</c:v>
                </c:pt>
                <c:pt idx="15">
                  <c:v>0.80672699249148683</c:v>
                </c:pt>
                <c:pt idx="16">
                  <c:v>0.80800798750741365</c:v>
                </c:pt>
                <c:pt idx="17">
                  <c:v>0.80869405108662884</c:v>
                </c:pt>
                <c:pt idx="18">
                  <c:v>0.8088637473336957</c:v>
                </c:pt>
                <c:pt idx="19">
                  <c:v>0.80857563934816035</c:v>
                </c:pt>
                <c:pt idx="20">
                  <c:v>0.80787700189500344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3A-4F6F-97E9-C4DFAA139467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1.0746950051399046E-3</c:v>
                </c:pt>
                <c:pt idx="1">
                  <c:v>2.1252007336367892E-3</c:v>
                </c:pt>
                <c:pt idx="2">
                  <c:v>3.186073294980682E-3</c:v>
                </c:pt>
                <c:pt idx="3">
                  <c:v>4.2607683001205862E-3</c:v>
                </c:pt>
                <c:pt idx="4">
                  <c:v>5.3458301381075005E-3</c:v>
                </c:pt>
                <c:pt idx="5">
                  <c:v>6.4447144198904252E-3</c:v>
                </c:pt>
                <c:pt idx="6">
                  <c:v>7.5574211454693622E-3</c:v>
                </c:pt>
                <c:pt idx="7">
                  <c:v>8.6874059257933123E-3</c:v>
                </c:pt>
                <c:pt idx="8">
                  <c:v>9.8312131499132746E-3</c:v>
                </c:pt>
                <c:pt idx="9">
                  <c:v>1.0995754039727256E-2</c:v>
                </c:pt>
                <c:pt idx="10">
                  <c:v>1.2174117373337248E-2</c:v>
                </c:pt>
                <c:pt idx="11">
                  <c:v>1.3376669983590259E-2</c:v>
                </c:pt>
                <c:pt idx="12">
                  <c:v>1.4599956259537292E-2</c:v>
                </c:pt>
                <c:pt idx="13">
                  <c:v>1.5843976201178337E-2</c:v>
                </c:pt>
                <c:pt idx="14">
                  <c:v>1.7112185419462404E-2</c:v>
                </c:pt>
                <c:pt idx="15">
                  <c:v>1.8408039525338496E-2</c:v>
                </c:pt>
                <c:pt idx="16">
                  <c:v>1.9731538518806609E-2</c:v>
                </c:pt>
                <c:pt idx="17">
                  <c:v>2.1082682399866746E-2</c:v>
                </c:pt>
                <c:pt idx="18">
                  <c:v>2.2468382390416916E-2</c:v>
                </c:pt>
                <c:pt idx="19">
                  <c:v>2.3888638490457109E-2</c:v>
                </c:pt>
                <c:pt idx="20">
                  <c:v>2.5346906310936338E-2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3A-4F6F-97E9-C4DFAA13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exercise_motor!$B$35:$B$55</c:f>
              <c:numCache>
                <c:formatCode>0.0</c:formatCode>
                <c:ptCount val="21"/>
                <c:pt idx="0">
                  <c:v>1</c:v>
                </c:pt>
                <c:pt idx="1">
                  <c:v>8</c:v>
                </c:pt>
                <c:pt idx="2">
                  <c:v>15</c:v>
                </c:pt>
                <c:pt idx="3">
                  <c:v>22</c:v>
                </c:pt>
                <c:pt idx="4">
                  <c:v>29</c:v>
                </c:pt>
                <c:pt idx="5">
                  <c:v>36</c:v>
                </c:pt>
                <c:pt idx="6">
                  <c:v>43</c:v>
                </c:pt>
                <c:pt idx="7">
                  <c:v>50</c:v>
                </c:pt>
                <c:pt idx="8">
                  <c:v>57</c:v>
                </c:pt>
                <c:pt idx="9">
                  <c:v>64</c:v>
                </c:pt>
                <c:pt idx="10">
                  <c:v>71</c:v>
                </c:pt>
                <c:pt idx="11">
                  <c:v>78</c:v>
                </c:pt>
                <c:pt idx="12">
                  <c:v>85</c:v>
                </c:pt>
                <c:pt idx="13">
                  <c:v>92</c:v>
                </c:pt>
                <c:pt idx="14">
                  <c:v>99</c:v>
                </c:pt>
                <c:pt idx="15">
                  <c:v>106</c:v>
                </c:pt>
                <c:pt idx="16">
                  <c:v>113</c:v>
                </c:pt>
                <c:pt idx="17">
                  <c:v>120</c:v>
                </c:pt>
                <c:pt idx="18">
                  <c:v>127</c:v>
                </c:pt>
                <c:pt idx="19">
                  <c:v>134</c:v>
                </c:pt>
                <c:pt idx="20">
                  <c:v>141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13.353315185033745</c:v>
                </c:pt>
                <c:pt idx="1">
                  <c:v>13.652673678843806</c:v>
                </c:pt>
                <c:pt idx="2">
                  <c:v>14.086074568229323</c:v>
                </c:pt>
                <c:pt idx="3">
                  <c:v>14.645190470933651</c:v>
                </c:pt>
                <c:pt idx="4">
                  <c:v>15.316523340895431</c:v>
                </c:pt>
                <c:pt idx="5">
                  <c:v>16.089686995136244</c:v>
                </c:pt>
                <c:pt idx="6">
                  <c:v>16.952691617020363</c:v>
                </c:pt>
                <c:pt idx="7">
                  <c:v>17.897168172490179</c:v>
                </c:pt>
                <c:pt idx="8">
                  <c:v>18.910094051851896</c:v>
                </c:pt>
                <c:pt idx="9">
                  <c:v>19.988687283338788</c:v>
                </c:pt>
                <c:pt idx="10">
                  <c:v>21.118682464180377</c:v>
                </c:pt>
                <c:pt idx="11">
                  <c:v>22.303208674788415</c:v>
                </c:pt>
                <c:pt idx="12">
                  <c:v>23.533107907720311</c:v>
                </c:pt>
                <c:pt idx="13">
                  <c:v>24.803165760497134</c:v>
                </c:pt>
                <c:pt idx="14">
                  <c:v>26.112349677293256</c:v>
                </c:pt>
                <c:pt idx="15">
                  <c:v>27.46023069252719</c:v>
                </c:pt>
                <c:pt idx="16">
                  <c:v>28.843194278797842</c:v>
                </c:pt>
                <c:pt idx="17">
                  <c:v>30.257904730450793</c:v>
                </c:pt>
                <c:pt idx="18">
                  <c:v>31.708498060473506</c:v>
                </c:pt>
                <c:pt idx="19">
                  <c:v>33.192024277993944</c:v>
                </c:pt>
                <c:pt idx="20">
                  <c:v>34.70923007098088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A-4F68-A530-981AF05AE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Момент</a:t>
                </a:r>
                <a:r>
                  <a:rPr lang="ru-RU" baseline="0"/>
                  <a:t>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ПЭД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exercise_motor!$D$34</c:f>
              <c:strCache>
                <c:ptCount val="1"/>
                <c:pt idx="0">
                  <c:v>cos ϕ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exercise_motor!$D$35:$D$55</c:f>
              <c:numCache>
                <c:formatCode>0.00</c:formatCode>
                <c:ptCount val="21"/>
                <c:pt idx="0">
                  <c:v>0.16184126802289941</c:v>
                </c:pt>
                <c:pt idx="1">
                  <c:v>0.25199379401739608</c:v>
                </c:pt>
                <c:pt idx="2">
                  <c:v>0.33543148417095847</c:v>
                </c:pt>
                <c:pt idx="3">
                  <c:v>0.41092394934912591</c:v>
                </c:pt>
                <c:pt idx="4">
                  <c:v>0.47757823404830269</c:v>
                </c:pt>
                <c:pt idx="5">
                  <c:v>0.53565529983302407</c:v>
                </c:pt>
                <c:pt idx="6">
                  <c:v>0.58564187369588727</c:v>
                </c:pt>
                <c:pt idx="7">
                  <c:v>0.6284209124446285</c:v>
                </c:pt>
                <c:pt idx="8">
                  <c:v>0.66470979137900865</c:v>
                </c:pt>
                <c:pt idx="9">
                  <c:v>0.69556397578923468</c:v>
                </c:pt>
                <c:pt idx="10">
                  <c:v>0.72158745738179697</c:v>
                </c:pt>
                <c:pt idx="11">
                  <c:v>0.74370274991698593</c:v>
                </c:pt>
                <c:pt idx="12">
                  <c:v>0.76241976839726433</c:v>
                </c:pt>
                <c:pt idx="13">
                  <c:v>0.77825076369791946</c:v>
                </c:pt>
                <c:pt idx="14">
                  <c:v>0.7916646094608113</c:v>
                </c:pt>
                <c:pt idx="15">
                  <c:v>0.80303876756029802</c:v>
                </c:pt>
                <c:pt idx="16">
                  <c:v>0.81265460915008259</c:v>
                </c:pt>
                <c:pt idx="17">
                  <c:v>0.82075115319865632</c:v>
                </c:pt>
                <c:pt idx="18">
                  <c:v>0.82756139994404088</c:v>
                </c:pt>
                <c:pt idx="19">
                  <c:v>0.83323888540678992</c:v>
                </c:pt>
                <c:pt idx="20">
                  <c:v>0.83792563163567813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ED-4A29-9853-0C430D0E9E8D}"/>
            </c:ext>
          </c:extLst>
        </c:ser>
        <c:ser>
          <c:idx val="2"/>
          <c:order val="2"/>
          <c:tx>
            <c:strRef>
              <c:f>exercise_motor!$E$34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exercise_motor!$E$35:$E$55</c:f>
              <c:numCache>
                <c:formatCode>0.0000</c:formatCode>
                <c:ptCount val="21"/>
                <c:pt idx="0">
                  <c:v>7.9009151100421587E-2</c:v>
                </c:pt>
                <c:pt idx="1">
                  <c:v>0.39680450448931487</c:v>
                </c:pt>
                <c:pt idx="2">
                  <c:v>0.54100806870996587</c:v>
                </c:pt>
                <c:pt idx="3">
                  <c:v>0.62260628599025314</c:v>
                </c:pt>
                <c:pt idx="4">
                  <c:v>0.67430282496790339</c:v>
                </c:pt>
                <c:pt idx="5">
                  <c:v>0.70959631239172938</c:v>
                </c:pt>
                <c:pt idx="6">
                  <c:v>0.73484065781868113</c:v>
                </c:pt>
                <c:pt idx="7">
                  <c:v>0.75352890806803297</c:v>
                </c:pt>
                <c:pt idx="8">
                  <c:v>0.76761654876145846</c:v>
                </c:pt>
                <c:pt idx="9">
                  <c:v>0.77844240567715894</c:v>
                </c:pt>
                <c:pt idx="10">
                  <c:v>0.78676885284157183</c:v>
                </c:pt>
                <c:pt idx="11">
                  <c:v>0.79323270592116091</c:v>
                </c:pt>
                <c:pt idx="12">
                  <c:v>0.79820190153211013</c:v>
                </c:pt>
                <c:pt idx="13">
                  <c:v>0.80196730424638696</c:v>
                </c:pt>
                <c:pt idx="14">
                  <c:v>0.80475385238895825</c:v>
                </c:pt>
                <c:pt idx="15">
                  <c:v>0.80672699249148683</c:v>
                </c:pt>
                <c:pt idx="16">
                  <c:v>0.80800798750741365</c:v>
                </c:pt>
                <c:pt idx="17">
                  <c:v>0.80869405108662884</c:v>
                </c:pt>
                <c:pt idx="18">
                  <c:v>0.8088637473336957</c:v>
                </c:pt>
                <c:pt idx="19">
                  <c:v>0.80857563934816035</c:v>
                </c:pt>
                <c:pt idx="20">
                  <c:v>0.80787700189500344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ED-4A29-9853-0C430D0E9E8D}"/>
            </c:ext>
          </c:extLst>
        </c:ser>
        <c:ser>
          <c:idx val="3"/>
          <c:order val="3"/>
          <c:tx>
            <c:strRef>
              <c:f>exercise_motor!$F$34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exercise_motor!$F$35:$F$55</c:f>
              <c:numCache>
                <c:formatCode>0.000000</c:formatCode>
                <c:ptCount val="21"/>
                <c:pt idx="0">
                  <c:v>1.0746950051399046E-3</c:v>
                </c:pt>
                <c:pt idx="1">
                  <c:v>2.1252007336367892E-3</c:v>
                </c:pt>
                <c:pt idx="2">
                  <c:v>3.186073294980682E-3</c:v>
                </c:pt>
                <c:pt idx="3">
                  <c:v>4.2607683001205862E-3</c:v>
                </c:pt>
                <c:pt idx="4">
                  <c:v>5.3458301381075005E-3</c:v>
                </c:pt>
                <c:pt idx="5">
                  <c:v>6.4447144198904252E-3</c:v>
                </c:pt>
                <c:pt idx="6">
                  <c:v>7.5574211454693622E-3</c:v>
                </c:pt>
                <c:pt idx="7">
                  <c:v>8.6874059257933123E-3</c:v>
                </c:pt>
                <c:pt idx="8">
                  <c:v>9.8312131499132746E-3</c:v>
                </c:pt>
                <c:pt idx="9">
                  <c:v>1.0995754039727256E-2</c:v>
                </c:pt>
                <c:pt idx="10">
                  <c:v>1.2174117373337248E-2</c:v>
                </c:pt>
                <c:pt idx="11">
                  <c:v>1.3376669983590259E-2</c:v>
                </c:pt>
                <c:pt idx="12">
                  <c:v>1.4599956259537292E-2</c:v>
                </c:pt>
                <c:pt idx="13">
                  <c:v>1.5843976201178337E-2</c:v>
                </c:pt>
                <c:pt idx="14">
                  <c:v>1.7112185419462404E-2</c:v>
                </c:pt>
                <c:pt idx="15">
                  <c:v>1.8408039525338496E-2</c:v>
                </c:pt>
                <c:pt idx="16">
                  <c:v>1.9731538518806609E-2</c:v>
                </c:pt>
                <c:pt idx="17">
                  <c:v>2.1082682399866746E-2</c:v>
                </c:pt>
                <c:pt idx="18">
                  <c:v>2.2468382390416916E-2</c:v>
                </c:pt>
                <c:pt idx="19">
                  <c:v>2.3888638490457109E-2</c:v>
                </c:pt>
                <c:pt idx="20">
                  <c:v>2.5346906310936338E-2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1030976"/>
        <c:axId val="1706892496"/>
      </c:scatterChart>
      <c:scatterChart>
        <c:scatterStyle val="smoothMarker"/>
        <c:varyColors val="0"/>
        <c:ser>
          <c:idx val="1"/>
          <c:order val="0"/>
          <c:tx>
            <c:strRef>
              <c:f>exercise_motor!$C$34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exercise_motor!$H$35:$H$55</c:f>
              <c:numCache>
                <c:formatCode>General</c:formatCode>
                <c:ptCount val="21"/>
                <c:pt idx="0">
                  <c:v>0.34513065050710551</c:v>
                </c:pt>
                <c:pt idx="1">
                  <c:v>2.7593825327842927</c:v>
                </c:pt>
                <c:pt idx="2">
                  <c:v>5.1668435462036859</c:v>
                </c:pt>
                <c:pt idx="3">
                  <c:v>7.573519375618007</c:v>
                </c:pt>
                <c:pt idx="4">
                  <c:v>9.9698233523309305</c:v>
                </c:pt>
                <c:pt idx="5">
                  <c:v>12.361526766537661</c:v>
                </c:pt>
                <c:pt idx="6">
                  <c:v>14.746593967851954</c:v>
                </c:pt>
                <c:pt idx="7">
                  <c:v>17.130207669701839</c:v>
                </c:pt>
                <c:pt idx="8">
                  <c:v>19.502839911072886</c:v>
                </c:pt>
                <c:pt idx="9">
                  <c:v>21.876387267773136</c:v>
                </c:pt>
                <c:pt idx="10">
                  <c:v>24.234313200567467</c:v>
                </c:pt>
                <c:pt idx="11">
                  <c:v>26.594700843436716</c:v>
                </c:pt>
                <c:pt idx="12">
                  <c:v>28.947692762171599</c:v>
                </c:pt>
                <c:pt idx="13">
                  <c:v>31.290398622094425</c:v>
                </c:pt>
                <c:pt idx="14">
                  <c:v>33.626216887890287</c:v>
                </c:pt>
                <c:pt idx="15">
                  <c:v>35.957959879920736</c:v>
                </c:pt>
                <c:pt idx="16">
                  <c:v>38.281837379592076</c:v>
                </c:pt>
                <c:pt idx="17">
                  <c:v>40.594048198585384</c:v>
                </c:pt>
                <c:pt idx="18">
                  <c:v>42.902147323268522</c:v>
                </c:pt>
                <c:pt idx="19">
                  <c:v>45.201378907887403</c:v>
                </c:pt>
                <c:pt idx="20">
                  <c:v>47.49232844407446</c:v>
                </c:pt>
              </c:numCache>
            </c:numRef>
          </c:xVal>
          <c:yVal>
            <c:numRef>
              <c:f>exercise_motor!$C$35:$C$55</c:f>
              <c:numCache>
                <c:formatCode>0.00</c:formatCode>
                <c:ptCount val="21"/>
                <c:pt idx="0">
                  <c:v>13.353315185033745</c:v>
                </c:pt>
                <c:pt idx="1">
                  <c:v>13.652673678843806</c:v>
                </c:pt>
                <c:pt idx="2">
                  <c:v>14.086074568229323</c:v>
                </c:pt>
                <c:pt idx="3">
                  <c:v>14.645190470933651</c:v>
                </c:pt>
                <c:pt idx="4">
                  <c:v>15.316523340895431</c:v>
                </c:pt>
                <c:pt idx="5">
                  <c:v>16.089686995136244</c:v>
                </c:pt>
                <c:pt idx="6">
                  <c:v>16.952691617020363</c:v>
                </c:pt>
                <c:pt idx="7">
                  <c:v>17.897168172490179</c:v>
                </c:pt>
                <c:pt idx="8">
                  <c:v>18.910094051851896</c:v>
                </c:pt>
                <c:pt idx="9">
                  <c:v>19.988687283338788</c:v>
                </c:pt>
                <c:pt idx="10">
                  <c:v>21.118682464180377</c:v>
                </c:pt>
                <c:pt idx="11">
                  <c:v>22.303208674788415</c:v>
                </c:pt>
                <c:pt idx="12">
                  <c:v>23.533107907720311</c:v>
                </c:pt>
                <c:pt idx="13">
                  <c:v>24.803165760497134</c:v>
                </c:pt>
                <c:pt idx="14">
                  <c:v>26.112349677293256</c:v>
                </c:pt>
                <c:pt idx="15">
                  <c:v>27.46023069252719</c:v>
                </c:pt>
                <c:pt idx="16">
                  <c:v>28.843194278797842</c:v>
                </c:pt>
                <c:pt idx="17">
                  <c:v>30.257904730450793</c:v>
                </c:pt>
                <c:pt idx="18">
                  <c:v>31.708498060473506</c:v>
                </c:pt>
                <c:pt idx="19">
                  <c:v>33.192024277993944</c:v>
                </c:pt>
                <c:pt idx="20">
                  <c:v>34.70923007098088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ED-4A29-9853-0C430D0E9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36000"/>
        <c:axId val="41948480"/>
      </c:scatterChart>
      <c:valAx>
        <c:axId val="143103097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Мощность на валу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892496"/>
        <c:crosses val="autoZero"/>
        <c:crossBetween val="midCat"/>
      </c:valAx>
      <c:valAx>
        <c:axId val="17068924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</a:t>
                </a:r>
                <a:r>
                  <a:rPr lang="en-US"/>
                  <a:t>cos </a:t>
                </a:r>
                <a:r>
                  <a:rPr lang="el-GR"/>
                  <a:t>ϕ</a:t>
                </a:r>
                <a:r>
                  <a:rPr lang="ru-RU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030976"/>
        <c:crosses val="autoZero"/>
        <c:crossBetween val="midCat"/>
      </c:valAx>
      <c:valAx>
        <c:axId val="41948480"/>
        <c:scaling>
          <c:orientation val="minMax"/>
          <c:max val="5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36000"/>
        <c:crosses val="max"/>
        <c:crossBetween val="midCat"/>
      </c:valAx>
      <c:valAx>
        <c:axId val="41936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433765</xdr:colOff>
      <xdr:row>38</xdr:row>
      <xdr:rowOff>123921</xdr:rowOff>
    </xdr:from>
    <xdr:to>
      <xdr:col>15</xdr:col>
      <xdr:colOff>343461</xdr:colOff>
      <xdr:row>61</xdr:row>
      <xdr:rowOff>10084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805FC47-A0DA-4E69-BCFB-460C6CAF8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532535</xdr:colOff>
      <xdr:row>0</xdr:row>
      <xdr:rowOff>9525</xdr:rowOff>
    </xdr:from>
    <xdr:to>
      <xdr:col>15</xdr:col>
      <xdr:colOff>446810</xdr:colOff>
      <xdr:row>13</xdr:row>
      <xdr:rowOff>114300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029C95F-909E-4492-8985-15DCBCC2DB07}"/>
            </a:ext>
          </a:extLst>
        </xdr:cNvPr>
        <xdr:cNvSpPr txBox="1"/>
      </xdr:nvSpPr>
      <xdr:spPr>
        <a:xfrm>
          <a:off x="4733060" y="9525"/>
          <a:ext cx="5600700" cy="2619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</a:t>
          </a:r>
          <a:r>
            <a:rPr lang="ru-RU" sz="1100" baseline="0"/>
            <a:t> показывает характеристики погружного  электрического двигателя, применяемого в УЭЦН.</a:t>
          </a:r>
        </a:p>
        <a:p>
          <a:endParaRPr lang="ru-RU" sz="1100" baseline="0"/>
        </a:p>
        <a:p>
          <a:pPr eaLnBrk="1" fontAlgn="auto" latinLnBrk="0" hangingPunct="1"/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</a:p>
        <a:p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Используйте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функции:</a:t>
          </a:r>
          <a:endParaRPr lang="ru-RU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ESP_motor_nameplate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ESP_motor_calc_mom</a:t>
          </a:r>
          <a:endParaRPr lang="ru-RU" sz="110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365940F2-664A-4738-81FF-62B5F738F497}"/>
            </a:ext>
          </a:extLst>
        </xdr:cNvPr>
        <xdr:cNvSpPr/>
      </xdr:nvSpPr>
      <xdr:spPr>
        <a:xfrm>
          <a:off x="32721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15</xdr:col>
      <xdr:colOff>504825</xdr:colOff>
      <xdr:row>0</xdr:row>
      <xdr:rowOff>28575</xdr:rowOff>
    </xdr:from>
    <xdr:to>
      <xdr:col>24</xdr:col>
      <xdr:colOff>481542</xdr:colOff>
      <xdr:row>13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39C93CDF-615C-4C6D-95BD-E6173E0DC642}"/>
            </a:ext>
          </a:extLst>
        </xdr:cNvPr>
        <xdr:cNvSpPr txBox="1"/>
      </xdr:nvSpPr>
      <xdr:spPr>
        <a:xfrm>
          <a:off x="10391775" y="28575"/>
          <a:ext cx="5463117" cy="26193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Почему ассинхронный двигатель называется ассинхронным?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Что такое проскальзывание?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Что такое загрузка, мощность на валу и момент на валу двигателя. Как они связаны между собой?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меняются КПД и коэффициент мощности ПЭД в зависимости от загрузки?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меняется скольжение ПЭД в зависимости от загрузки?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загрузка двигателя отличается от нагрузки двигателя?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Как характеристики асинхронного двигателя отличаются от вентильного?</a:t>
          </a:r>
        </a:p>
      </xdr:txBody>
    </xdr:sp>
    <xdr:clientData/>
  </xdr:twoCellAnchor>
  <xdr:twoCellAnchor>
    <xdr:from>
      <xdr:col>14</xdr:col>
      <xdr:colOff>575227</xdr:colOff>
      <xdr:row>26</xdr:row>
      <xdr:rowOff>174763</xdr:rowOff>
    </xdr:from>
    <xdr:to>
      <xdr:col>20</xdr:col>
      <xdr:colOff>9938</xdr:colOff>
      <xdr:row>30</xdr:row>
      <xdr:rowOff>184288</xdr:rowOff>
    </xdr:to>
    <xdr:sp macro="" textlink="">
      <xdr:nvSpPr>
        <xdr:cNvPr id="17" name="Выноска со стрелкой влево 3">
          <a:extLst>
            <a:ext uri="{FF2B5EF4-FFF2-40B4-BE49-F238E27FC236}">
              <a16:creationId xmlns:a16="http://schemas.microsoft.com/office/drawing/2014/main" id="{F5E17161-8420-4C48-A074-34B0DB3D7930}"/>
            </a:ext>
          </a:extLst>
        </xdr:cNvPr>
        <xdr:cNvSpPr/>
      </xdr:nvSpPr>
      <xdr:spPr>
        <a:xfrm>
          <a:off x="9810336" y="5376241"/>
          <a:ext cx="3112189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/>
            <a:t>1.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Определите номинальные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параметры ПЭД, включая номинальный ток, номинальный момент на валу.</a:t>
          </a:r>
          <a:endParaRPr lang="ru-RU" sz="1100">
            <a:effectLst/>
          </a:endParaRPr>
        </a:p>
      </xdr:txBody>
    </xdr:sp>
    <xdr:clientData/>
  </xdr:twoCellAnchor>
  <xdr:twoCellAnchor>
    <xdr:from>
      <xdr:col>8</xdr:col>
      <xdr:colOff>184337</xdr:colOff>
      <xdr:row>33</xdr:row>
      <xdr:rowOff>145676</xdr:rowOff>
    </xdr:from>
    <xdr:to>
      <xdr:col>13</xdr:col>
      <xdr:colOff>31936</xdr:colOff>
      <xdr:row>37</xdr:row>
      <xdr:rowOff>155201</xdr:rowOff>
    </xdr:to>
    <xdr:sp macro="" textlink="">
      <xdr:nvSpPr>
        <xdr:cNvPr id="18" name="Выноска со стрелкой влево 3">
          <a:extLst>
            <a:ext uri="{FF2B5EF4-FFF2-40B4-BE49-F238E27FC236}">
              <a16:creationId xmlns:a16="http://schemas.microsoft.com/office/drawing/2014/main" id="{4CE8DBC8-9523-49F5-BCAC-FD8FAB8A2F15}"/>
            </a:ext>
          </a:extLst>
        </xdr:cNvPr>
        <xdr:cNvSpPr/>
      </xdr:nvSpPr>
      <xdr:spPr>
        <a:xfrm>
          <a:off x="5507131" y="6633882"/>
          <a:ext cx="3074893" cy="771525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/>
            <a:t>1.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зависимость параметров ПЭД от мощности на валу (от загрузки ПЭД). Сравните с характеристиками ПЭД из каталога</a:t>
          </a:r>
          <a:endParaRPr lang="ru-RU" sz="1100">
            <a:effectLst/>
          </a:endParaRPr>
        </a:p>
        <a:p>
          <a:endParaRPr lang="ru-RU" sz="1100">
            <a:effectLst/>
          </a:endParaRPr>
        </a:p>
      </xdr:txBody>
    </xdr:sp>
    <xdr:clientData/>
  </xdr:twoCellAnchor>
  <xdr:twoCellAnchor>
    <xdr:from>
      <xdr:col>8</xdr:col>
      <xdr:colOff>425824</xdr:colOff>
      <xdr:row>61</xdr:row>
      <xdr:rowOff>22412</xdr:rowOff>
    </xdr:from>
    <xdr:to>
      <xdr:col>15</xdr:col>
      <xdr:colOff>335520</xdr:colOff>
      <xdr:row>83</xdr:row>
      <xdr:rowOff>99075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DE4EBFCE-9B82-4A97-96AA-F2A7EF9C4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1</xdr:row>
      <xdr:rowOff>57150</xdr:rowOff>
    </xdr:from>
    <xdr:to>
      <xdr:col>14</xdr:col>
      <xdr:colOff>0</xdr:colOff>
      <xdr:row>36</xdr:row>
      <xdr:rowOff>142875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1C6118D-62D1-4EC8-AE04-3CF1CC661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47650"/>
          <a:ext cx="8153400" cy="67532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10</xdr:col>
      <xdr:colOff>363255</xdr:colOff>
      <xdr:row>82</xdr:row>
      <xdr:rowOff>112059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2A9CDB5-D0C9-4C23-999C-0C002B90D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8" y="7620000"/>
          <a:ext cx="5809313" cy="8113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225239</xdr:colOff>
      <xdr:row>39</xdr:row>
      <xdr:rowOff>12887</xdr:rowOff>
    </xdr:from>
    <xdr:to>
      <xdr:col>19</xdr:col>
      <xdr:colOff>582707</xdr:colOff>
      <xdr:row>82</xdr:row>
      <xdr:rowOff>183414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489C38DD-01C4-48C6-BEA5-71D626084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415" y="7442387"/>
          <a:ext cx="5893174" cy="83620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87</xdr:row>
      <xdr:rowOff>0</xdr:rowOff>
    </xdr:from>
    <xdr:to>
      <xdr:col>9</xdr:col>
      <xdr:colOff>476766</xdr:colOff>
      <xdr:row>127</xdr:row>
      <xdr:rowOff>156882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90E3793-8E7C-4545-887D-42E9B248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9" y="16573500"/>
          <a:ext cx="5317706" cy="7776882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123265</xdr:colOff>
      <xdr:row>86</xdr:row>
      <xdr:rowOff>56029</xdr:rowOff>
    </xdr:from>
    <xdr:to>
      <xdr:col>19</xdr:col>
      <xdr:colOff>88229</xdr:colOff>
      <xdr:row>130</xdr:row>
      <xdr:rowOff>11206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BF9320-1264-4AD2-B5BD-93CFAFF8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74441" y="16439029"/>
          <a:ext cx="5500670" cy="83371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132</xdr:row>
      <xdr:rowOff>1</xdr:rowOff>
    </xdr:from>
    <xdr:to>
      <xdr:col>10</xdr:col>
      <xdr:colOff>256303</xdr:colOff>
      <xdr:row>176</xdr:row>
      <xdr:rowOff>156883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4DD19B8E-57BA-44E9-ABCB-AA4FCE1EC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5118" y="25146001"/>
          <a:ext cx="5702361" cy="8538882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347383</xdr:colOff>
      <xdr:row>131</xdr:row>
      <xdr:rowOff>112059</xdr:rowOff>
    </xdr:from>
    <xdr:to>
      <xdr:col>20</xdr:col>
      <xdr:colOff>58888</xdr:colOff>
      <xdr:row>180</xdr:row>
      <xdr:rowOff>156882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D1D0E71C-02DE-489C-9D88-03DEB069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98559" y="25067559"/>
          <a:ext cx="6087653" cy="93793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ESP_cable"/>
      <definedName name="encode_ESP_motor"/>
      <definedName name="encode_json"/>
      <definedName name="ESP_motor_calc_mom"/>
      <definedName name="ESP_motor_calc_slip"/>
      <definedName name="ESP_motor_namepl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406D6-01FB-43E6-A9BD-45327783DFF7}">
  <sheetPr codeName="Лист1"/>
  <dimension ref="A1:AB58"/>
  <sheetViews>
    <sheetView tabSelected="1" topLeftCell="A13" zoomScale="85" zoomScaleNormal="85" workbookViewId="0">
      <selection activeCell="M22" sqref="M22"/>
    </sheetView>
  </sheetViews>
  <sheetFormatPr defaultRowHeight="15" x14ac:dyDescent="0.25"/>
  <cols>
    <col min="2" max="2" width="8.28515625" customWidth="1"/>
    <col min="3" max="3" width="11.42578125" customWidth="1"/>
    <col min="4" max="4" width="12.42578125" customWidth="1"/>
    <col min="5" max="5" width="11.42578125" customWidth="1"/>
    <col min="7" max="7" width="12.5703125" customWidth="1"/>
    <col min="8" max="8" width="9.7109375" bestFit="1" customWidth="1"/>
    <col min="9" max="9" width="10.28515625" customWidth="1"/>
    <col min="10" max="10" width="11" bestFit="1" customWidth="1"/>
    <col min="18" max="18" width="12.28515625" customWidth="1"/>
    <col min="19" max="19" width="14.28515625" customWidth="1"/>
  </cols>
  <sheetData>
    <row r="1" spans="1:12" x14ac:dyDescent="0.25">
      <c r="A1" s="15" t="s">
        <v>36</v>
      </c>
      <c r="F1" t="s">
        <v>37</v>
      </c>
      <c r="G1" t="str">
        <f>[1]!unf_Version()</f>
        <v>7.28</v>
      </c>
      <c r="H1" t="s">
        <v>38</v>
      </c>
      <c r="I1" s="16">
        <v>44343</v>
      </c>
      <c r="J1" s="17"/>
      <c r="K1" s="17"/>
      <c r="L1" s="17"/>
    </row>
    <row r="2" spans="1:12" x14ac:dyDescent="0.25">
      <c r="A2" t="s">
        <v>52</v>
      </c>
      <c r="H2" t="s">
        <v>39</v>
      </c>
      <c r="I2" s="18">
        <v>7.28</v>
      </c>
      <c r="J2" s="17"/>
      <c r="K2" s="17"/>
      <c r="L2" s="17"/>
    </row>
    <row r="3" spans="1:12" x14ac:dyDescent="0.25">
      <c r="A3" s="19" t="s">
        <v>40</v>
      </c>
      <c r="B3" s="29" t="s">
        <v>41</v>
      </c>
      <c r="C3" s="30"/>
      <c r="D3" s="30"/>
      <c r="E3" s="31"/>
      <c r="H3" t="s">
        <v>42</v>
      </c>
      <c r="I3" s="17" t="s">
        <v>41</v>
      </c>
      <c r="J3" s="17"/>
      <c r="K3" s="17"/>
      <c r="L3" s="17"/>
    </row>
    <row r="4" spans="1:12" x14ac:dyDescent="0.25">
      <c r="A4" s="19" t="s">
        <v>43</v>
      </c>
      <c r="B4" s="29" t="s">
        <v>44</v>
      </c>
      <c r="C4" s="30"/>
      <c r="D4" s="30"/>
      <c r="E4" s="31"/>
      <c r="H4" t="s">
        <v>45</v>
      </c>
      <c r="I4" s="17" t="s">
        <v>44</v>
      </c>
      <c r="J4" s="17"/>
      <c r="K4" s="17"/>
      <c r="L4" s="17"/>
    </row>
    <row r="5" spans="1:12" x14ac:dyDescent="0.25">
      <c r="A5" s="19" t="s">
        <v>46</v>
      </c>
      <c r="B5" s="29" t="s">
        <v>47</v>
      </c>
      <c r="C5" s="30"/>
      <c r="D5" s="30"/>
      <c r="E5" s="31"/>
      <c r="H5" t="s">
        <v>48</v>
      </c>
      <c r="I5" s="17" t="s">
        <v>47</v>
      </c>
      <c r="J5" s="17"/>
      <c r="K5" s="17"/>
      <c r="L5" s="17"/>
    </row>
    <row r="6" spans="1:12" x14ac:dyDescent="0.25">
      <c r="A6" s="20" t="s">
        <v>49</v>
      </c>
      <c r="B6" s="32" t="s">
        <v>50</v>
      </c>
      <c r="C6" s="33"/>
      <c r="D6" s="33"/>
      <c r="E6" s="34"/>
      <c r="H6" s="21" t="s">
        <v>51</v>
      </c>
      <c r="I6" s="22" t="s">
        <v>50</v>
      </c>
      <c r="J6" s="22"/>
      <c r="K6" s="22"/>
      <c r="L6" s="22"/>
    </row>
    <row r="7" spans="1:12" x14ac:dyDescent="0.25">
      <c r="A7" s="23"/>
      <c r="B7" s="35"/>
      <c r="C7" s="36"/>
      <c r="D7" s="36"/>
      <c r="E7" s="37"/>
      <c r="H7" s="21"/>
      <c r="I7" s="22"/>
      <c r="J7" s="22"/>
      <c r="K7" s="22"/>
      <c r="L7" s="22"/>
    </row>
    <row r="8" spans="1:12" x14ac:dyDescent="0.25">
      <c r="A8" s="24"/>
      <c r="B8" s="38"/>
      <c r="C8" s="39"/>
      <c r="D8" s="39"/>
      <c r="E8" s="40"/>
      <c r="H8" s="21"/>
      <c r="I8" s="22"/>
      <c r="J8" s="22"/>
      <c r="K8" s="22"/>
      <c r="L8" s="22"/>
    </row>
    <row r="9" spans="1:12" x14ac:dyDescent="0.25">
      <c r="A9" s="10"/>
      <c r="B9" s="10"/>
      <c r="C9" s="10"/>
      <c r="D9" s="10"/>
      <c r="E9" s="10"/>
    </row>
    <row r="11" spans="1:12" x14ac:dyDescent="0.25">
      <c r="B11" s="1" t="s">
        <v>7</v>
      </c>
    </row>
    <row r="12" spans="1:12" x14ac:dyDescent="0.25">
      <c r="B12" s="2" t="s">
        <v>3</v>
      </c>
      <c r="C12" s="3">
        <v>2</v>
      </c>
      <c r="D12" s="4"/>
    </row>
    <row r="13" spans="1:12" ht="18" x14ac:dyDescent="0.35">
      <c r="B13" s="2" t="s">
        <v>12</v>
      </c>
      <c r="C13" s="3">
        <v>1000</v>
      </c>
      <c r="D13" s="4" t="s">
        <v>0</v>
      </c>
    </row>
    <row r="14" spans="1:12" ht="18" x14ac:dyDescent="0.35">
      <c r="B14" s="2" t="s">
        <v>13</v>
      </c>
      <c r="C14" s="3">
        <v>50</v>
      </c>
      <c r="D14" s="4" t="s">
        <v>1</v>
      </c>
    </row>
    <row r="15" spans="1:12" ht="18" x14ac:dyDescent="0.35">
      <c r="B15" s="2" t="s">
        <v>17</v>
      </c>
      <c r="C15" s="3">
        <v>32</v>
      </c>
      <c r="D15" s="4" t="s">
        <v>2</v>
      </c>
    </row>
    <row r="16" spans="1:12" ht="18" x14ac:dyDescent="0.35">
      <c r="B16" s="2" t="s">
        <v>53</v>
      </c>
      <c r="C16" s="3">
        <v>0.02</v>
      </c>
      <c r="D16" s="4"/>
      <c r="F16" t="s">
        <v>61</v>
      </c>
      <c r="G16" t="str" cm="1">
        <f t="array" ref="G16">[1]!encode_ESP_cable(M21)</f>
        <v>{"cable_X_Omkm":0.01,"cable_t_max_C":120,"manufacturer":"default","name":"\u041A\u041F\u043F\u0410\u043F\u0411\u041F-120 3x16","d_mm":16,"length_m":1000}</v>
      </c>
    </row>
    <row r="17" spans="2:20" ht="18" x14ac:dyDescent="0.35">
      <c r="B17" s="2" t="s">
        <v>54</v>
      </c>
      <c r="C17" s="3">
        <v>0.85</v>
      </c>
      <c r="D17" s="4"/>
      <c r="F17" t="s">
        <v>62</v>
      </c>
      <c r="G17" t="str" cm="1">
        <f t="array" ref="G17">[1]!encode_ESP_motor(ID,Pnom,Unom,Fnom,eff_nom,cos_nom,slip_nom)</f>
        <v>{"motor_ID":2,"U_nom_lin_V":1000,"P_nom_kW":32,"F_nom_Hz":50,"eff_nom_fr":0.85,"cosphi_nom_fr":0.8,"slip_nom_fr":0.02}</v>
      </c>
    </row>
    <row r="18" spans="2:20" ht="18" x14ac:dyDescent="0.35">
      <c r="B18" s="2" t="s">
        <v>55</v>
      </c>
      <c r="C18" s="3">
        <v>0.8</v>
      </c>
      <c r="D18" s="4"/>
    </row>
    <row r="19" spans="2:20" x14ac:dyDescent="0.25">
      <c r="B19" s="25" t="s">
        <v>56</v>
      </c>
      <c r="C19" s="3">
        <v>2.5</v>
      </c>
      <c r="D19" s="4"/>
    </row>
    <row r="20" spans="2:20" x14ac:dyDescent="0.25">
      <c r="B20" s="25" t="s">
        <v>57</v>
      </c>
      <c r="C20" s="3">
        <v>0.56999999999999995</v>
      </c>
      <c r="D20" s="4"/>
    </row>
    <row r="21" spans="2:20" x14ac:dyDescent="0.25">
      <c r="B21" s="25" t="s">
        <v>58</v>
      </c>
      <c r="C21" s="3">
        <v>1.05</v>
      </c>
      <c r="D21" s="4"/>
      <c r="G21" t="s">
        <v>63</v>
      </c>
      <c r="M21">
        <v>0</v>
      </c>
      <c r="P21" t="s">
        <v>59</v>
      </c>
      <c r="Q21">
        <v>1</v>
      </c>
      <c r="S21" t="s">
        <v>59</v>
      </c>
      <c r="T21">
        <v>0</v>
      </c>
    </row>
    <row r="22" spans="2:20" x14ac:dyDescent="0.25">
      <c r="G22" t="str" cm="1">
        <f t="array" ref="G22:H31">[1]!decode_json(B29)</f>
        <v>Pnom_kW</v>
      </c>
      <c r="H22" s="43">
        <v>35.200000000000003</v>
      </c>
      <c r="J22" s="28">
        <f>H22*F/50</f>
        <v>38.720000000000006</v>
      </c>
      <c r="P22" t="s">
        <v>60</v>
      </c>
      <c r="Q22">
        <v>1</v>
      </c>
      <c r="S22" t="s">
        <v>60</v>
      </c>
      <c r="T22">
        <v>1</v>
      </c>
    </row>
    <row r="23" spans="2:20" x14ac:dyDescent="0.25">
      <c r="B23" s="1" t="s">
        <v>8</v>
      </c>
      <c r="G23" t="str">
        <v>Unom_lin_V</v>
      </c>
      <c r="H23" s="43">
        <v>1100</v>
      </c>
      <c r="J23" s="28">
        <f>H23*F/50</f>
        <v>1210</v>
      </c>
    </row>
    <row r="24" spans="2:20" x14ac:dyDescent="0.25">
      <c r="B24" s="2" t="s">
        <v>9</v>
      </c>
      <c r="C24" s="3">
        <v>1100</v>
      </c>
      <c r="D24" s="4" t="s">
        <v>0</v>
      </c>
      <c r="G24" t="str">
        <v>Inom_lin_A</v>
      </c>
      <c r="H24" s="43">
        <v>27.169424432452999</v>
      </c>
      <c r="J24" s="28">
        <f>H24</f>
        <v>27.169424432452999</v>
      </c>
      <c r="P24" t="str" cm="1">
        <f t="array" ref="P24">[1]!encode_json(P21:Q22)</f>
        <v>{"show_array":1,"show_log":1}</v>
      </c>
      <c r="S24" t="str" cm="1">
        <f t="array" ref="S24">[1]!encode_json(S21:T22)</f>
        <v>{"show_array":0,"show_log":1}</v>
      </c>
    </row>
    <row r="25" spans="2:20" x14ac:dyDescent="0.25">
      <c r="B25" s="2" t="s">
        <v>10</v>
      </c>
      <c r="C25" s="3">
        <v>55</v>
      </c>
      <c r="D25" s="4" t="s">
        <v>1</v>
      </c>
      <c r="G25" t="str">
        <v>Snom_d</v>
      </c>
      <c r="H25" s="43">
        <v>0.02</v>
      </c>
      <c r="J25" s="28">
        <f>H25</f>
        <v>0.02</v>
      </c>
    </row>
    <row r="26" spans="2:20" x14ac:dyDescent="0.25">
      <c r="G26" t="str">
        <v>Mnom_Nm</v>
      </c>
      <c r="H26" s="43">
        <v>103.937922019197</v>
      </c>
      <c r="J26" s="28">
        <f>H26</f>
        <v>103.937922019197</v>
      </c>
    </row>
    <row r="27" spans="2:20" x14ac:dyDescent="0.25">
      <c r="G27" t="str">
        <v>CosPhinom_d</v>
      </c>
      <c r="H27" s="44">
        <v>0.8</v>
      </c>
      <c r="J27" s="28">
        <f>H27</f>
        <v>0.8</v>
      </c>
    </row>
    <row r="28" spans="2:20" x14ac:dyDescent="0.25">
      <c r="B28" s="1" t="s">
        <v>35</v>
      </c>
      <c r="G28" t="str">
        <v>Fnom_Hz</v>
      </c>
      <c r="H28" s="43">
        <v>50</v>
      </c>
      <c r="J28" s="28">
        <f>H28</f>
        <v>50</v>
      </c>
    </row>
    <row r="29" spans="2:20" x14ac:dyDescent="0.25">
      <c r="B29" s="42" t="str" cm="1">
        <f t="array" ref="B29:C30">[1]!ESP_motor_nameplate(G17,G16,F,P24)</f>
        <v>{"Pnom_kW":35.2,"Unom_lin_V":1100,"Inom_lin_A":27.169424432453,"Snom_d":0.02,"Mnom_Nm":103.937922019197,"CosPhinom_d":0.8,"Fnom_Hz":50,"F_Hz":55,"length_m":10,"d_od_mm":117}</v>
      </c>
      <c r="C29" s="42" t="str">
        <v>[]</v>
      </c>
      <c r="G29" t="str">
        <v>F_Hz</v>
      </c>
      <c r="H29" s="43">
        <v>55</v>
      </c>
    </row>
    <row r="30" spans="2:20" x14ac:dyDescent="0.25">
      <c r="B30" s="42" t="str">
        <v>log</v>
      </c>
      <c r="C30" s="42">
        <v>0</v>
      </c>
      <c r="G30" t="str">
        <v>length_m</v>
      </c>
      <c r="H30" s="43">
        <v>10</v>
      </c>
    </row>
    <row r="31" spans="2:20" x14ac:dyDescent="0.25">
      <c r="G31" t="str">
        <v>d_od_mm</v>
      </c>
      <c r="H31" s="43">
        <v>117</v>
      </c>
    </row>
    <row r="32" spans="2:20" x14ac:dyDescent="0.25">
      <c r="B32" s="11">
        <v>100</v>
      </c>
    </row>
    <row r="33" spans="2:28" x14ac:dyDescent="0.25">
      <c r="B33" s="1" t="s">
        <v>14</v>
      </c>
    </row>
    <row r="34" spans="2:28" x14ac:dyDescent="0.25">
      <c r="B34" s="5" t="s">
        <v>11</v>
      </c>
      <c r="C34" s="5" t="s">
        <v>5</v>
      </c>
      <c r="D34" s="5" t="s">
        <v>16</v>
      </c>
      <c r="E34" s="5" t="s">
        <v>15</v>
      </c>
      <c r="F34" s="5" t="s">
        <v>6</v>
      </c>
      <c r="G34" s="5" t="s">
        <v>11</v>
      </c>
      <c r="H34" s="5" t="s">
        <v>4</v>
      </c>
    </row>
    <row r="35" spans="2:28" x14ac:dyDescent="0.25">
      <c r="B35" s="6">
        <v>1</v>
      </c>
      <c r="C35" s="12">
        <f t="array" ref="C35:H35">[1]!ESP_motor_calc_mom(B35,F,U,$G$17,$G$16,$P$24)</f>
        <v>13.353315185033745</v>
      </c>
      <c r="D35" s="12">
        <v>0.16184126802289941</v>
      </c>
      <c r="E35" s="13">
        <v>7.9009151100421587E-2</v>
      </c>
      <c r="F35" s="14">
        <v>1.0746950051399046E-3</v>
      </c>
      <c r="G35" s="12">
        <v>0.9997880861847348</v>
      </c>
      <c r="H35" s="11">
        <v>0.34513065050710551</v>
      </c>
      <c r="P35">
        <v>60</v>
      </c>
      <c r="R35" t="str" cm="1">
        <f t="array" ref="R35:S36">[1]!ESP_motor_calc_mom(P35,F,U,$G$17,$G$16,S24)</f>
        <v>{"I_lin_A":19.3657435415782,"CosPhi_d":0.678582358360106,"eff_d":0.819663665624939,"s_d":1.03288211265697E-02,"M_Nm":60.0056654916258,"Pshaft_kW":20.5222860841596,"cable_dU_V":0,"U_motor_V":1100,"U_trans_high_V":0,"eff_full_fr":0.772611618083645,"load_d":57.7322158514416}</v>
      </c>
      <c r="S35" t="str">
        <v>[]</v>
      </c>
      <c r="AA35" t="str" cm="1">
        <f t="array" ref="AA35:AB36">[1]!ESP_motor_calc_slip(slip_nom,F,U,$G$17,$G$16,S24)</f>
        <v>{"I_lin_A":29.1241639527865,"CosPhi_d":0.814391312940295,"eff_d":0.857409108844145,"s_d":0.02,"M_Nm":114.408784506825,"Pshaft_kW":38.7461009071975,"cable_dU_V":0,"U_motor_V":1100,"U_trans_high_V":0,"eff_full_fr":0,"load_d":110.074150304538}</v>
      </c>
      <c r="AB35" t="str">
        <v>[]</v>
      </c>
    </row>
    <row r="36" spans="2:28" x14ac:dyDescent="0.25">
      <c r="B36" s="6">
        <f>$B$32*0.07+B35</f>
        <v>8</v>
      </c>
      <c r="C36" s="12">
        <f t="array" ref="C36:H36">[1]!ESP_motor_calc_mom(B36,F,U,$G$17,$G$16,$P$24)</f>
        <v>13.652673678843806</v>
      </c>
      <c r="D36" s="12">
        <v>0.25199379401739608</v>
      </c>
      <c r="E36" s="13">
        <v>0.39680450448931487</v>
      </c>
      <c r="F36" s="14">
        <v>2.1252007336367892E-3</v>
      </c>
      <c r="G36" s="12">
        <v>8.0019032866271314</v>
      </c>
      <c r="H36" s="11">
        <v>2.7593825327842927</v>
      </c>
      <c r="R36" t="str">
        <v>log</v>
      </c>
      <c r="S36">
        <v>0</v>
      </c>
      <c r="AA36" t="str">
        <v>log</v>
      </c>
      <c r="AB36">
        <v>0</v>
      </c>
    </row>
    <row r="37" spans="2:28" x14ac:dyDescent="0.25">
      <c r="B37" s="6">
        <f>$B$32*0.07+B36</f>
        <v>15</v>
      </c>
      <c r="C37" s="12">
        <f t="array" ref="C37:H37">[1]!ESP_motor_calc_mom(B37,F,U,$G$17,$G$16,$P$24)</f>
        <v>14.086074568229323</v>
      </c>
      <c r="D37" s="12">
        <v>0.33543148417095847</v>
      </c>
      <c r="E37" s="13">
        <v>0.54100806870996587</v>
      </c>
      <c r="F37" s="14">
        <v>3.186073294980682E-3</v>
      </c>
      <c r="G37" s="12">
        <v>14.999219349684225</v>
      </c>
      <c r="H37" s="11">
        <v>5.1668435462036859</v>
      </c>
    </row>
    <row r="38" spans="2:28" x14ac:dyDescent="0.25">
      <c r="B38" s="6">
        <f>$B$32*0.07+B37</f>
        <v>22</v>
      </c>
      <c r="C38" s="12">
        <f t="array" ref="C38:H38">[1]!ESP_motor_calc_mom(B38,F,U,$G$17,$G$16,$P$24)</f>
        <v>14.645190470933651</v>
      </c>
      <c r="D38" s="12">
        <v>0.41092394934912591</v>
      </c>
      <c r="E38" s="13">
        <v>0.62260628599025314</v>
      </c>
      <c r="F38" s="14">
        <v>4.2607683001205862E-3</v>
      </c>
      <c r="G38" s="12">
        <v>22.009468979217353</v>
      </c>
      <c r="H38" s="11">
        <v>7.573519375618007</v>
      </c>
      <c r="R38" t="str" cm="1">
        <f t="array" ref="R38:S48">[1]!decode_json(R35)</f>
        <v>I_lin_A</v>
      </c>
      <c r="S38" s="27">
        <v>19.365743541578201</v>
      </c>
      <c r="AA38" t="str" cm="1">
        <f t="array" ref="AA38:AB48">[1]!decode_json(AA35)</f>
        <v>I_lin_A</v>
      </c>
      <c r="AB38">
        <v>29.1241639527865</v>
      </c>
    </row>
    <row r="39" spans="2:28" x14ac:dyDescent="0.25">
      <c r="B39" s="6">
        <f>$B$32*0.07+B38</f>
        <v>29</v>
      </c>
      <c r="C39" s="12">
        <f t="array" ref="C39:H39">[1]!ESP_motor_calc_mom(B39,F,U,$G$17,$G$16,$P$24)</f>
        <v>15.316523340895431</v>
      </c>
      <c r="D39" s="12">
        <v>0.47757823404830269</v>
      </c>
      <c r="E39" s="13">
        <v>0.67430282496790339</v>
      </c>
      <c r="F39" s="14">
        <v>5.3458301381075005E-3</v>
      </c>
      <c r="G39" s="12">
        <v>29.004995200708336</v>
      </c>
      <c r="H39" s="11">
        <v>9.9698233523309305</v>
      </c>
      <c r="R39" t="str">
        <v>CosPhi_d</v>
      </c>
      <c r="S39" s="27">
        <v>0.67858235836010605</v>
      </c>
      <c r="AA39" t="str">
        <v>CosPhi_d</v>
      </c>
      <c r="AB39">
        <v>0.81439131294029499</v>
      </c>
    </row>
    <row r="40" spans="2:28" x14ac:dyDescent="0.25">
      <c r="B40" s="6">
        <f>$B$32*0.07+B39</f>
        <v>36</v>
      </c>
      <c r="C40" s="12">
        <f t="array" ref="C40:H40">[1]!ESP_motor_calc_mom(B40,F,U,$G$17,$G$16,$P$24)</f>
        <v>16.089686995136244</v>
      </c>
      <c r="D40" s="12">
        <v>0.53565529983302407</v>
      </c>
      <c r="E40" s="13">
        <v>0.70959631239172938</v>
      </c>
      <c r="F40" s="14">
        <v>6.4447144198904252E-3</v>
      </c>
      <c r="G40" s="12">
        <v>36.002902773155419</v>
      </c>
      <c r="H40" s="11">
        <v>12.361526766537661</v>
      </c>
      <c r="R40" t="str">
        <v>eff_d</v>
      </c>
      <c r="S40" s="27">
        <v>0.81966366562493898</v>
      </c>
      <c r="AA40" t="str">
        <v>eff_d</v>
      </c>
      <c r="AB40">
        <v>0.85740910884414501</v>
      </c>
    </row>
    <row r="41" spans="2:28" x14ac:dyDescent="0.25">
      <c r="B41" s="6">
        <f>$B$32*0.07+B40</f>
        <v>43</v>
      </c>
      <c r="C41" s="12">
        <f t="array" ref="C41:H41">[1]!ESP_motor_calc_mom(B41,F,U,$G$17,$G$16,$P$24)</f>
        <v>16.952691617020363</v>
      </c>
      <c r="D41" s="12">
        <v>0.58564187369588727</v>
      </c>
      <c r="E41" s="13">
        <v>0.73484065781868113</v>
      </c>
      <c r="F41" s="14">
        <v>7.5574211454693622E-3</v>
      </c>
      <c r="G41" s="12">
        <v>42.997556529332236</v>
      </c>
      <c r="H41" s="11">
        <v>14.746593967851954</v>
      </c>
      <c r="R41" t="str">
        <v>s_d</v>
      </c>
      <c r="S41" s="26">
        <v>1.0328821126569699E-2</v>
      </c>
      <c r="AA41" t="str">
        <v>s_d</v>
      </c>
      <c r="AB41">
        <v>0.02</v>
      </c>
    </row>
    <row r="42" spans="2:28" x14ac:dyDescent="0.25">
      <c r="B42" s="6">
        <f>$B$32*0.07+B41</f>
        <v>50</v>
      </c>
      <c r="C42" s="12">
        <f t="array" ref="C42:H42">[1]!ESP_motor_calc_mom(B42,F,U,$G$17,$G$16,$P$24)</f>
        <v>17.897168172490179</v>
      </c>
      <c r="D42" s="12">
        <v>0.6284209124446285</v>
      </c>
      <c r="E42" s="13">
        <v>0.75352890806803297</v>
      </c>
      <c r="F42" s="14">
        <v>8.6874059257933123E-3</v>
      </c>
      <c r="G42" s="12">
        <v>50.004541143845032</v>
      </c>
      <c r="H42" s="11">
        <v>17.130207669701839</v>
      </c>
      <c r="R42" t="str">
        <v>M_Nm</v>
      </c>
      <c r="S42" s="27">
        <v>60.005665491625798</v>
      </c>
      <c r="AA42" t="str">
        <v>M_Nm</v>
      </c>
      <c r="AB42">
        <v>114.408784506825</v>
      </c>
    </row>
    <row r="43" spans="2:28" x14ac:dyDescent="0.25">
      <c r="B43" s="6">
        <f>$B$32*0.07+B42</f>
        <v>57</v>
      </c>
      <c r="C43" s="12">
        <f t="array" ref="C43:H43">[1]!ESP_motor_calc_mom(B43,F,U,$G$17,$G$16,$P$24)</f>
        <v>18.910094051851896</v>
      </c>
      <c r="D43" s="12">
        <v>0.66470979137900865</v>
      </c>
      <c r="E43" s="13">
        <v>0.76761654876145846</v>
      </c>
      <c r="F43" s="14">
        <v>9.8312131499132746E-3</v>
      </c>
      <c r="G43" s="12">
        <v>56.996221569850213</v>
      </c>
      <c r="H43" s="11">
        <v>19.502839911072886</v>
      </c>
      <c r="R43" t="str">
        <v>Pshaft_kW</v>
      </c>
      <c r="S43" s="27">
        <v>20.5222860841596</v>
      </c>
      <c r="AA43" t="str">
        <v>Pshaft_kW</v>
      </c>
      <c r="AB43">
        <v>38.746100907197501</v>
      </c>
    </row>
    <row r="44" spans="2:28" x14ac:dyDescent="0.25">
      <c r="B44" s="6">
        <f>$B$32*0.07+B43</f>
        <v>64</v>
      </c>
      <c r="C44" s="12">
        <f t="array" ref="C44:H44">[1]!ESP_motor_calc_mom(B44,F,U,$G$17,$G$16,$P$24)</f>
        <v>19.988687283338788</v>
      </c>
      <c r="D44" s="12">
        <v>0.69556397578923468</v>
      </c>
      <c r="E44" s="13">
        <v>0.77844240567715894</v>
      </c>
      <c r="F44" s="14">
        <v>1.0995754039727256E-2</v>
      </c>
      <c r="G44" s="12">
        <v>64.00809307819803</v>
      </c>
      <c r="H44" s="11">
        <v>21.876387267773136</v>
      </c>
      <c r="R44" t="str">
        <v>cable_dU_V</v>
      </c>
      <c r="S44" s="27">
        <v>0</v>
      </c>
      <c r="AA44" t="str">
        <v>cable_dU_V</v>
      </c>
      <c r="AB44">
        <v>0</v>
      </c>
    </row>
    <row r="45" spans="2:28" x14ac:dyDescent="0.25">
      <c r="B45" s="6">
        <f>$B$32*0.07+B44</f>
        <v>71</v>
      </c>
      <c r="C45" s="12">
        <f t="array" ref="C45:H45">[1]!ESP_motor_calc_mom(B45,F,U,$G$17,$G$16,$P$24)</f>
        <v>21.118682464180377</v>
      </c>
      <c r="D45" s="12">
        <v>0.72158745738179697</v>
      </c>
      <c r="E45" s="13">
        <v>0.78676885284157183</v>
      </c>
      <c r="F45" s="14">
        <v>1.2174117373337248E-2</v>
      </c>
      <c r="G45" s="12">
        <v>70.991729618134428</v>
      </c>
      <c r="H45" s="11">
        <v>24.234313200567467</v>
      </c>
      <c r="R45" t="str">
        <v>U_motor_V</v>
      </c>
      <c r="S45" s="27">
        <v>1100</v>
      </c>
      <c r="AA45" t="str">
        <v>U_motor_V</v>
      </c>
      <c r="AB45">
        <v>1100</v>
      </c>
    </row>
    <row r="46" spans="2:28" x14ac:dyDescent="0.25">
      <c r="B46" s="6">
        <f>$B$32*0.07+B45</f>
        <v>78</v>
      </c>
      <c r="C46" s="12">
        <f t="array" ref="C46:H46">[1]!ESP_motor_calc_mom(B46,F,U,$G$17,$G$16,$P$24)</f>
        <v>22.303208674788415</v>
      </c>
      <c r="D46" s="12">
        <v>0.74370274991698593</v>
      </c>
      <c r="E46" s="13">
        <v>0.79323270592116091</v>
      </c>
      <c r="F46" s="14">
        <v>1.3376669983590259E-2</v>
      </c>
      <c r="G46" s="12">
        <v>78.001179661999402</v>
      </c>
      <c r="H46" s="11">
        <v>26.594700843436716</v>
      </c>
      <c r="R46" t="str">
        <v>U_trans_high_V</v>
      </c>
      <c r="S46" s="27">
        <v>0</v>
      </c>
      <c r="AA46" t="str">
        <v>U_trans_high_V</v>
      </c>
      <c r="AB46">
        <v>0</v>
      </c>
    </row>
    <row r="47" spans="2:28" x14ac:dyDescent="0.25">
      <c r="B47" s="6">
        <f>$B$32*0.07+B46</f>
        <v>85</v>
      </c>
      <c r="C47" s="12">
        <f t="array" ref="C47:H47">[1]!ESP_motor_calc_mom(B47,F,U,$G$17,$G$16,$P$24)</f>
        <v>23.533107907720311</v>
      </c>
      <c r="D47" s="12">
        <v>0.76241976839726433</v>
      </c>
      <c r="E47" s="13">
        <v>0.79820190153211013</v>
      </c>
      <c r="F47" s="14">
        <v>1.4599956259537292E-2</v>
      </c>
      <c r="G47" s="12">
        <v>85.007808360234847</v>
      </c>
      <c r="H47" s="11">
        <v>28.947692762171599</v>
      </c>
      <c r="R47" t="str">
        <v>eff_full_fr</v>
      </c>
      <c r="S47" s="27">
        <v>0.77261161808364498</v>
      </c>
      <c r="W47">
        <f>S43/H22</f>
        <v>0.58301949102726125</v>
      </c>
      <c r="AA47" t="str">
        <v>eff_full_fr</v>
      </c>
      <c r="AB47">
        <v>0</v>
      </c>
    </row>
    <row r="48" spans="2:28" x14ac:dyDescent="0.25">
      <c r="B48" s="6">
        <f>$B$32*0.07+B47</f>
        <v>92</v>
      </c>
      <c r="C48" s="12">
        <f t="array" ref="C48:H48">[1]!ESP_motor_calc_mom(B48,F,U,$G$17,$G$16,$P$24)</f>
        <v>24.803165760497134</v>
      </c>
      <c r="D48" s="12">
        <v>0.77825076369791946</v>
      </c>
      <c r="E48" s="13">
        <v>0.80196730424638696</v>
      </c>
      <c r="F48" s="14">
        <v>1.5843976201178337E-2</v>
      </c>
      <c r="G48" s="12">
        <v>92.003549540658184</v>
      </c>
      <c r="H48" s="11">
        <v>31.290398622094425</v>
      </c>
      <c r="R48" t="str">
        <v>load_d</v>
      </c>
      <c r="S48" s="27">
        <v>57.732215851441602</v>
      </c>
      <c r="W48">
        <f>S42/H26</f>
        <v>0.57732215851441537</v>
      </c>
      <c r="AA48" t="str">
        <v>load_d</v>
      </c>
      <c r="AB48">
        <v>110.07415030453799</v>
      </c>
    </row>
    <row r="49" spans="2:26" x14ac:dyDescent="0.25">
      <c r="B49" s="6">
        <f>$B$32*0.07+B48</f>
        <v>99</v>
      </c>
      <c r="C49" s="12">
        <f t="array" ref="C49:H49">[1]!ESP_motor_calc_mom(B49,F,U,$G$17,$G$16,$P$24)</f>
        <v>26.112349677293256</v>
      </c>
      <c r="D49" s="12">
        <v>0.7916646094608113</v>
      </c>
      <c r="E49" s="13">
        <v>0.80475385238895825</v>
      </c>
      <c r="F49" s="14">
        <v>1.7112185419462404E-2</v>
      </c>
      <c r="G49" s="12">
        <v>98.999158043130421</v>
      </c>
      <c r="H49" s="11">
        <v>33.626216887890287</v>
      </c>
      <c r="W49">
        <f>S38/H24</f>
        <v>0.71277709948269818</v>
      </c>
      <c r="X49">
        <f>(W49+W50)/2</f>
        <v>0.78050252371641538</v>
      </c>
    </row>
    <row r="50" spans="2:26" x14ac:dyDescent="0.25">
      <c r="B50" s="6">
        <f>$B$32*0.07+B49</f>
        <v>106</v>
      </c>
      <c r="C50" s="12">
        <f t="array" ref="C50:H50">[1]!ESP_motor_calc_mom(B50,F,U,$G$17,$G$16,$P$24)</f>
        <v>27.46023069252719</v>
      </c>
      <c r="D50" s="12">
        <v>0.80303876756029802</v>
      </c>
      <c r="E50" s="13">
        <v>0.80672699249148683</v>
      </c>
      <c r="F50" s="14">
        <v>1.8408039525338496E-2</v>
      </c>
      <c r="G50" s="12">
        <v>106.00381437557952</v>
      </c>
      <c r="H50" s="11">
        <v>35.957959879920736</v>
      </c>
      <c r="W50">
        <f>S39/H27</f>
        <v>0.84822794795013257</v>
      </c>
    </row>
    <row r="51" spans="2:26" x14ac:dyDescent="0.25">
      <c r="B51" s="6">
        <f>$B$32*0.07+B50</f>
        <v>113</v>
      </c>
      <c r="C51" s="12">
        <f t="array" ref="C51:H51">[1]!ESP_motor_calc_mom(B51,F,U,$G$17,$G$16,$P$24)</f>
        <v>28.843194278797842</v>
      </c>
      <c r="D51" s="12">
        <v>0.81265460915008259</v>
      </c>
      <c r="E51" s="13">
        <v>0.80800798750741365</v>
      </c>
      <c r="F51" s="14">
        <v>1.9731538518806609E-2</v>
      </c>
      <c r="G51" s="12">
        <v>113.00695841842033</v>
      </c>
      <c r="H51" s="11">
        <v>38.281837379592076</v>
      </c>
    </row>
    <row r="52" spans="2:26" x14ac:dyDescent="0.25">
      <c r="B52" s="6">
        <f>$B$32*0.07+B51</f>
        <v>120</v>
      </c>
      <c r="C52" s="12">
        <f t="array" ref="C52:H52">[1]!ESP_motor_calc_mom(B52,F,U,$G$17,$G$16,$P$24)</f>
        <v>30.257904730450793</v>
      </c>
      <c r="D52" s="12">
        <v>0.82075115319865632</v>
      </c>
      <c r="E52" s="13">
        <v>0.80869405108662884</v>
      </c>
      <c r="F52" s="14">
        <v>2.1082682399866746E-2</v>
      </c>
      <c r="G52" s="12">
        <v>119.99794085598694</v>
      </c>
      <c r="H52" s="11">
        <v>40.594048198585384</v>
      </c>
    </row>
    <row r="53" spans="2:26" x14ac:dyDescent="0.25">
      <c r="B53" s="6">
        <f>$B$32*0.07+B52</f>
        <v>127</v>
      </c>
      <c r="C53" s="12">
        <f t="array" ref="C53:H53">[1]!ESP_motor_calc_mom(B53,F,U,$G$17,$G$16,$P$24)</f>
        <v>31.708498060473506</v>
      </c>
      <c r="D53" s="12">
        <v>0.82756139994404088</v>
      </c>
      <c r="E53" s="13">
        <v>0.8088637473336957</v>
      </c>
      <c r="F53" s="14">
        <v>2.2468382390416916E-2</v>
      </c>
      <c r="G53" s="12">
        <v>127.00056667317467</v>
      </c>
      <c r="H53" s="11">
        <v>42.902147323268522</v>
      </c>
    </row>
    <row r="54" spans="2:26" x14ac:dyDescent="0.25">
      <c r="B54" s="6">
        <f>$B$32*0.07+B53</f>
        <v>134</v>
      </c>
      <c r="C54" s="12">
        <f t="array" ref="C54:H54">[1]!ESP_motor_calc_mom(B54,F,U,$G$17,$G$16,$P$24)</f>
        <v>33.192024277993944</v>
      </c>
      <c r="D54" s="12">
        <v>0.83323888540678992</v>
      </c>
      <c r="E54" s="13">
        <v>0.80857563934816035</v>
      </c>
      <c r="F54" s="14">
        <v>2.3888638490457109E-2</v>
      </c>
      <c r="G54" s="12">
        <v>134.00153025450939</v>
      </c>
      <c r="H54" s="11">
        <v>45.201378907887403</v>
      </c>
    </row>
    <row r="55" spans="2:26" x14ac:dyDescent="0.25">
      <c r="B55" s="6">
        <f>$B$32*0.07+B54</f>
        <v>141</v>
      </c>
      <c r="C55" s="12">
        <f t="array" ref="C55:H55">[1]!ESP_motor_calc_mom(B55,F,U,$G$17,$G$16,$P$24)</f>
        <v>34.70923007098088</v>
      </c>
      <c r="D55" s="12">
        <v>0.83792563163567813</v>
      </c>
      <c r="E55" s="13">
        <v>0.80787700189500344</v>
      </c>
      <c r="F55" s="14">
        <v>2.5346906310936338E-2</v>
      </c>
      <c r="G55" s="12">
        <v>141.00380721493093</v>
      </c>
      <c r="H55" s="11">
        <v>47.49232844407446</v>
      </c>
      <c r="T55" s="28"/>
    </row>
    <row r="56" spans="2:26" x14ac:dyDescent="0.25">
      <c r="C56" s="11"/>
      <c r="D56" s="11"/>
      <c r="E56" s="11"/>
      <c r="F56" s="11"/>
      <c r="G56" s="11"/>
      <c r="H56" s="11"/>
    </row>
    <row r="57" spans="2:26" x14ac:dyDescent="0.25">
      <c r="T57" s="28" cm="1">
        <f t="array" ref="T57:Z58">[1]!ESP_motor_calc_mom(B38,F,U,$G$17,$G$16,$P$24)</f>
        <v>14.645190470933651</v>
      </c>
      <c r="U57">
        <v>0.41092394934912591</v>
      </c>
      <c r="V57">
        <v>0.62260628599025314</v>
      </c>
      <c r="W57">
        <v>4.2607683001205862E-3</v>
      </c>
      <c r="X57">
        <v>22.009468979217353</v>
      </c>
      <c r="Y57">
        <v>7.573519375618007</v>
      </c>
      <c r="Z57" t="str">
        <v>[]</v>
      </c>
    </row>
    <row r="58" spans="2:26" x14ac:dyDescent="0.25">
      <c r="T58" t="str">
        <v>I_lin_A</v>
      </c>
      <c r="U58" t="str">
        <v>CosPhi_d</v>
      </c>
      <c r="V58" t="str">
        <v>eff_d</v>
      </c>
      <c r="W58" t="str">
        <v>slip</v>
      </c>
      <c r="X58" t="str">
        <v>M_Nm</v>
      </c>
      <c r="Y58" t="str">
        <v>Pshaft_kW</v>
      </c>
      <c r="Z58" t="str">
        <v>log</v>
      </c>
    </row>
  </sheetData>
  <mergeCells count="4">
    <mergeCell ref="B3:E3"/>
    <mergeCell ref="B4:E4"/>
    <mergeCell ref="B5:E5"/>
    <mergeCell ref="B6:E8"/>
  </mergeCells>
  <conditionalFormatting sqref="E35:E5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{34895320-7F39-4BAF-AA96-69A7C71630B3}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895320-7F39-4BAF-AA96-69A7C71630B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E35:E55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67B7-B66A-458E-8893-422907B6B6DE}">
  <sheetPr codeName="Лист3"/>
  <dimension ref="R9:AB13"/>
  <sheetViews>
    <sheetView zoomScale="85" zoomScaleNormal="85" workbookViewId="0">
      <selection activeCell="X167" sqref="X167"/>
    </sheetView>
  </sheetViews>
  <sheetFormatPr defaultRowHeight="15" x14ac:dyDescent="0.25"/>
  <cols>
    <col min="19" max="19" width="10.42578125" bestFit="1" customWidth="1"/>
    <col min="20" max="20" width="12.5703125" bestFit="1" customWidth="1"/>
    <col min="23" max="23" width="12.42578125" bestFit="1" customWidth="1"/>
    <col min="24" max="24" width="10.28515625" customWidth="1"/>
    <col min="25" max="25" width="10.7109375" customWidth="1"/>
  </cols>
  <sheetData>
    <row r="9" spans="18:28" x14ac:dyDescent="0.25">
      <c r="R9" s="5"/>
      <c r="S9" s="5"/>
      <c r="T9" s="5"/>
      <c r="U9" s="5"/>
      <c r="V9" s="5"/>
      <c r="W9" s="5"/>
      <c r="X9" s="5"/>
      <c r="Y9" s="5"/>
      <c r="Z9" s="41" t="s">
        <v>26</v>
      </c>
      <c r="AA9" s="41"/>
      <c r="AB9" s="41"/>
    </row>
    <row r="10" spans="18:28" x14ac:dyDescent="0.25">
      <c r="R10" s="5" t="s">
        <v>31</v>
      </c>
      <c r="S10" s="5" t="s">
        <v>18</v>
      </c>
      <c r="T10" s="5" t="s">
        <v>19</v>
      </c>
      <c r="U10" s="5" t="s">
        <v>20</v>
      </c>
      <c r="V10" s="5" t="s">
        <v>15</v>
      </c>
      <c r="W10" s="5" t="s">
        <v>21</v>
      </c>
      <c r="X10" s="5" t="s">
        <v>22</v>
      </c>
      <c r="Y10" s="5" t="s">
        <v>34</v>
      </c>
      <c r="Z10" s="5" t="s">
        <v>29</v>
      </c>
      <c r="AA10" s="5" t="s">
        <v>30</v>
      </c>
      <c r="AB10" s="5" t="s">
        <v>27</v>
      </c>
    </row>
    <row r="11" spans="18:28" x14ac:dyDescent="0.25">
      <c r="R11" s="5" t="s">
        <v>32</v>
      </c>
      <c r="S11" s="5" t="s">
        <v>23</v>
      </c>
      <c r="T11" s="5" t="s">
        <v>24</v>
      </c>
      <c r="U11" s="5" t="s">
        <v>25</v>
      </c>
      <c r="V11" s="5"/>
      <c r="W11" s="5"/>
      <c r="X11" s="5"/>
      <c r="Y11" s="5" t="s">
        <v>33</v>
      </c>
      <c r="Z11" s="5" t="s">
        <v>23</v>
      </c>
      <c r="AA11" s="5"/>
      <c r="AB11" s="5" t="s">
        <v>28</v>
      </c>
    </row>
    <row r="12" spans="18:28" x14ac:dyDescent="0.25">
      <c r="R12" s="8">
        <v>50</v>
      </c>
      <c r="S12" s="8">
        <v>8</v>
      </c>
      <c r="T12" s="8">
        <v>380</v>
      </c>
      <c r="U12" s="8">
        <v>17.100000000000001</v>
      </c>
      <c r="V12" s="8">
        <v>0.84499999999999997</v>
      </c>
      <c r="W12" s="8">
        <v>5.1999999999999998E-2</v>
      </c>
      <c r="X12" s="8">
        <v>0.86</v>
      </c>
      <c r="Y12" s="7">
        <f>R12*(1-W12)*2*3.1415</f>
        <v>297.81420000000003</v>
      </c>
      <c r="Z12" s="7">
        <f>T12*U12*3^0.5*X12/1000</f>
        <v>9.6791848869210053</v>
      </c>
      <c r="AA12" s="7">
        <f>Z12*V12</f>
        <v>8.17891122944825</v>
      </c>
      <c r="AB12" s="7">
        <f>AA12*1000/Y12</f>
        <v>27.46313382453976</v>
      </c>
    </row>
    <row r="13" spans="18:28" x14ac:dyDescent="0.25">
      <c r="R13" s="8">
        <v>50</v>
      </c>
      <c r="S13" s="8">
        <v>45</v>
      </c>
      <c r="T13" s="8">
        <v>1350</v>
      </c>
      <c r="U13" s="8">
        <v>27.3</v>
      </c>
      <c r="V13" s="8">
        <v>0.83</v>
      </c>
      <c r="W13" s="8">
        <v>5.1999999999999998E-2</v>
      </c>
      <c r="X13" s="8">
        <v>0.85</v>
      </c>
      <c r="Y13" s="7">
        <f>R13*(1-W13)*2*3.1415</f>
        <v>297.81420000000003</v>
      </c>
      <c r="Z13" s="7">
        <f>T13*U13*3^0.5*X13/1000</f>
        <v>54.259522636008327</v>
      </c>
      <c r="AA13" s="9">
        <f>Z13*V13</f>
        <v>45.035403787886906</v>
      </c>
      <c r="AB13" s="7">
        <f>AA13*1000/Y13</f>
        <v>151.21980008974353</v>
      </c>
    </row>
  </sheetData>
  <mergeCells count="1">
    <mergeCell ref="Z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18</vt:i4>
      </vt:variant>
    </vt:vector>
  </HeadingPairs>
  <TitlesOfParts>
    <vt:vector size="20" baseType="lpstr">
      <vt:lpstr>exercise_motor</vt:lpstr>
      <vt:lpstr>some_data</vt:lpstr>
      <vt:lpstr>alpha</vt:lpstr>
      <vt:lpstr>cos_nom</vt:lpstr>
      <vt:lpstr>eff_nom</vt:lpstr>
      <vt:lpstr>F</vt:lpstr>
      <vt:lpstr>Fnom</vt:lpstr>
      <vt:lpstr>ID</vt:lpstr>
      <vt:lpstr>input_Course</vt:lpstr>
      <vt:lpstr>input_Date</vt:lpstr>
      <vt:lpstr>input_Group</vt:lpstr>
      <vt:lpstr>input_Notes</vt:lpstr>
      <vt:lpstr>input_Student_Name</vt:lpstr>
      <vt:lpstr>input_Version</vt:lpstr>
      <vt:lpstr>lambda</vt:lpstr>
      <vt:lpstr>Pnom</vt:lpstr>
      <vt:lpstr>slip_nom</vt:lpstr>
      <vt:lpstr>U</vt:lpstr>
      <vt:lpstr>Unom</vt:lpstr>
      <vt:lpstr>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2019-06-11T10:40:46Z</dcterms:created>
  <dcterms:modified xsi:type="dcterms:W3CDTF">2021-05-27T07:04:50Z</dcterms:modified>
</cp:coreProperties>
</file>