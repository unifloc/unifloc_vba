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26106EA-F532-4E7D-BA0A-B3B072B068B9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4" i="113" l="1" a="1"/>
  <c r="S64" i="113" s="1"/>
  <c r="E16" i="113"/>
  <c r="E15" i="113"/>
  <c r="E14" i="113"/>
  <c r="E13" i="113"/>
  <c r="E12" i="113"/>
  <c r="E11" i="113"/>
  <c r="G1" i="113"/>
  <c r="D34" i="113"/>
  <c r="D29" i="113" a="1"/>
  <c r="F104" i="113"/>
  <c r="F84" i="113"/>
  <c r="H74" i="113"/>
  <c r="H98" i="113"/>
  <c r="D103" i="113"/>
  <c r="D101" i="113"/>
  <c r="F101" i="113"/>
  <c r="D92" i="113"/>
  <c r="D68" i="113"/>
  <c r="H83" i="113"/>
  <c r="F83" i="113"/>
  <c r="F88" i="113"/>
  <c r="H76" i="113"/>
  <c r="H100" i="113"/>
  <c r="D67" i="113"/>
  <c r="F69" i="113"/>
  <c r="F103" i="113"/>
  <c r="F86" i="113"/>
  <c r="D90" i="113"/>
  <c r="D66" i="113"/>
  <c r="H81" i="113"/>
  <c r="F77" i="113"/>
  <c r="F90" i="113"/>
  <c r="H78" i="113"/>
  <c r="H102" i="113"/>
  <c r="D71" i="113"/>
  <c r="F75" i="113"/>
  <c r="F67" i="113"/>
  <c r="D88" i="113"/>
  <c r="H103" i="113"/>
  <c r="H79" i="113"/>
  <c r="F71" i="113"/>
  <c r="F92" i="113"/>
  <c r="H80" i="113"/>
  <c r="H104" i="113"/>
  <c r="D73" i="113"/>
  <c r="F79" i="113"/>
  <c r="F73" i="113"/>
  <c r="F94" i="113"/>
  <c r="D102" i="113"/>
  <c r="D72" i="113"/>
  <c r="F97" i="113"/>
  <c r="D89" i="113"/>
  <c r="H94" i="113"/>
  <c r="F78" i="113"/>
  <c r="H65" i="113"/>
  <c r="H89" i="113"/>
  <c r="D74" i="113"/>
  <c r="D98" i="113"/>
  <c r="F95" i="113"/>
  <c r="D93" i="113"/>
  <c r="D83" i="113"/>
  <c r="H92" i="113"/>
  <c r="H68" i="113"/>
  <c r="F74" i="113"/>
  <c r="H67" i="113"/>
  <c r="H91" i="113"/>
  <c r="D76" i="113"/>
  <c r="D100" i="113"/>
  <c r="F93" i="113"/>
  <c r="D91" i="113"/>
  <c r="D79" i="113"/>
  <c r="H90" i="113"/>
  <c r="H66" i="113"/>
  <c r="F72" i="113"/>
  <c r="H69" i="113"/>
  <c r="H93" i="113"/>
  <c r="D78" i="113"/>
  <c r="F91" i="113"/>
  <c r="D87" i="113"/>
  <c r="D75" i="113"/>
  <c r="H88" i="113"/>
  <c r="F102" i="113"/>
  <c r="F68" i="113"/>
  <c r="H71" i="113"/>
  <c r="H95" i="113"/>
  <c r="D80" i="113"/>
  <c r="D104" i="113"/>
  <c r="F64" i="113"/>
  <c r="D35" i="113" a="1"/>
  <c r="H85" i="113"/>
  <c r="D70" i="113"/>
  <c r="D94" i="113"/>
  <c r="F99" i="113"/>
  <c r="D99" i="113"/>
  <c r="D95" i="113"/>
  <c r="H96" i="113"/>
  <c r="H72" i="113"/>
  <c r="F82" i="113"/>
  <c r="H87" i="113"/>
  <c r="D96" i="113"/>
  <c r="D97" i="113"/>
  <c r="H70" i="113"/>
  <c r="F89" i="113"/>
  <c r="D85" i="113"/>
  <c r="D69" i="113"/>
  <c r="H86" i="113"/>
  <c r="F100" i="113"/>
  <c r="F66" i="113"/>
  <c r="H73" i="113"/>
  <c r="H97" i="113"/>
  <c r="D82" i="113"/>
  <c r="B44" i="113" a="1"/>
  <c r="F87" i="113"/>
  <c r="D81" i="113"/>
  <c r="D65" i="113"/>
  <c r="H84" i="113"/>
  <c r="F98" i="113"/>
  <c r="D64" i="113"/>
  <c r="H75" i="113"/>
  <c r="H99" i="113"/>
  <c r="D84" i="113"/>
  <c r="F70" i="113"/>
  <c r="F81" i="113"/>
  <c r="F85" i="113"/>
  <c r="D77" i="113"/>
  <c r="H64" i="113"/>
  <c r="H82" i="113"/>
  <c r="F96" i="113"/>
  <c r="F65" i="113"/>
  <c r="H77" i="113"/>
  <c r="H101" i="113"/>
  <c r="D86" i="113"/>
  <c r="F76" i="113"/>
  <c r="F80" i="113"/>
  <c r="B44" i="113" l="1"/>
  <c r="D35" i="113"/>
  <c r="D29" i="113"/>
  <c r="O63" i="113"/>
  <c r="N63" i="113"/>
  <c r="P63" i="113"/>
  <c r="K63" i="113"/>
  <c r="M63" i="113"/>
  <c r="L63" i="113"/>
  <c r="Q63" i="113"/>
  <c r="J63" i="113"/>
  <c r="D37" i="113" a="1"/>
  <c r="D44" i="113" a="1"/>
  <c r="D37" i="113" l="1"/>
  <c r="D44" i="113"/>
  <c r="G44" i="113" a="1"/>
  <c r="G89" i="113"/>
  <c r="I94" i="113"/>
  <c r="E99" i="113"/>
  <c r="E77" i="113"/>
  <c r="G87" i="113"/>
  <c r="G93" i="113"/>
  <c r="E90" i="113"/>
  <c r="G66" i="113"/>
  <c r="G90" i="113"/>
  <c r="I101" i="113"/>
  <c r="I96" i="113"/>
  <c r="E101" i="113"/>
  <c r="I65" i="113"/>
  <c r="G97" i="113"/>
  <c r="E98" i="113"/>
  <c r="G68" i="113"/>
  <c r="G92" i="113"/>
  <c r="E76" i="113"/>
  <c r="I98" i="113"/>
  <c r="E64" i="113"/>
  <c r="E79" i="113"/>
  <c r="E103" i="113"/>
  <c r="G91" i="113"/>
  <c r="I100" i="113"/>
  <c r="I85" i="113"/>
  <c r="G101" i="113"/>
  <c r="E102" i="113"/>
  <c r="G70" i="113"/>
  <c r="G94" i="113"/>
  <c r="I68" i="113"/>
  <c r="E88" i="113"/>
  <c r="E81" i="113"/>
  <c r="I93" i="113"/>
  <c r="I67" i="113"/>
  <c r="I79" i="113"/>
  <c r="G72" i="113"/>
  <c r="G96" i="113"/>
  <c r="I72" i="113"/>
  <c r="I102" i="113"/>
  <c r="I66" i="113"/>
  <c r="E83" i="113"/>
  <c r="I97" i="113"/>
  <c r="G99" i="113"/>
  <c r="I95" i="113"/>
  <c r="G98" i="113"/>
  <c r="I76" i="113"/>
  <c r="I74" i="113"/>
  <c r="E80" i="113"/>
  <c r="E68" i="113"/>
  <c r="E84" i="113"/>
  <c r="E74" i="113"/>
  <c r="G74" i="113"/>
  <c r="I104" i="113"/>
  <c r="E85" i="113"/>
  <c r="G103" i="113"/>
  <c r="E87" i="113"/>
  <c r="G65" i="113"/>
  <c r="I71" i="113"/>
  <c r="E70" i="113"/>
  <c r="G76" i="113"/>
  <c r="G100" i="113"/>
  <c r="I82" i="113"/>
  <c r="I83" i="113"/>
  <c r="I80" i="113"/>
  <c r="G69" i="113"/>
  <c r="I87" i="113"/>
  <c r="E82" i="113"/>
  <c r="G78" i="113"/>
  <c r="G102" i="113"/>
  <c r="I84" i="113"/>
  <c r="I103" i="113"/>
  <c r="E65" i="113"/>
  <c r="E89" i="113"/>
  <c r="G73" i="113"/>
  <c r="E66" i="113"/>
  <c r="E92" i="113"/>
  <c r="G80" i="113"/>
  <c r="G104" i="113"/>
  <c r="I86" i="113"/>
  <c r="E86" i="113"/>
  <c r="E67" i="113"/>
  <c r="E91" i="113"/>
  <c r="G67" i="113"/>
  <c r="E71" i="113"/>
  <c r="G75" i="113"/>
  <c r="G77" i="113"/>
  <c r="E94" i="113"/>
  <c r="E96" i="113"/>
  <c r="G82" i="113"/>
  <c r="I77" i="113"/>
  <c r="I88" i="113"/>
  <c r="I64" i="113"/>
  <c r="E69" i="113"/>
  <c r="E93" i="113"/>
  <c r="G71" i="113"/>
  <c r="G81" i="113"/>
  <c r="I75" i="113"/>
  <c r="E100" i="113"/>
  <c r="G84" i="113"/>
  <c r="I91" i="113"/>
  <c r="I90" i="113"/>
  <c r="I70" i="113"/>
  <c r="E95" i="113"/>
  <c r="G95" i="113"/>
  <c r="G85" i="113"/>
  <c r="I99" i="113"/>
  <c r="E104" i="113"/>
  <c r="G86" i="113"/>
  <c r="E78" i="113"/>
  <c r="I92" i="113"/>
  <c r="I78" i="113"/>
  <c r="E73" i="113"/>
  <c r="E97" i="113"/>
  <c r="G79" i="113"/>
  <c r="E72" i="113"/>
  <c r="G64" i="113"/>
  <c r="G88" i="113"/>
  <c r="I73" i="113"/>
  <c r="I69" i="113"/>
  <c r="E75" i="113"/>
  <c r="G83" i="113"/>
  <c r="I89" i="113"/>
  <c r="I81" i="113"/>
  <c r="L47" i="113" l="1"/>
  <c r="J56" i="113"/>
  <c r="J45" i="113"/>
  <c r="J48" i="113"/>
  <c r="J51" i="113"/>
  <c r="J53" i="113"/>
  <c r="J54" i="113"/>
  <c r="J55" i="113"/>
  <c r="J46" i="113"/>
  <c r="J47" i="113"/>
  <c r="J49" i="113"/>
  <c r="J50" i="113"/>
  <c r="J52" i="113"/>
  <c r="J44" i="113"/>
  <c r="G44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<sst xmlns="http://schemas.openxmlformats.org/spreadsheetml/2006/main" count="70" uniqueCount="60">
  <si>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</si>
  <si>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</si>
  <si>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</si>
  <si>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</si>
  <si>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</si>
  <si>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</si>
  <si>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</si>
  <si>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</si>
  <si>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</si>
  <si>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</si>
  <si>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</si>
  <si>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</si>
  <si>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</si>
  <si>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</si>
  <si>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</si>
  <si>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</si>
  <si>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</si>
  <si>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</si>
  <si>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</si>
  <si>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</si>
  <si>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</si>
  <si>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</si>
  <si>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</si>
  <si>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</si>
  <si>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</si>
  <si>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</si>
  <si>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</si>
  <si>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</si>
  <si>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</si>
  <si>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</si>
  <si>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</si>
  <si>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</si>
  <si>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</si>
  <si>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</si>
  <si>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</si>
  <si>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</si>
  <si>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</si>
  <si>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</si>
  <si>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</si>
  <si>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</si>
  <si>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</si>
  <si>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</si>
  <si>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</si>
  <si>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</si>
  <si>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</si>
  <si>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</si>
  <si>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</si>
  <si>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</si>
  <si>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</si>
  <si>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</si>
  <si>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</si>
  <si>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</si>
  <si>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</si>
  <si>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</si>
  <si>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</si>
  <si>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</si>
  <si>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</si>
  <si>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</si>
  <si>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</si>
  <si>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7.27b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</si>
</sst>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000"/>
    <numFmt numFmtId="167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6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167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2.9291248984321951</c:v>
                </c:pt>
                <c:pt idx="1">
                  <c:v>14.025469474396965</c:v>
                </c:pt>
                <c:pt idx="2">
                  <c:v>20.077112425871082</c:v>
                </c:pt>
                <c:pt idx="3">
                  <c:v>24.556731829897252</c:v>
                </c:pt>
                <c:pt idx="4">
                  <c:v>28.318011508370674</c:v>
                </c:pt>
                <c:pt idx="5">
                  <c:v>31.654766664293152</c:v>
                </c:pt>
                <c:pt idx="6">
                  <c:v>34.708485434692811</c:v>
                </c:pt>
                <c:pt idx="7">
                  <c:v>37.559609232621895</c:v>
                </c:pt>
                <c:pt idx="8">
                  <c:v>40.258772999578625</c:v>
                </c:pt>
                <c:pt idx="9">
                  <c:v>42.840140639044719</c:v>
                </c:pt>
                <c:pt idx="10">
                  <c:v>45.327958170604376</c:v>
                </c:pt>
                <c:pt idx="11">
                  <c:v>47.740108882116417</c:v>
                </c:pt>
                <c:pt idx="12">
                  <c:v>50.09018975839038</c:v>
                </c:pt>
                <c:pt idx="13">
                  <c:v>52.388795857392836</c:v>
                </c:pt>
                <c:pt idx="14">
                  <c:v>54.644352142336025</c:v>
                </c:pt>
                <c:pt idx="15">
                  <c:v>56.863672932803539</c:v>
                </c:pt>
                <c:pt idx="16">
                  <c:v>59.052350220388981</c:v>
                </c:pt>
                <c:pt idx="17">
                  <c:v>61.215030512671177</c:v>
                </c:pt>
                <c:pt idx="18">
                  <c:v>63.355616801927496</c:v>
                </c:pt>
                <c:pt idx="19">
                  <c:v>65.477418888256253</c:v>
                </c:pt>
                <c:pt idx="20">
                  <c:v>67.583267246067436</c:v>
                </c:pt>
                <c:pt idx="21">
                  <c:v>69.675600626399358</c:v>
                </c:pt>
                <c:pt idx="22">
                  <c:v>71.756534393011236</c:v>
                </c:pt>
                <c:pt idx="23">
                  <c:v>73.827914495708271</c:v>
                </c:pt>
                <c:pt idx="24">
                  <c:v>75.891360579926328</c:v>
                </c:pt>
                <c:pt idx="25">
                  <c:v>77.94830077073793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3.851752276265795</c:v>
                </c:pt>
                <c:pt idx="1">
                  <c:v>14.063623308335886</c:v>
                </c:pt>
                <c:pt idx="2">
                  <c:v>20.007006168674437</c:v>
                </c:pt>
                <c:pt idx="3">
                  <c:v>24.438631888680764</c:v>
                </c:pt>
                <c:pt idx="4">
                  <c:v>28.175096503823021</c:v>
                </c:pt>
                <c:pt idx="5">
                  <c:v>31.499753200100677</c:v>
                </c:pt>
                <c:pt idx="6">
                  <c:v>34.549406840116738</c:v>
                </c:pt>
                <c:pt idx="7">
                  <c:v>37.401912581268355</c:v>
                </c:pt>
                <c:pt idx="8">
                  <c:v>40.106291829841965</c:v>
                </c:pt>
                <c:pt idx="9">
                  <c:v>42.695618189871922</c:v>
                </c:pt>
                <c:pt idx="10">
                  <c:v>45.193358367196836</c:v>
                </c:pt>
                <c:pt idx="11">
                  <c:v>47.616814951777428</c:v>
                </c:pt>
                <c:pt idx="12">
                  <c:v>49.97913815731377</c:v>
                </c:pt>
                <c:pt idx="13">
                  <c:v>52.290570491876075</c:v>
                </c:pt>
                <c:pt idx="14">
                  <c:v>54.559252952423279</c:v>
                </c:pt>
                <c:pt idx="15">
                  <c:v>56.7917672280633</c:v>
                </c:pt>
                <c:pt idx="16">
                  <c:v>58.993512011347221</c:v>
                </c:pt>
                <c:pt idx="17">
                  <c:v>61.168971245487818</c:v>
                </c:pt>
                <c:pt idx="18">
                  <c:v>63.321909785072421</c:v>
                </c:pt>
                <c:pt idx="19">
                  <c:v>65.455518992522897</c:v>
                </c:pt>
                <c:pt idx="20">
                  <c:v>67.572526997570407</c:v>
                </c:pt>
                <c:pt idx="21">
                  <c:v>67.808488054387695</c:v>
                </c:pt>
                <c:pt idx="22">
                  <c:v>67.808488054387695</c:v>
                </c:pt>
                <c:pt idx="23">
                  <c:v>67.808488054387695</c:v>
                </c:pt>
                <c:pt idx="24">
                  <c:v>67.808488054387695</c:v>
                </c:pt>
                <c:pt idx="25">
                  <c:v>67.808488054387695</c:v>
                </c:pt>
                <c:pt idx="26">
                  <c:v>67.808488054387695</c:v>
                </c:pt>
                <c:pt idx="27">
                  <c:v>67.808488054387695</c:v>
                </c:pt>
                <c:pt idx="28">
                  <c:v>67.808488054387695</c:v>
                </c:pt>
                <c:pt idx="29">
                  <c:v>67.808488054387695</c:v>
                </c:pt>
                <c:pt idx="30">
                  <c:v>67.808488054387695</c:v>
                </c:pt>
                <c:pt idx="31">
                  <c:v>67.808488054387695</c:v>
                </c:pt>
                <c:pt idx="32">
                  <c:v>67.808488054387695</c:v>
                </c:pt>
                <c:pt idx="33">
                  <c:v>67.808488054387695</c:v>
                </c:pt>
                <c:pt idx="34">
                  <c:v>67.808488054387695</c:v>
                </c:pt>
                <c:pt idx="35">
                  <c:v>67.808488054387695</c:v>
                </c:pt>
                <c:pt idx="36">
                  <c:v>67.808488054387695</c:v>
                </c:pt>
                <c:pt idx="37">
                  <c:v>67.808488054387695</c:v>
                </c:pt>
                <c:pt idx="38">
                  <c:v>67.808488054387695</c:v>
                </c:pt>
                <c:pt idx="39">
                  <c:v>67.808488054387695</c:v>
                </c:pt>
                <c:pt idx="40">
                  <c:v>67.808488054387695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1.0534793197722099</c:v>
                </c:pt>
                <c:pt idx="1">
                  <c:v>1.0745707595560308</c:v>
                </c:pt>
                <c:pt idx="2">
                  <c:v>1.0860687398903428</c:v>
                </c:pt>
                <c:pt idx="3">
                  <c:v>1.0945670800978287</c:v>
                </c:pt>
                <c:pt idx="4">
                  <c:v>1.1016936726520925</c:v>
                </c:pt>
                <c:pt idx="5">
                  <c:v>1.108010039961971</c:v>
                </c:pt>
                <c:pt idx="6">
                  <c:v>1.1137870821394629</c:v>
                </c:pt>
                <c:pt idx="7">
                  <c:v>1.1191790701560145</c:v>
                </c:pt>
                <c:pt idx="8">
                  <c:v>1.1242832605479003</c:v>
                </c:pt>
                <c:pt idx="9">
                  <c:v>1.1291653680241753</c:v>
                </c:pt>
                <c:pt idx="10">
                  <c:v>1.133872094217149</c:v>
                </c:pt>
                <c:pt idx="11">
                  <c:v>1.1384379302441208</c:v>
                </c:pt>
                <c:pt idx="12">
                  <c:v>1.1428891335019504</c:v>
                </c:pt>
                <c:pt idx="13">
                  <c:v>1.1472461884692586</c:v>
                </c:pt>
                <c:pt idx="14">
                  <c:v>1.151525402384681</c:v>
                </c:pt>
                <c:pt idx="15">
                  <c:v>1.1557399788210321</c:v>
                </c:pt>
                <c:pt idx="16">
                  <c:v>1.1599007634081808</c:v>
                </c:pt>
                <c:pt idx="17">
                  <c:v>1.1640167758232913</c:v>
                </c:pt>
                <c:pt idx="18">
                  <c:v>1.168095598136343</c:v>
                </c:pt>
                <c:pt idx="19">
                  <c:v>1.1721436640218439</c:v>
                </c:pt>
                <c:pt idx="20">
                  <c:v>1.176166477818833</c:v>
                </c:pt>
                <c:pt idx="21">
                  <c:v>1.1801687837719308</c:v>
                </c:pt>
                <c:pt idx="22">
                  <c:v>1.1841546969982912</c:v>
                </c:pt>
                <c:pt idx="23">
                  <c:v>1.1881278080109134</c:v>
                </c:pt>
                <c:pt idx="24">
                  <c:v>1.1920912657717289</c:v>
                </c:pt>
                <c:pt idx="25">
                  <c:v>1.1960478448257466</c:v>
                </c:pt>
                <c:pt idx="26">
                  <c:v>1.2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1.0555807213977733</c:v>
                </c:pt>
                <c:pt idx="1">
                  <c:v>1.0750755510291399</c:v>
                </c:pt>
                <c:pt idx="2">
                  <c:v>1.086385298132859</c:v>
                </c:pt>
                <c:pt idx="3">
                  <c:v>1.0947914498540861</c:v>
                </c:pt>
                <c:pt idx="4">
                  <c:v>1.1018614602939507</c:v>
                </c:pt>
                <c:pt idx="5">
                  <c:v>1.1081403970756796</c:v>
                </c:pt>
                <c:pt idx="6">
                  <c:v>1.1138918789622003</c:v>
                </c:pt>
                <c:pt idx="7">
                  <c:v>1.1192661571531943</c:v>
                </c:pt>
                <c:pt idx="8">
                  <c:v>1.1243579657381357</c:v>
                </c:pt>
                <c:pt idx="9">
                  <c:v>1.1292312986647768</c:v>
                </c:pt>
                <c:pt idx="10">
                  <c:v>1.1339316128377357</c:v>
                </c:pt>
                <c:pt idx="11">
                  <c:v>1.1384924591119772</c:v>
                </c:pt>
                <c:pt idx="12">
                  <c:v>1.142939360537673</c:v>
                </c:pt>
                <c:pt idx="13">
                  <c:v>1.1472922127166834</c:v>
                </c:pt>
                <c:pt idx="14">
                  <c:v>1.1515668404095629</c:v>
                </c:pt>
                <c:pt idx="15">
                  <c:v>1.1557760447870327</c:v>
                </c:pt>
                <c:pt idx="16">
                  <c:v>1.1599303307914706</c:v>
                </c:pt>
                <c:pt idx="17">
                  <c:v>1.1640384259447589</c:v>
                </c:pt>
                <c:pt idx="18">
                  <c:v>1.1681076589951795</c:v>
                </c:pt>
                <c:pt idx="19">
                  <c:v>1.1721442418423851</c:v>
                </c:pt>
                <c:pt idx="20">
                  <c:v>1.1761534830224201</c:v>
                </c:pt>
                <c:pt idx="21">
                  <c:v>1.175097135295091</c:v>
                </c:pt>
                <c:pt idx="22">
                  <c:v>1.1735515231382441</c:v>
                </c:pt>
                <c:pt idx="23">
                  <c:v>1.1721420875772401</c:v>
                </c:pt>
                <c:pt idx="24">
                  <c:v>1.1708515920476066</c:v>
                </c:pt>
                <c:pt idx="25">
                  <c:v>1.1696655910471789</c:v>
                </c:pt>
                <c:pt idx="26">
                  <c:v>1.1685718872044479</c:v>
                </c:pt>
                <c:pt idx="27">
                  <c:v>1.1675601103326312</c:v>
                </c:pt>
                <c:pt idx="28">
                  <c:v>1.1666213876490772</c:v>
                </c:pt>
                <c:pt idx="29">
                  <c:v>1.1657480829286837</c:v>
                </c:pt>
                <c:pt idx="30">
                  <c:v>1.1649335883469651</c:v>
                </c:pt>
                <c:pt idx="31">
                  <c:v>1.1641721570006729</c:v>
                </c:pt>
                <c:pt idx="32">
                  <c:v>1.1634587671247727</c:v>
                </c:pt>
                <c:pt idx="33">
                  <c:v>1.1627890112214734</c:v>
                </c:pt>
                <c:pt idx="34">
                  <c:v>1.1621590049272827</c:v>
                </c:pt>
                <c:pt idx="35">
                  <c:v>1.1615653116367675</c:v>
                </c:pt>
                <c:pt idx="36">
                  <c:v>1.1610048797937544</c:v>
                </c:pt>
                <c:pt idx="37">
                  <c:v>1.1604749904340479</c:v>
                </c:pt>
                <c:pt idx="38">
                  <c:v>1.1599732130763449</c:v>
                </c:pt>
                <c:pt idx="39">
                  <c:v>1.1594973684514469</c:v>
                </c:pt>
                <c:pt idx="40">
                  <c:v>1.1590454968640966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2.8476871180848411</c:v>
                </c:pt>
                <c:pt idx="1">
                  <c:v>2.3222995895515348</c:v>
                </c:pt>
                <c:pt idx="2">
                  <c:v>2.1019909299492414</c:v>
                </c:pt>
                <c:pt idx="3">
                  <c:v>1.9607425936276848</c:v>
                </c:pt>
                <c:pt idx="4">
                  <c:v>1.8540070777883308</c:v>
                </c:pt>
                <c:pt idx="5">
                  <c:v>1.7671669805480328</c:v>
                </c:pt>
                <c:pt idx="6">
                  <c:v>1.6934285220110266</c:v>
                </c:pt>
                <c:pt idx="7">
                  <c:v>1.62903883759919</c:v>
                </c:pt>
                <c:pt idx="8">
                  <c:v>1.5716921345481176</c:v>
                </c:pt>
                <c:pt idx="9">
                  <c:v>1.5198645383346323</c:v>
                </c:pt>
                <c:pt idx="10">
                  <c:v>1.4724936864408851</c:v>
                </c:pt>
                <c:pt idx="11">
                  <c:v>1.4288080030285084</c:v>
                </c:pt>
                <c:pt idx="12">
                  <c:v>1.3882286099614078</c:v>
                </c:pt>
                <c:pt idx="13">
                  <c:v>1.3503095663952329</c:v>
                </c:pt>
                <c:pt idx="14">
                  <c:v>1.3146997056296075</c:v>
                </c:pt>
                <c:pt idx="15">
                  <c:v>1.2811173035174945</c:v>
                </c:pt>
                <c:pt idx="16">
                  <c:v>1.2493327112094554</c:v>
                </c:pt>
                <c:pt idx="17">
                  <c:v>1.2191561162889226</c:v>
                </c:pt>
                <c:pt idx="18">
                  <c:v>1.1904287113561383</c:v>
                </c:pt>
                <c:pt idx="19">
                  <c:v>1.1630161887657864</c:v>
                </c:pt>
                <c:pt idx="20">
                  <c:v>1.1368038613363898</c:v>
                </c:pt>
                <c:pt idx="21">
                  <c:v>1.1116929435173677</c:v>
                </c:pt>
                <c:pt idx="22">
                  <c:v>1.0875976762256556</c:v>
                </c:pt>
                <c:pt idx="23">
                  <c:v>1.0644430752602296</c:v>
                </c:pt>
                <c:pt idx="24">
                  <c:v>1.0421631475190973</c:v>
                </c:pt>
                <c:pt idx="25">
                  <c:v>1.0206994629052299</c:v>
                </c:pt>
                <c:pt idx="26">
                  <c:v>1</c:v>
                </c:pt>
                <c:pt idx="27">
                  <c:v>1.0051959994727173</c:v>
                </c:pt>
                <c:pt idx="28">
                  <c:v>1.0103919989454346</c:v>
                </c:pt>
                <c:pt idx="29">
                  <c:v>1.0155879984181517</c:v>
                </c:pt>
                <c:pt idx="30">
                  <c:v>1.020783997890869</c:v>
                </c:pt>
                <c:pt idx="31">
                  <c:v>1.0259799973635864</c:v>
                </c:pt>
                <c:pt idx="32">
                  <c:v>1.0311759968363035</c:v>
                </c:pt>
                <c:pt idx="33">
                  <c:v>1.0363719963090205</c:v>
                </c:pt>
                <c:pt idx="34">
                  <c:v>1.0415679957817379</c:v>
                </c:pt>
                <c:pt idx="35">
                  <c:v>1.0467639952544552</c:v>
                </c:pt>
                <c:pt idx="36">
                  <c:v>1.0519599947271723</c:v>
                </c:pt>
                <c:pt idx="37">
                  <c:v>1.0571559941998896</c:v>
                </c:pt>
                <c:pt idx="38">
                  <c:v>1.0623519936726069</c:v>
                </c:pt>
                <c:pt idx="39">
                  <c:v>1.067547993145324</c:v>
                </c:pt>
                <c:pt idx="40">
                  <c:v>1.0727439926180413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2.7979268759536842</c:v>
                </c:pt>
                <c:pt idx="1">
                  <c:v>2.3221053444635631</c:v>
                </c:pt>
                <c:pt idx="2">
                  <c:v>2.105531570163182</c:v>
                </c:pt>
                <c:pt idx="3">
                  <c:v>1.9653745075632065</c:v>
                </c:pt>
                <c:pt idx="4">
                  <c:v>1.8589386091459201</c:v>
                </c:pt>
                <c:pt idx="5">
                  <c:v>1.7720561606359164</c:v>
                </c:pt>
                <c:pt idx="6">
                  <c:v>1.6981071226869693</c:v>
                </c:pt>
                <c:pt idx="7">
                  <c:v>1.6334213267942668</c:v>
                </c:pt>
                <c:pt idx="8">
                  <c:v>1.5757372635163447</c:v>
                </c:pt>
                <c:pt idx="9">
                  <c:v>1.5235565504245003</c:v>
                </c:pt>
                <c:pt idx="10">
                  <c:v>1.4758321670454357</c:v>
                </c:pt>
                <c:pt idx="11">
                  <c:v>1.4318019964193653</c:v>
                </c:pt>
                <c:pt idx="12">
                  <c:v>1.3908930270789051</c:v>
                </c:pt>
                <c:pt idx="13">
                  <c:v>1.3526629038858045</c:v>
                </c:pt>
                <c:pt idx="14">
                  <c:v>1.3167625540815098</c:v>
                </c:pt>
                <c:pt idx="15">
                  <c:v>1.2829113502724128</c:v>
                </c:pt>
                <c:pt idx="16">
                  <c:v>1.2508800635035404</c:v>
                </c:pt>
                <c:pt idx="17">
                  <c:v>1.220478837582174</c:v>
                </c:pt>
                <c:pt idx="18">
                  <c:v>1.1915485027765162</c:v>
                </c:pt>
                <c:pt idx="19">
                  <c:v>1.1639541711921075</c:v>
                </c:pt>
                <c:pt idx="20">
                  <c:v>1.1375804283558024</c:v>
                </c:pt>
                <c:pt idx="21">
                  <c:v>1.1407077334140643</c:v>
                </c:pt>
                <c:pt idx="22">
                  <c:v>1.1474716177470987</c:v>
                </c:pt>
                <c:pt idx="23">
                  <c:v>1.1542355020801329</c:v>
                </c:pt>
                <c:pt idx="24">
                  <c:v>1.1609993864131671</c:v>
                </c:pt>
                <c:pt idx="25">
                  <c:v>1.1677632707462013</c:v>
                </c:pt>
                <c:pt idx="26">
                  <c:v>1.1745271550792356</c:v>
                </c:pt>
                <c:pt idx="27">
                  <c:v>1.1812910394122698</c:v>
                </c:pt>
                <c:pt idx="28">
                  <c:v>1.1880549237453042</c:v>
                </c:pt>
                <c:pt idx="29">
                  <c:v>1.1948188080783384</c:v>
                </c:pt>
                <c:pt idx="30">
                  <c:v>1.2015826924113726</c:v>
                </c:pt>
                <c:pt idx="31">
                  <c:v>1.208346576744407</c:v>
                </c:pt>
                <c:pt idx="32">
                  <c:v>1.2151104610774413</c:v>
                </c:pt>
                <c:pt idx="33">
                  <c:v>1.2218743454104755</c:v>
                </c:pt>
                <c:pt idx="34">
                  <c:v>1.2286382297435097</c:v>
                </c:pt>
                <c:pt idx="35">
                  <c:v>1.2354021140765439</c:v>
                </c:pt>
                <c:pt idx="36">
                  <c:v>1.2421659984095783</c:v>
                </c:pt>
                <c:pt idx="37">
                  <c:v>1.2489298827426125</c:v>
                </c:pt>
                <c:pt idx="38">
                  <c:v>1.2556937670756467</c:v>
                </c:pt>
                <c:pt idx="39">
                  <c:v>1.2624576514086809</c:v>
                </c:pt>
                <c:pt idx="40">
                  <c:v>1.2692215357417154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27</xdr:row>
      <xdr:rowOff>65314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A10" zoomScale="85" zoomScaleNormal="85" workbookViewId="0">
      <selection activeCell="F24" sqref="F24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1.3320312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7.27b</v>
      </c>
      <c r="H1" s="14" t="s">
        <v>31</v>
      </c>
      <c r="I1" s="18">
        <v>44311</v>
      </c>
      <c r="J1" s="19"/>
      <c r="K1" s="19"/>
      <c r="L1" s="20"/>
    </row>
    <row r="2" spans="1:12" x14ac:dyDescent="0.25">
      <c r="A2" t="s">
        <v>21</v>
      </c>
      <c r="H2" s="14" t="s">
        <v>32</v>
      </c>
      <c r="I2" s="21" t="s">
        <v>59</v>
      </c>
      <c r="J2" s="16"/>
      <c r="K2" s="16"/>
      <c r="L2" s="17"/>
    </row>
    <row r="3" spans="1:12" ht="14.4" x14ac:dyDescent="0.3">
      <c r="A3" s="15" t="s">
        <v>25</v>
      </c>
      <c r="B3" s="57" t="s">
        <v>57</v>
      </c>
      <c r="C3" s="57"/>
      <c r="D3" s="57"/>
      <c r="E3" s="58"/>
      <c r="H3" s="15" t="s">
        <v>25</v>
      </c>
      <c r="I3" s="59" t="s">
        <v>57</v>
      </c>
      <c r="J3" s="59"/>
      <c r="K3" s="59"/>
      <c r="L3" s="59"/>
    </row>
    <row r="4" spans="1:12" ht="14.4" x14ac:dyDescent="0.3">
      <c r="A4" s="15" t="s">
        <v>28</v>
      </c>
      <c r="B4" s="57" t="s">
        <v>29</v>
      </c>
      <c r="C4" s="57"/>
      <c r="D4" s="57"/>
      <c r="E4" s="58"/>
      <c r="H4" s="15" t="s">
        <v>28</v>
      </c>
      <c r="I4" s="60" t="s">
        <v>29</v>
      </c>
      <c r="J4" s="60"/>
      <c r="K4" s="60"/>
      <c r="L4" s="60"/>
    </row>
    <row r="5" spans="1:12" ht="14.4" x14ac:dyDescent="0.3">
      <c r="A5" s="15" t="s">
        <v>33</v>
      </c>
      <c r="B5" s="57" t="s">
        <v>27</v>
      </c>
      <c r="C5" s="57"/>
      <c r="D5" s="57"/>
      <c r="E5" s="58"/>
      <c r="H5" s="15" t="s">
        <v>33</v>
      </c>
      <c r="I5" s="60" t="s">
        <v>27</v>
      </c>
      <c r="J5" s="60"/>
      <c r="K5" s="60"/>
      <c r="L5" s="60"/>
    </row>
    <row r="6" spans="1:12" x14ac:dyDescent="0.25">
      <c r="A6" s="43" t="s">
        <v>26</v>
      </c>
      <c r="B6" s="46" t="s">
        <v>30</v>
      </c>
      <c r="C6" s="47"/>
      <c r="D6" s="47"/>
      <c r="E6" s="48"/>
      <c r="H6" s="55" t="s">
        <v>26</v>
      </c>
      <c r="I6" s="56" t="s">
        <v>30</v>
      </c>
      <c r="J6" s="56"/>
      <c r="K6" s="56"/>
      <c r="L6" s="56"/>
    </row>
    <row r="7" spans="1:12" x14ac:dyDescent="0.25">
      <c r="A7" s="44"/>
      <c r="B7" s="49"/>
      <c r="C7" s="50"/>
      <c r="D7" s="50"/>
      <c r="E7" s="51"/>
      <c r="H7" s="55"/>
      <c r="I7" s="56"/>
      <c r="J7" s="56"/>
      <c r="K7" s="56"/>
      <c r="L7" s="56"/>
    </row>
    <row r="8" spans="1:12" x14ac:dyDescent="0.25">
      <c r="A8" s="45"/>
      <c r="B8" s="52"/>
      <c r="C8" s="53"/>
      <c r="D8" s="53"/>
      <c r="E8" s="54"/>
      <c r="H8" s="55"/>
      <c r="I8" s="56"/>
      <c r="J8" s="56"/>
      <c r="K8" s="56"/>
      <c r="L8" s="56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38</v>
      </c>
      <c r="C20" s="2">
        <v>15</v>
      </c>
      <c r="D20" s="5"/>
    </row>
    <row r="21" spans="2:6" ht="15.6" x14ac:dyDescent="0.35">
      <c r="B21" s="5" t="s">
        <v>39</v>
      </c>
      <c r="C21" s="2">
        <v>1</v>
      </c>
      <c r="D21" s="5"/>
    </row>
    <row r="22" spans="2:6" ht="15.6" x14ac:dyDescent="0.35">
      <c r="B22" s="5" t="s">
        <v>40</v>
      </c>
      <c r="C22" s="2">
        <v>80</v>
      </c>
      <c r="D22" s="5"/>
    </row>
    <row r="23" spans="2:6" ht="15.6" x14ac:dyDescent="0.35">
      <c r="B23" s="5" t="s">
        <v>41</v>
      </c>
      <c r="C23" s="2">
        <v>1000</v>
      </c>
      <c r="D23" s="5"/>
    </row>
    <row r="24" spans="2:6" ht="14.4" x14ac:dyDescent="0.3">
      <c r="B24" s="33"/>
      <c r="C24" s="34"/>
      <c r="D24" s="33"/>
    </row>
    <row r="25" spans="2:6" ht="14.4" x14ac:dyDescent="0.3">
      <c r="B25" s="5" t="s">
        <v>43</v>
      </c>
      <c r="C25" s="2">
        <v>0.2</v>
      </c>
      <c r="D25" s="33"/>
    </row>
    <row r="26" spans="2:6" ht="14.4" x14ac:dyDescent="0.3">
      <c r="B26" s="5" t="s">
        <v>44</v>
      </c>
      <c r="C26" s="2">
        <v>9</v>
      </c>
      <c r="D26" s="33"/>
    </row>
    <row r="27" spans="2:6" ht="14.4" x14ac:dyDescent="0.3">
      <c r="B27" s="5" t="s">
        <v>45</v>
      </c>
      <c r="C27" s="2">
        <v>90</v>
      </c>
      <c r="D27" s="33"/>
    </row>
    <row r="29" spans="2:6" x14ac:dyDescent="0.25">
      <c r="B29" s="41" t="s">
        <v>34</v>
      </c>
      <c r="C29" s="42"/>
      <c r="D29" s="28" t="str" cm="1">
        <f t="array" ref="D29">[1]!encode_json(B30:C32)</f>
        <v>{"show_log":1,"PVT_correlation":1,"gas_goes_into_solution":1}</v>
      </c>
      <c r="E29" s="12"/>
      <c r="F29" s="12"/>
    </row>
    <row r="30" spans="2:6" x14ac:dyDescent="0.25">
      <c r="B30" s="27" t="s">
        <v>35</v>
      </c>
      <c r="C30" s="27">
        <v>1</v>
      </c>
    </row>
    <row r="31" spans="2:6" x14ac:dyDescent="0.25">
      <c r="B31" s="27" t="s">
        <v>37</v>
      </c>
      <c r="C31" s="27">
        <v>1</v>
      </c>
    </row>
    <row r="32" spans="2:6" x14ac:dyDescent="0.25">
      <c r="B32" s="27" t="s">
        <v>55</v>
      </c>
      <c r="C32" s="27">
        <v>1</v>
      </c>
    </row>
    <row r="34" spans="2:16" ht="15" customHeight="1" x14ac:dyDescent="0.25">
      <c r="B34" s="29" t="s">
        <v>23</v>
      </c>
      <c r="C34" s="31"/>
      <c r="D34" s="30" t="str">
        <f>[1]!encode_PVT(gamma_gas_,gamma_oil_,gamma_wat_,Rsb_,Pb_,Tres_,Bob_,muob_,C31)</f>
        <v>{"gamma_gas":0.9,"gamma_oil":0.9,"gamma_wat":1.1,"rsb_m3m3":80,"pb_atma":130,"t_res_C":90,"bob_m3m3":1.2,"muob_cP":1,"PVT_corr_set":1}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9" t="s">
        <v>42</v>
      </c>
      <c r="C35" s="31"/>
      <c r="D35" s="30" t="str" cm="1">
        <f t="array" ref="D35">[1]!encode_feed(Qliq,fw,rp,Qgas,PVT_str_)</f>
        <v>{"gamma_gas":0.9,"gamma_oil":0.9,"gamma_wat":1.1,"rsb_m3m3":80,"pb_atma":130,"t_res_C":90,"bob_m3m3":1.2,"muob_cP":1,"PVT_corr_set":1,"q_liq_sm3day":15,"fw_perc":1,"rp_m3m3":80,"q_gas_free_sm3day":1000}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B37" s="36" t="s">
        <v>58</v>
      </c>
      <c r="C37" s="31"/>
      <c r="D37" s="37" t="str" cm="1">
        <f t="array" ref="D37:E38">[1]!feed_mod_separate_gas(Ksep,Psep,Tsep,feed_,param)</f>
        <v>{"gamma_gas":0.9,"gamma_oil":0.9,"gamma_wat":1.1,"rsb_m3m3":67.8084880543877,"pb_atma":100.559486910889,"t_res_C":90,"bob_m3m3":1.17660061220997,"muob_cP":1.13470071003125,"PVT_corr_set":1,"gamma_gas":0.9,"gamma_oil":0.9,"gamma_wat":1.1,"rsb_m3m3":67.8084880543877,"pb_atma":100.559486910889,"t_res_C":90,"bob_m3m3":1.17660061220997,"muob_cP":1.13470071003125,"PVT_corr_set":1,"q_liq_sm3day":15,"fw_perc":1,"rp_m3m3":67.8084880543877,"q_gas_free_sm3day":800}</v>
      </c>
      <c r="E37" s="19" t="str">
        <v>["CPVT object created "]</v>
      </c>
      <c r="F37" s="20"/>
    </row>
    <row r="38" spans="2:16" x14ac:dyDescent="0.25">
      <c r="B38" s="29"/>
      <c r="C38" s="31"/>
      <c r="D38" s="38" t="str">
        <v>fluid after separation</v>
      </c>
      <c r="E38" s="39" t="str">
        <v>log</v>
      </c>
      <c r="F38" s="40"/>
    </row>
    <row r="42" spans="2:16" x14ac:dyDescent="0.25">
      <c r="B42" t="s">
        <v>47</v>
      </c>
      <c r="D42" t="s">
        <v>46</v>
      </c>
      <c r="G42" t="s">
        <v>50</v>
      </c>
      <c r="J42" t="s">
        <v>51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62">
        <v>0.9</v>
      </c>
      <c r="G44" t="str" cm="1">
        <f t="array" ref="G44:H56">[1]!decode_json(PVT_mod,,,,0)</f>
        <v>gamma_gas</v>
      </c>
      <c r="H44" s="62">
        <v>0.9</v>
      </c>
      <c r="J44" s="35">
        <f>(H44-E44)/H44</f>
        <v>0</v>
      </c>
    </row>
    <row r="45" spans="2:16" x14ac:dyDescent="0.25">
      <c r="B45" t="str">
        <v>gamma_oil</v>
      </c>
      <c r="C45">
        <v>0.9</v>
      </c>
      <c r="D45" t="str">
        <v>gamma_oil</v>
      </c>
      <c r="E45" s="62">
        <v>0.9</v>
      </c>
      <c r="G45" t="str">
        <v>gamma_oil</v>
      </c>
      <c r="H45" s="62">
        <v>0.9</v>
      </c>
      <c r="J45" s="35">
        <f t="shared" ref="J45:J56" si="0">(H45-E45)/H45</f>
        <v>0</v>
      </c>
    </row>
    <row r="46" spans="2:16" x14ac:dyDescent="0.25">
      <c r="B46" t="str">
        <v>gamma_wat</v>
      </c>
      <c r="C46">
        <v>1.1000000000000001</v>
      </c>
      <c r="D46" t="str">
        <v>gamma_wat</v>
      </c>
      <c r="E46" s="62">
        <v>1.1000000000000001</v>
      </c>
      <c r="G46" t="str">
        <v>gamma_wat</v>
      </c>
      <c r="H46" s="62">
        <v>1.1000000000000001</v>
      </c>
      <c r="J46" s="35">
        <f t="shared" si="0"/>
        <v>0</v>
      </c>
    </row>
    <row r="47" spans="2:16" x14ac:dyDescent="0.25">
      <c r="B47" t="str">
        <v>rsb_m3m3</v>
      </c>
      <c r="C47">
        <v>80</v>
      </c>
      <c r="D47" t="str">
        <v>rsb_m3m3</v>
      </c>
      <c r="E47" s="62">
        <v>80</v>
      </c>
      <c r="G47" t="str">
        <v>rsb_m3m3</v>
      </c>
      <c r="H47" s="65">
        <v>67.808488054387695</v>
      </c>
      <c r="J47" s="35">
        <f t="shared" si="0"/>
        <v>-0.17979330162668961</v>
      </c>
      <c r="L47" s="61">
        <f>H47*1</f>
        <v>67.808488054387695</v>
      </c>
    </row>
    <row r="48" spans="2:16" x14ac:dyDescent="0.25">
      <c r="B48" t="str">
        <v>pb_atma</v>
      </c>
      <c r="C48">
        <v>130</v>
      </c>
      <c r="D48" t="str">
        <v>pb_atma</v>
      </c>
      <c r="E48" s="62">
        <v>130</v>
      </c>
      <c r="G48" t="str">
        <v>pb_atma</v>
      </c>
      <c r="H48" s="63">
        <v>100.55948691088901</v>
      </c>
      <c r="J48" s="35">
        <f t="shared" si="0"/>
        <v>-0.29276713707976415</v>
      </c>
    </row>
    <row r="49" spans="2:27" x14ac:dyDescent="0.25">
      <c r="B49" t="str">
        <v>t_res_C</v>
      </c>
      <c r="C49">
        <v>90</v>
      </c>
      <c r="D49" t="str">
        <v>t_res_C</v>
      </c>
      <c r="E49" s="62">
        <v>90</v>
      </c>
      <c r="G49" t="str">
        <v>t_res_C</v>
      </c>
      <c r="H49" s="63">
        <v>90</v>
      </c>
      <c r="J49" s="35">
        <f t="shared" si="0"/>
        <v>0</v>
      </c>
    </row>
    <row r="50" spans="2:27" x14ac:dyDescent="0.25">
      <c r="B50" t="str">
        <v>bob_m3m3</v>
      </c>
      <c r="C50">
        <v>1.2</v>
      </c>
      <c r="D50" t="str">
        <v>bob_m3m3</v>
      </c>
      <c r="E50" s="62">
        <v>1.2</v>
      </c>
      <c r="G50" t="str">
        <v>bob_m3m3</v>
      </c>
      <c r="H50" s="64">
        <v>1.1766006122099699</v>
      </c>
      <c r="J50" s="35">
        <f t="shared" si="0"/>
        <v>-1.9887281671628353E-2</v>
      </c>
    </row>
    <row r="51" spans="2:27" x14ac:dyDescent="0.25">
      <c r="B51" t="str">
        <v>muob_cP</v>
      </c>
      <c r="C51">
        <v>1</v>
      </c>
      <c r="D51" t="str">
        <v>muob_cP</v>
      </c>
      <c r="E51" s="62">
        <v>1</v>
      </c>
      <c r="G51" t="str">
        <v>muob_cP</v>
      </c>
      <c r="H51" s="64">
        <v>1.1347007100312501</v>
      </c>
      <c r="J51" s="35">
        <f t="shared" si="0"/>
        <v>0.11871034259557338</v>
      </c>
    </row>
    <row r="52" spans="2:27" x14ac:dyDescent="0.25">
      <c r="B52" t="str">
        <v>PVT_corr_set</v>
      </c>
      <c r="C52">
        <v>1</v>
      </c>
      <c r="D52" t="str">
        <v>PVT_corr_set</v>
      </c>
      <c r="E52" s="62">
        <v>1</v>
      </c>
      <c r="G52" t="str">
        <v>PVT_corr_set</v>
      </c>
      <c r="H52" s="62">
        <v>1</v>
      </c>
      <c r="J52" s="35">
        <f t="shared" si="0"/>
        <v>0</v>
      </c>
    </row>
    <row r="53" spans="2:27" x14ac:dyDescent="0.25">
      <c r="D53" t="str">
        <v>q_liq_sm3day</v>
      </c>
      <c r="E53" s="62">
        <v>15</v>
      </c>
      <c r="G53" t="str">
        <v>q_liq_sm3day</v>
      </c>
      <c r="H53" s="62">
        <v>15</v>
      </c>
      <c r="J53" s="35">
        <f t="shared" si="0"/>
        <v>0</v>
      </c>
    </row>
    <row r="54" spans="2:27" x14ac:dyDescent="0.25">
      <c r="D54" t="str">
        <v>fw_perc</v>
      </c>
      <c r="E54" s="62">
        <v>1</v>
      </c>
      <c r="G54" t="str">
        <v>fw_perc</v>
      </c>
      <c r="H54" s="63">
        <v>1</v>
      </c>
      <c r="J54" s="35">
        <f t="shared" si="0"/>
        <v>0</v>
      </c>
    </row>
    <row r="55" spans="2:27" x14ac:dyDescent="0.25">
      <c r="D55" t="str">
        <v>rp_m3m3</v>
      </c>
      <c r="E55" s="62">
        <v>80</v>
      </c>
      <c r="G55" t="str">
        <v>rp_m3m3</v>
      </c>
      <c r="H55" s="63">
        <v>67.808488054387695</v>
      </c>
      <c r="J55" s="35">
        <f t="shared" si="0"/>
        <v>-0.17979330162668961</v>
      </c>
    </row>
    <row r="56" spans="2:27" x14ac:dyDescent="0.25">
      <c r="D56" t="str">
        <v>q_gas_free_sm3day</v>
      </c>
      <c r="E56" s="62">
        <v>1000</v>
      </c>
      <c r="G56" t="str">
        <v>q_gas_free_sm3day</v>
      </c>
      <c r="H56" s="62">
        <v>800</v>
      </c>
      <c r="J56" s="35">
        <f t="shared" si="0"/>
        <v>-0.25</v>
      </c>
    </row>
    <row r="60" spans="2:27" x14ac:dyDescent="0.25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5">
      <c r="B61" t="s">
        <v>36</v>
      </c>
    </row>
    <row r="63" spans="2:27" s="22" customFormat="1" x14ac:dyDescent="0.25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 s="23">
        <f t="shared" ref="J63:Q63" si="1">J58</f>
        <v>0</v>
      </c>
      <c r="K63" s="23">
        <f t="shared" si="1"/>
        <v>0</v>
      </c>
      <c r="L63" s="23">
        <f t="shared" si="1"/>
        <v>0</v>
      </c>
      <c r="M63" s="23">
        <f t="shared" si="1"/>
        <v>0</v>
      </c>
      <c r="N63" s="23">
        <f t="shared" si="1"/>
        <v>0</v>
      </c>
      <c r="O63" s="23">
        <f t="shared" si="1"/>
        <v>0</v>
      </c>
      <c r="P63" s="23">
        <f t="shared" si="1"/>
        <v>0</v>
      </c>
      <c r="Q63" s="23">
        <f t="shared" si="1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32">
        <f>[1]!PVT_rs_m3m3(B64,C64,PVT_str_)</f>
        <v>2.9291248984321951</v>
      </c>
      <c r="E64" s="32">
        <f>[1]!PVT_rs_m3m3(B64,C64,PVT_mod)</f>
        <v>3.851752276265795</v>
      </c>
      <c r="F64" s="32">
        <f>[1]!PVT_bo_m3m3(B64,C64,PVT_str_)</f>
        <v>1.0534793197722099</v>
      </c>
      <c r="G64" s="32">
        <f>[1]!PVT_bo_m3m3(B64,C64,PVT_mod)</f>
        <v>1.0555807213977733</v>
      </c>
      <c r="H64" s="32">
        <f>[1]!PVT_mu_oil_cP(B64,C64,PVT_str_)</f>
        <v>2.8476871180848411</v>
      </c>
      <c r="I64" s="32">
        <f>[1]!PVT_mu_oil_cP(B64,C64,PVT_mod)</f>
        <v>2.7979268759536842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5">
      <c r="B65" s="9">
        <v>5</v>
      </c>
      <c r="C65" s="9">
        <v>90</v>
      </c>
      <c r="D65" s="32">
        <f>[1]!PVT_rs_m3m3(B65,C65,PVT_str_)</f>
        <v>14.025469474396965</v>
      </c>
      <c r="E65" s="32">
        <f>[1]!PVT_rs_m3m3(B65,C65,PVT_mod)</f>
        <v>14.063623308335886</v>
      </c>
      <c r="F65" s="32">
        <f>[1]!PVT_bo_m3m3(B65,C65,PVT_str_)</f>
        <v>1.0745707595560308</v>
      </c>
      <c r="G65" s="32">
        <f>[1]!PVT_bo_m3m3(B65,C65,PVT_mod)</f>
        <v>1.0750755510291399</v>
      </c>
      <c r="H65" s="32">
        <f>[1]!PVT_mu_oil_cP(B65,C65,PVT_str_)</f>
        <v>2.3222995895515348</v>
      </c>
      <c r="I65" s="32">
        <f>[1]!PVT_mu_oil_cP(B65,C65,PVT_mod)</f>
        <v>2.3221053444635631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5">
      <c r="B66" s="9">
        <v>10</v>
      </c>
      <c r="C66" s="9">
        <v>90</v>
      </c>
      <c r="D66" s="32">
        <f>[1]!PVT_rs_m3m3(B66,C66,PVT_str_)</f>
        <v>20.077112425871082</v>
      </c>
      <c r="E66" s="32">
        <f>[1]!PVT_rs_m3m3(B66,C66,PVT_mod)</f>
        <v>20.007006168674437</v>
      </c>
      <c r="F66" s="32">
        <f>[1]!PVT_bo_m3m3(B66,C66,PVT_str_)</f>
        <v>1.0860687398903428</v>
      </c>
      <c r="G66" s="32">
        <f>[1]!PVT_bo_m3m3(B66,C66,PVT_mod)</f>
        <v>1.086385298132859</v>
      </c>
      <c r="H66" s="32">
        <f>[1]!PVT_mu_oil_cP(B66,C66,PVT_str_)</f>
        <v>2.1019909299492414</v>
      </c>
      <c r="I66" s="32">
        <f>[1]!PVT_mu_oil_cP(B66,C66,PVT_mod)</f>
        <v>2.105531570163182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5">
      <c r="B67" s="9">
        <v>15</v>
      </c>
      <c r="C67" s="9">
        <v>90</v>
      </c>
      <c r="D67" s="32">
        <f>[1]!PVT_rs_m3m3(B67,C67,PVT_str_)</f>
        <v>24.556731829897252</v>
      </c>
      <c r="E67" s="32">
        <f>[1]!PVT_rs_m3m3(B67,C67,PVT_mod)</f>
        <v>24.438631888680764</v>
      </c>
      <c r="F67" s="32">
        <f>[1]!PVT_bo_m3m3(B67,C67,PVT_str_)</f>
        <v>1.0945670800978287</v>
      </c>
      <c r="G67" s="32">
        <f>[1]!PVT_bo_m3m3(B67,C67,PVT_mod)</f>
        <v>1.0947914498540861</v>
      </c>
      <c r="H67" s="32">
        <f>[1]!PVT_mu_oil_cP(B67,C67,PVT_str_)</f>
        <v>1.9607425936276848</v>
      </c>
      <c r="I67" s="32">
        <f>[1]!PVT_mu_oil_cP(B67,C67,PVT_mod)</f>
        <v>1.9653745075632065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5">
      <c r="B68" s="9">
        <v>20</v>
      </c>
      <c r="C68" s="9">
        <v>90</v>
      </c>
      <c r="D68" s="32">
        <f>[1]!PVT_rs_m3m3(B68,C68,PVT_str_)</f>
        <v>28.318011508370674</v>
      </c>
      <c r="E68" s="32">
        <f>[1]!PVT_rs_m3m3(B68,C68,PVT_mod)</f>
        <v>28.175096503823021</v>
      </c>
      <c r="F68" s="32">
        <f>[1]!PVT_bo_m3m3(B68,C68,PVT_str_)</f>
        <v>1.1016936726520925</v>
      </c>
      <c r="G68" s="32">
        <f>[1]!PVT_bo_m3m3(B68,C68,PVT_mod)</f>
        <v>1.1018614602939507</v>
      </c>
      <c r="H68" s="32">
        <f>[1]!PVT_mu_oil_cP(B68,C68,PVT_str_)</f>
        <v>1.8540070777883308</v>
      </c>
      <c r="I68" s="32">
        <f>[1]!PVT_mu_oil_cP(B68,C68,PVT_mod)</f>
        <v>1.8589386091459201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5">
      <c r="B69" s="9">
        <v>25</v>
      </c>
      <c r="C69" s="9">
        <v>90</v>
      </c>
      <c r="D69" s="32">
        <f>[1]!PVT_rs_m3m3(B69,C69,PVT_str_)</f>
        <v>31.654766664293152</v>
      </c>
      <c r="E69" s="32">
        <f>[1]!PVT_rs_m3m3(B69,C69,PVT_mod)</f>
        <v>31.499753200100677</v>
      </c>
      <c r="F69" s="32">
        <f>[1]!PVT_bo_m3m3(B69,C69,PVT_str_)</f>
        <v>1.108010039961971</v>
      </c>
      <c r="G69" s="32">
        <f>[1]!PVT_bo_m3m3(B69,C69,PVT_mod)</f>
        <v>1.1081403970756796</v>
      </c>
      <c r="H69" s="32">
        <f>[1]!PVT_mu_oil_cP(B69,C69,PVT_str_)</f>
        <v>1.7671669805480328</v>
      </c>
      <c r="I69" s="32">
        <f>[1]!PVT_mu_oil_cP(B69,C69,PVT_mod)</f>
        <v>1.7720561606359164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5">
      <c r="B70" s="9">
        <v>30</v>
      </c>
      <c r="C70" s="9">
        <v>90</v>
      </c>
      <c r="D70" s="32">
        <f>[1]!PVT_rs_m3m3(B70,C70,PVT_str_)</f>
        <v>34.708485434692811</v>
      </c>
      <c r="E70" s="32">
        <f>[1]!PVT_rs_m3m3(B70,C70,PVT_mod)</f>
        <v>34.549406840116738</v>
      </c>
      <c r="F70" s="32">
        <f>[1]!PVT_bo_m3m3(B70,C70,PVT_str_)</f>
        <v>1.1137870821394629</v>
      </c>
      <c r="G70" s="32">
        <f>[1]!PVT_bo_m3m3(B70,C70,PVT_mod)</f>
        <v>1.1138918789622003</v>
      </c>
      <c r="H70" s="32">
        <f>[1]!PVT_mu_oil_cP(B70,C70,PVT_str_)</f>
        <v>1.6934285220110266</v>
      </c>
      <c r="I70" s="32">
        <f>[1]!PVT_mu_oil_cP(B70,C70,PVT_mod)</f>
        <v>1.6981071226869693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5">
      <c r="B71" s="9">
        <v>35</v>
      </c>
      <c r="C71" s="9">
        <v>90</v>
      </c>
      <c r="D71" s="32">
        <f>[1]!PVT_rs_m3m3(B71,C71,PVT_str_)</f>
        <v>37.559609232621895</v>
      </c>
      <c r="E71" s="32">
        <f>[1]!PVT_rs_m3m3(B71,C71,PVT_mod)</f>
        <v>37.401912581268355</v>
      </c>
      <c r="F71" s="32">
        <f>[1]!PVT_bo_m3m3(B71,C71,PVT_str_)</f>
        <v>1.1191790701560145</v>
      </c>
      <c r="G71" s="32">
        <f>[1]!PVT_bo_m3m3(B71,C71,PVT_mod)</f>
        <v>1.1192661571531943</v>
      </c>
      <c r="H71" s="32">
        <f>[1]!PVT_mu_oil_cP(B71,C71,PVT_str_)</f>
        <v>1.62903883759919</v>
      </c>
      <c r="I71" s="32">
        <f>[1]!PVT_mu_oil_cP(B71,C71,PVT_mod)</f>
        <v>1.6334213267942668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5">
      <c r="B72" s="9">
        <v>40</v>
      </c>
      <c r="C72" s="9">
        <v>90</v>
      </c>
      <c r="D72" s="32">
        <f>[1]!PVT_rs_m3m3(B72,C72,PVT_str_)</f>
        <v>40.258772999578625</v>
      </c>
      <c r="E72" s="32">
        <f>[1]!PVT_rs_m3m3(B72,C72,PVT_mod)</f>
        <v>40.106291829841965</v>
      </c>
      <c r="F72" s="32">
        <f>[1]!PVT_bo_m3m3(B72,C72,PVT_str_)</f>
        <v>1.1242832605479003</v>
      </c>
      <c r="G72" s="32">
        <f>[1]!PVT_bo_m3m3(B72,C72,PVT_mod)</f>
        <v>1.1243579657381357</v>
      </c>
      <c r="H72" s="32">
        <f>[1]!PVT_mu_oil_cP(B72,C72,PVT_str_)</f>
        <v>1.5716921345481176</v>
      </c>
      <c r="I72" s="32">
        <f>[1]!PVT_mu_oil_cP(B72,C72,PVT_mod)</f>
        <v>1.5757372635163447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5">
      <c r="B73" s="9">
        <v>45</v>
      </c>
      <c r="C73" s="9">
        <v>90</v>
      </c>
      <c r="D73" s="32">
        <f>[1]!PVT_rs_m3m3(B73,C73,PVT_str_)</f>
        <v>42.840140639044719</v>
      </c>
      <c r="E73" s="32">
        <f>[1]!PVT_rs_m3m3(B73,C73,PVT_mod)</f>
        <v>42.695618189871922</v>
      </c>
      <c r="F73" s="32">
        <f>[1]!PVT_bo_m3m3(B73,C73,PVT_str_)</f>
        <v>1.1291653680241753</v>
      </c>
      <c r="G73" s="32">
        <f>[1]!PVT_bo_m3m3(B73,C73,PVT_mod)</f>
        <v>1.1292312986647768</v>
      </c>
      <c r="H73" s="32">
        <f>[1]!PVT_mu_oil_cP(B73,C73,PVT_str_)</f>
        <v>1.5198645383346323</v>
      </c>
      <c r="I73" s="32">
        <f>[1]!PVT_mu_oil_cP(B73,C73,PVT_mod)</f>
        <v>1.5235565504245003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5">
      <c r="B74" s="9">
        <v>50</v>
      </c>
      <c r="C74" s="9">
        <v>90</v>
      </c>
      <c r="D74" s="32">
        <f>[1]!PVT_rs_m3m3(B74,C74,PVT_str_)</f>
        <v>45.327958170604376</v>
      </c>
      <c r="E74" s="32">
        <f>[1]!PVT_rs_m3m3(B74,C74,PVT_mod)</f>
        <v>45.193358367196836</v>
      </c>
      <c r="F74" s="32">
        <f>[1]!PVT_bo_m3m3(B74,C74,PVT_str_)</f>
        <v>1.133872094217149</v>
      </c>
      <c r="G74" s="32">
        <f>[1]!PVT_bo_m3m3(B74,C74,PVT_mod)</f>
        <v>1.1339316128377357</v>
      </c>
      <c r="H74" s="32">
        <f>[1]!PVT_mu_oil_cP(B74,C74,PVT_str_)</f>
        <v>1.4724936864408851</v>
      </c>
      <c r="I74" s="32">
        <f>[1]!PVT_mu_oil_cP(B74,C74,PVT_mod)</f>
        <v>1.4758321670454357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5">
      <c r="B75" s="9">
        <v>55</v>
      </c>
      <c r="C75" s="9">
        <v>90</v>
      </c>
      <c r="D75" s="32">
        <f>[1]!PVT_rs_m3m3(B75,C75,PVT_str_)</f>
        <v>47.740108882116417</v>
      </c>
      <c r="E75" s="32">
        <f>[1]!PVT_rs_m3m3(B75,C75,PVT_mod)</f>
        <v>47.616814951777428</v>
      </c>
      <c r="F75" s="32">
        <f>[1]!PVT_bo_m3m3(B75,C75,PVT_str_)</f>
        <v>1.1384379302441208</v>
      </c>
      <c r="G75" s="32">
        <f>[1]!PVT_bo_m3m3(B75,C75,PVT_mod)</f>
        <v>1.1384924591119772</v>
      </c>
      <c r="H75" s="32">
        <f>[1]!PVT_mu_oil_cP(B75,C75,PVT_str_)</f>
        <v>1.4288080030285084</v>
      </c>
      <c r="I75" s="32">
        <f>[1]!PVT_mu_oil_cP(B75,C75,PVT_mod)</f>
        <v>1.4318019964193653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5">
      <c r="B76" s="9">
        <v>60</v>
      </c>
      <c r="C76" s="9">
        <v>90</v>
      </c>
      <c r="D76" s="32">
        <f>[1]!PVT_rs_m3m3(B76,C76,PVT_str_)</f>
        <v>50.09018975839038</v>
      </c>
      <c r="E76" s="32">
        <f>[1]!PVT_rs_m3m3(B76,C76,PVT_mod)</f>
        <v>49.97913815731377</v>
      </c>
      <c r="F76" s="32">
        <f>[1]!PVT_bo_m3m3(B76,C76,PVT_str_)</f>
        <v>1.1428891335019504</v>
      </c>
      <c r="G76" s="32">
        <f>[1]!PVT_bo_m3m3(B76,C76,PVT_mod)</f>
        <v>1.142939360537673</v>
      </c>
      <c r="H76" s="32">
        <f>[1]!PVT_mu_oil_cP(B76,C76,PVT_str_)</f>
        <v>1.3882286099614078</v>
      </c>
      <c r="I76" s="32">
        <f>[1]!PVT_mu_oil_cP(B76,C76,PVT_mod)</f>
        <v>1.3908930270789051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5">
      <c r="B77" s="9">
        <v>65</v>
      </c>
      <c r="C77" s="9">
        <v>90</v>
      </c>
      <c r="D77" s="32">
        <f>[1]!PVT_rs_m3m3(B77,C77,PVT_str_)</f>
        <v>52.388795857392836</v>
      </c>
      <c r="E77" s="32">
        <f>[1]!PVT_rs_m3m3(B77,C77,PVT_mod)</f>
        <v>52.290570491876075</v>
      </c>
      <c r="F77" s="32">
        <f>[1]!PVT_bo_m3m3(B77,C77,PVT_str_)</f>
        <v>1.1472461884692586</v>
      </c>
      <c r="G77" s="32">
        <f>[1]!PVT_bo_m3m3(B77,C77,PVT_mod)</f>
        <v>1.1472922127166834</v>
      </c>
      <c r="H77" s="32">
        <f>[1]!PVT_mu_oil_cP(B77,C77,PVT_str_)</f>
        <v>1.3503095663952329</v>
      </c>
      <c r="I77" s="32">
        <f>[1]!PVT_mu_oil_cP(B77,C77,PVT_mod)</f>
        <v>1.3526629038858045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5">
      <c r="B78" s="9">
        <v>70</v>
      </c>
      <c r="C78" s="9">
        <v>90</v>
      </c>
      <c r="D78" s="32">
        <f>[1]!PVT_rs_m3m3(B78,C78,PVT_str_)</f>
        <v>54.644352142336025</v>
      </c>
      <c r="E78" s="32">
        <f>[1]!PVT_rs_m3m3(B78,C78,PVT_mod)</f>
        <v>54.559252952423279</v>
      </c>
      <c r="F78" s="32">
        <f>[1]!PVT_bo_m3m3(B78,C78,PVT_str_)</f>
        <v>1.151525402384681</v>
      </c>
      <c r="G78" s="32">
        <f>[1]!PVT_bo_m3m3(B78,C78,PVT_mod)</f>
        <v>1.1515668404095629</v>
      </c>
      <c r="H78" s="32">
        <f>[1]!PVT_mu_oil_cP(B78,C78,PVT_str_)</f>
        <v>1.3146997056296075</v>
      </c>
      <c r="I78" s="32">
        <f>[1]!PVT_mu_oil_cP(B78,C78,PVT_mod)</f>
        <v>1.3167625540815098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5">
      <c r="B79" s="9">
        <v>75</v>
      </c>
      <c r="C79" s="9">
        <v>90</v>
      </c>
      <c r="D79" s="32">
        <f>[1]!PVT_rs_m3m3(B79,C79,PVT_str_)</f>
        <v>56.863672932803539</v>
      </c>
      <c r="E79" s="32">
        <f>[1]!PVT_rs_m3m3(B79,C79,PVT_mod)</f>
        <v>56.7917672280633</v>
      </c>
      <c r="F79" s="32">
        <f>[1]!PVT_bo_m3m3(B79,C79,PVT_str_)</f>
        <v>1.1557399788210321</v>
      </c>
      <c r="G79" s="32">
        <f>[1]!PVT_bo_m3m3(B79,C79,PVT_mod)</f>
        <v>1.1557760447870327</v>
      </c>
      <c r="H79" s="32">
        <f>[1]!PVT_mu_oil_cP(B79,C79,PVT_str_)</f>
        <v>1.2811173035174945</v>
      </c>
      <c r="I79" s="32">
        <f>[1]!PVT_mu_oil_cP(B79,C79,PVT_mod)</f>
        <v>1.2829113502724128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5">
      <c r="B80" s="9">
        <v>80</v>
      </c>
      <c r="C80" s="9">
        <v>90</v>
      </c>
      <c r="D80" s="32">
        <f>[1]!PVT_rs_m3m3(B80,C80,PVT_str_)</f>
        <v>59.052350220388981</v>
      </c>
      <c r="E80" s="32">
        <f>[1]!PVT_rs_m3m3(B80,C80,PVT_mod)</f>
        <v>58.993512011347221</v>
      </c>
      <c r="F80" s="32">
        <f>[1]!PVT_bo_m3m3(B80,C80,PVT_str_)</f>
        <v>1.1599007634081808</v>
      </c>
      <c r="G80" s="32">
        <f>[1]!PVT_bo_m3m3(B80,C80,PVT_mod)</f>
        <v>1.1599303307914706</v>
      </c>
      <c r="H80" s="32">
        <f>[1]!PVT_mu_oil_cP(B80,C80,PVT_str_)</f>
        <v>1.2493327112094554</v>
      </c>
      <c r="I80" s="32">
        <f>[1]!PVT_mu_oil_cP(B80,C80,PVT_mod)</f>
        <v>1.2508800635035404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5">
      <c r="B81" s="9">
        <v>85</v>
      </c>
      <c r="C81" s="9">
        <v>90</v>
      </c>
      <c r="D81" s="32">
        <f>[1]!PVT_rs_m3m3(B81,C81,PVT_str_)</f>
        <v>61.215030512671177</v>
      </c>
      <c r="E81" s="32">
        <f>[1]!PVT_rs_m3m3(B81,C81,PVT_mod)</f>
        <v>61.168971245487818</v>
      </c>
      <c r="F81" s="32">
        <f>[1]!PVT_bo_m3m3(B81,C81,PVT_str_)</f>
        <v>1.1640167758232913</v>
      </c>
      <c r="G81" s="32">
        <f>[1]!PVT_bo_m3m3(B81,C81,PVT_mod)</f>
        <v>1.1640384259447589</v>
      </c>
      <c r="H81" s="32">
        <f>[1]!PVT_mu_oil_cP(B81,C81,PVT_str_)</f>
        <v>1.2191561162889226</v>
      </c>
      <c r="I81" s="32">
        <f>[1]!PVT_mu_oil_cP(B81,C81,PVT_mod)</f>
        <v>1.220478837582174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5">
      <c r="B82" s="9">
        <v>90</v>
      </c>
      <c r="C82" s="9">
        <v>90</v>
      </c>
      <c r="D82" s="32">
        <f>[1]!PVT_rs_m3m3(B82,C82,PVT_str_)</f>
        <v>63.355616801927496</v>
      </c>
      <c r="E82" s="32">
        <f>[1]!PVT_rs_m3m3(B82,C82,PVT_mod)</f>
        <v>63.321909785072421</v>
      </c>
      <c r="F82" s="32">
        <f>[1]!PVT_bo_m3m3(B82,C82,PVT_str_)</f>
        <v>1.168095598136343</v>
      </c>
      <c r="G82" s="32">
        <f>[1]!PVT_bo_m3m3(B82,C82,PVT_mod)</f>
        <v>1.1681076589951795</v>
      </c>
      <c r="H82" s="32">
        <f>[1]!PVT_mu_oil_cP(B82,C82,PVT_str_)</f>
        <v>1.1904287113561383</v>
      </c>
      <c r="I82" s="32">
        <f>[1]!PVT_mu_oil_cP(B82,C82,PVT_mod)</f>
        <v>1.1915485027765162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5">
      <c r="B83" s="9">
        <v>95</v>
      </c>
      <c r="C83" s="9">
        <v>90</v>
      </c>
      <c r="D83" s="32">
        <f>[1]!PVT_rs_m3m3(B83,C83,PVT_str_)</f>
        <v>65.477418888256253</v>
      </c>
      <c r="E83" s="32">
        <f>[1]!PVT_rs_m3m3(B83,C83,PVT_mod)</f>
        <v>65.455518992522897</v>
      </c>
      <c r="F83" s="32">
        <f>[1]!PVT_bo_m3m3(B83,C83,PVT_str_)</f>
        <v>1.1721436640218439</v>
      </c>
      <c r="G83" s="32">
        <f>[1]!PVT_bo_m3m3(B83,C83,PVT_mod)</f>
        <v>1.1721442418423851</v>
      </c>
      <c r="H83" s="32">
        <f>[1]!PVT_mu_oil_cP(B83,C83,PVT_str_)</f>
        <v>1.1630161887657864</v>
      </c>
      <c r="I83" s="32">
        <f>[1]!PVT_mu_oil_cP(B83,C83,PVT_mod)</f>
        <v>1.1639541711921075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5">
      <c r="B84" s="9">
        <v>100</v>
      </c>
      <c r="C84" s="9">
        <v>90</v>
      </c>
      <c r="D84" s="32">
        <f>[1]!PVT_rs_m3m3(B84,C84,PVT_str_)</f>
        <v>67.583267246067436</v>
      </c>
      <c r="E84" s="32">
        <f>[1]!PVT_rs_m3m3(B84,C84,PVT_mod)</f>
        <v>67.572526997570407</v>
      </c>
      <c r="F84" s="32">
        <f>[1]!PVT_bo_m3m3(B84,C84,PVT_str_)</f>
        <v>1.176166477818833</v>
      </c>
      <c r="G84" s="32">
        <f>[1]!PVT_bo_m3m3(B84,C84,PVT_mod)</f>
        <v>1.1761534830224201</v>
      </c>
      <c r="H84" s="32">
        <f>[1]!PVT_mu_oil_cP(B84,C84,PVT_str_)</f>
        <v>1.1368038613363898</v>
      </c>
      <c r="I84" s="32">
        <f>[1]!PVT_mu_oil_cP(B84,C84,PVT_mod)</f>
        <v>1.1375804283558024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5">
      <c r="B85" s="9">
        <v>105</v>
      </c>
      <c r="C85" s="9">
        <v>90</v>
      </c>
      <c r="D85" s="32">
        <f>[1]!PVT_rs_m3m3(B85,C85,PVT_str_)</f>
        <v>69.675600626399358</v>
      </c>
      <c r="E85" s="32">
        <f>[1]!PVT_rs_m3m3(B85,C85,PVT_mod)</f>
        <v>67.808488054387695</v>
      </c>
      <c r="F85" s="32">
        <f>[1]!PVT_bo_m3m3(B85,C85,PVT_str_)</f>
        <v>1.1801687837719308</v>
      </c>
      <c r="G85" s="32">
        <f>[1]!PVT_bo_m3m3(B85,C85,PVT_mod)</f>
        <v>1.175097135295091</v>
      </c>
      <c r="H85" s="32">
        <f>[1]!PVT_mu_oil_cP(B85,C85,PVT_str_)</f>
        <v>1.1116929435173677</v>
      </c>
      <c r="I85" s="32">
        <f>[1]!PVT_mu_oil_cP(B85,C85,PVT_mod)</f>
        <v>1.1407077334140643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5">
      <c r="B86" s="9">
        <v>110</v>
      </c>
      <c r="C86" s="9">
        <v>90</v>
      </c>
      <c r="D86" s="32">
        <f>[1]!PVT_rs_m3m3(B86,C86,PVT_str_)</f>
        <v>71.756534393011236</v>
      </c>
      <c r="E86" s="32">
        <f>[1]!PVT_rs_m3m3(B86,C86,PVT_mod)</f>
        <v>67.808488054387695</v>
      </c>
      <c r="F86" s="32">
        <f>[1]!PVT_bo_m3m3(B86,C86,PVT_str_)</f>
        <v>1.1841546969982912</v>
      </c>
      <c r="G86" s="32">
        <f>[1]!PVT_bo_m3m3(B86,C86,PVT_mod)</f>
        <v>1.1735515231382441</v>
      </c>
      <c r="H86" s="32">
        <f>[1]!PVT_mu_oil_cP(B86,C86,PVT_str_)</f>
        <v>1.0875976762256556</v>
      </c>
      <c r="I86" s="32">
        <f>[1]!PVT_mu_oil_cP(B86,C86,PVT_mod)</f>
        <v>1.1474716177470987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5">
      <c r="B87" s="9">
        <v>115</v>
      </c>
      <c r="C87" s="9">
        <v>90</v>
      </c>
      <c r="D87" s="32">
        <f>[1]!PVT_rs_m3m3(B87,C87,PVT_str_)</f>
        <v>73.827914495708271</v>
      </c>
      <c r="E87" s="32">
        <f>[1]!PVT_rs_m3m3(B87,C87,PVT_mod)</f>
        <v>67.808488054387695</v>
      </c>
      <c r="F87" s="32">
        <f>[1]!PVT_bo_m3m3(B87,C87,PVT_str_)</f>
        <v>1.1881278080109134</v>
      </c>
      <c r="G87" s="32">
        <f>[1]!PVT_bo_m3m3(B87,C87,PVT_mod)</f>
        <v>1.1721420875772401</v>
      </c>
      <c r="H87" s="32">
        <f>[1]!PVT_mu_oil_cP(B87,C87,PVT_str_)</f>
        <v>1.0644430752602296</v>
      </c>
      <c r="I87" s="32">
        <f>[1]!PVT_mu_oil_cP(B87,C87,PVT_mod)</f>
        <v>1.1542355020801329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5">
      <c r="B88" s="9">
        <v>120</v>
      </c>
      <c r="C88" s="9">
        <v>90</v>
      </c>
      <c r="D88" s="32">
        <f>[1]!PVT_rs_m3m3(B88,C88,PVT_str_)</f>
        <v>75.891360579926328</v>
      </c>
      <c r="E88" s="32">
        <f>[1]!PVT_rs_m3m3(B88,C88,PVT_mod)</f>
        <v>67.808488054387695</v>
      </c>
      <c r="F88" s="32">
        <f>[1]!PVT_bo_m3m3(B88,C88,PVT_str_)</f>
        <v>1.1920912657717289</v>
      </c>
      <c r="G88" s="32">
        <f>[1]!PVT_bo_m3m3(B88,C88,PVT_mod)</f>
        <v>1.1708515920476066</v>
      </c>
      <c r="H88" s="32">
        <f>[1]!PVT_mu_oil_cP(B88,C88,PVT_str_)</f>
        <v>1.0421631475190973</v>
      </c>
      <c r="I88" s="32">
        <f>[1]!PVT_mu_oil_cP(B88,C88,PVT_mod)</f>
        <v>1.1609993864131671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5">
      <c r="B89" s="9">
        <v>125</v>
      </c>
      <c r="C89" s="9">
        <v>90</v>
      </c>
      <c r="D89" s="32">
        <f>[1]!PVT_rs_m3m3(B89,C89,PVT_str_)</f>
        <v>77.94830077073793</v>
      </c>
      <c r="E89" s="32">
        <f>[1]!PVT_rs_m3m3(B89,C89,PVT_mod)</f>
        <v>67.808488054387695</v>
      </c>
      <c r="F89" s="32">
        <f>[1]!PVT_bo_m3m3(B89,C89,PVT_str_)</f>
        <v>1.1960478448257466</v>
      </c>
      <c r="G89" s="32">
        <f>[1]!PVT_bo_m3m3(B89,C89,PVT_mod)</f>
        <v>1.1696655910471789</v>
      </c>
      <c r="H89" s="32">
        <f>[1]!PVT_mu_oil_cP(B89,C89,PVT_str_)</f>
        <v>1.0206994629052299</v>
      </c>
      <c r="I89" s="32">
        <f>[1]!PVT_mu_oil_cP(B89,C89,PVT_mod)</f>
        <v>1.1677632707462013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5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67.808488054387695</v>
      </c>
      <c r="F90" s="32">
        <f>[1]!PVT_bo_m3m3(B90,C90,PVT_str_)</f>
        <v>1.2</v>
      </c>
      <c r="G90" s="32">
        <f>[1]!PVT_bo_m3m3(B90,C90,PVT_mod)</f>
        <v>1.1685718872044479</v>
      </c>
      <c r="H90" s="32">
        <f>[1]!PVT_mu_oil_cP(B90,C90,PVT_str_)</f>
        <v>1</v>
      </c>
      <c r="I90" s="32">
        <f>[1]!PVT_mu_oil_cP(B90,C90,PVT_mod)</f>
        <v>1.1745271550792356</v>
      </c>
    </row>
    <row r="91" spans="2:17" x14ac:dyDescent="0.25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67.808488054387695</v>
      </c>
      <c r="F91" s="32">
        <f>[1]!PVT_bo_m3m3(B91,C91,PVT_str_)</f>
        <v>1.198504922255041</v>
      </c>
      <c r="G91" s="32">
        <f>[1]!PVT_bo_m3m3(B91,C91,PVT_mod)</f>
        <v>1.1675601103326312</v>
      </c>
      <c r="H91" s="32">
        <f>[1]!PVT_mu_oil_cP(B91,C91,PVT_str_)</f>
        <v>1.0051959994727173</v>
      </c>
      <c r="I91" s="32">
        <f>[1]!PVT_mu_oil_cP(B91,C91,PVT_mod)</f>
        <v>1.1812910394122698</v>
      </c>
    </row>
    <row r="92" spans="2:17" x14ac:dyDescent="0.25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67.808488054387695</v>
      </c>
      <c r="F92" s="32">
        <f>[1]!PVT_bo_m3m3(B92,C92,PVT_str_)</f>
        <v>1.1971183037168887</v>
      </c>
      <c r="G92" s="32">
        <f>[1]!PVT_bo_m3m3(B92,C92,PVT_mod)</f>
        <v>1.1666213876490772</v>
      </c>
      <c r="H92" s="32">
        <f>[1]!PVT_mu_oil_cP(B92,C92,PVT_str_)</f>
        <v>1.0103919989454346</v>
      </c>
      <c r="I92" s="32">
        <f>[1]!PVT_mu_oil_cP(B92,C92,PVT_mod)</f>
        <v>1.1880549237453042</v>
      </c>
    </row>
    <row r="93" spans="2:17" x14ac:dyDescent="0.25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67.808488054387695</v>
      </c>
      <c r="F93" s="32">
        <f>[1]!PVT_bo_m3m3(B93,C93,PVT_str_)</f>
        <v>1.1958287561970955</v>
      </c>
      <c r="G93" s="32">
        <f>[1]!PVT_bo_m3m3(B93,C93,PVT_mod)</f>
        <v>1.1657480829286837</v>
      </c>
      <c r="H93" s="32">
        <f>[1]!PVT_mu_oil_cP(B93,C93,PVT_str_)</f>
        <v>1.0155879984181517</v>
      </c>
      <c r="I93" s="32">
        <f>[1]!PVT_mu_oil_cP(B93,C93,PVT_mod)</f>
        <v>1.1948188080783384</v>
      </c>
    </row>
    <row r="94" spans="2:17" x14ac:dyDescent="0.25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67.808488054387695</v>
      </c>
      <c r="F94" s="32">
        <f>[1]!PVT_bo_m3m3(B94,C94,PVT_str_)</f>
        <v>1.1946264318307394</v>
      </c>
      <c r="G94" s="32">
        <f>[1]!PVT_bo_m3m3(B94,C94,PVT_mod)</f>
        <v>1.1649335883469651</v>
      </c>
      <c r="H94" s="32">
        <f>[1]!PVT_mu_oil_cP(B94,C94,PVT_str_)</f>
        <v>1.020783997890869</v>
      </c>
      <c r="I94" s="32">
        <f>[1]!PVT_mu_oil_cP(B94,C94,PVT_mod)</f>
        <v>1.2015826924113726</v>
      </c>
    </row>
    <row r="95" spans="2:17" x14ac:dyDescent="0.25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67.808488054387695</v>
      </c>
      <c r="F95" s="32">
        <f>[1]!PVT_bo_m3m3(B95,C95,PVT_str_)</f>
        <v>1.1935027711871058</v>
      </c>
      <c r="G95" s="32">
        <f>[1]!PVT_bo_m3m3(B95,C95,PVT_mod)</f>
        <v>1.1641721570006729</v>
      </c>
      <c r="H95" s="32">
        <f>[1]!PVT_mu_oil_cP(B95,C95,PVT_str_)</f>
        <v>1.0259799973635864</v>
      </c>
      <c r="I95" s="32">
        <f>[1]!PVT_mu_oil_cP(B95,C95,PVT_mod)</f>
        <v>1.208346576744407</v>
      </c>
    </row>
    <row r="96" spans="2:17" x14ac:dyDescent="0.25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67.808488054387695</v>
      </c>
      <c r="F96" s="32">
        <f>[1]!PVT_bo_m3m3(B96,C96,PVT_str_)</f>
        <v>1.1924502992419499</v>
      </c>
      <c r="G96" s="32">
        <f>[1]!PVT_bo_m3m3(B96,C96,PVT_mod)</f>
        <v>1.1634587671247727</v>
      </c>
      <c r="H96" s="32">
        <f>[1]!PVT_mu_oil_cP(B96,C96,PVT_str_)</f>
        <v>1.0311759968363035</v>
      </c>
      <c r="I96" s="32">
        <f>[1]!PVT_mu_oil_cP(B96,C96,PVT_mod)</f>
        <v>1.2151104610774413</v>
      </c>
    </row>
    <row r="97" spans="2:9" x14ac:dyDescent="0.25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67.808488054387695</v>
      </c>
      <c r="F97" s="32">
        <f>[1]!PVT_bo_m3m3(B97,C97,PVT_str_)</f>
        <v>1.191462458927677</v>
      </c>
      <c r="G97" s="32">
        <f>[1]!PVT_bo_m3m3(B97,C97,PVT_mod)</f>
        <v>1.1627890112214734</v>
      </c>
      <c r="H97" s="32">
        <f>[1]!PVT_mu_oil_cP(B97,C97,PVT_str_)</f>
        <v>1.0363719963090205</v>
      </c>
      <c r="I97" s="32">
        <f>[1]!PVT_mu_oil_cP(B97,C97,PVT_mod)</f>
        <v>1.2218743454104755</v>
      </c>
    </row>
    <row r="98" spans="2:9" x14ac:dyDescent="0.25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67.808488054387695</v>
      </c>
      <c r="F98" s="32">
        <f>[1]!PVT_bo_m3m3(B98,C98,PVT_str_)</f>
        <v>1.1905334744276832</v>
      </c>
      <c r="G98" s="32">
        <f>[1]!PVT_bo_m3m3(B98,C98,PVT_mod)</f>
        <v>1.1621590049272827</v>
      </c>
      <c r="H98" s="32">
        <f>[1]!PVT_mu_oil_cP(B98,C98,PVT_str_)</f>
        <v>1.0415679957817379</v>
      </c>
      <c r="I98" s="32">
        <f>[1]!PVT_mu_oil_cP(B98,C98,PVT_mod)</f>
        <v>1.2286382297435097</v>
      </c>
    </row>
    <row r="99" spans="2:9" x14ac:dyDescent="0.25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67.808488054387695</v>
      </c>
      <c r="F99" s="32">
        <f>[1]!PVT_bo_m3m3(B99,C99,PVT_str_)</f>
        <v>1.1896582381934191</v>
      </c>
      <c r="G99" s="32">
        <f>[1]!PVT_bo_m3m3(B99,C99,PVT_mod)</f>
        <v>1.1615653116367675</v>
      </c>
      <c r="H99" s="32">
        <f>[1]!PVT_mu_oil_cP(B99,C99,PVT_str_)</f>
        <v>1.0467639952544552</v>
      </c>
      <c r="I99" s="32">
        <f>[1]!PVT_mu_oil_cP(B99,C99,PVT_mod)</f>
        <v>1.2354021140765439</v>
      </c>
    </row>
    <row r="100" spans="2:9" x14ac:dyDescent="0.25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67.808488054387695</v>
      </c>
      <c r="F100" s="32">
        <f>[1]!PVT_bo_m3m3(B100,C100,PVT_str_)</f>
        <v>1.1888322170166392</v>
      </c>
      <c r="G100" s="32">
        <f>[1]!PVT_bo_m3m3(B100,C100,PVT_mod)</f>
        <v>1.1610048797937544</v>
      </c>
      <c r="H100" s="32">
        <f>[1]!PVT_mu_oil_cP(B100,C100,PVT_str_)</f>
        <v>1.0519599947271723</v>
      </c>
      <c r="I100" s="32">
        <f>[1]!PVT_mu_oil_cP(B100,C100,PVT_mod)</f>
        <v>1.2421659984095783</v>
      </c>
    </row>
    <row r="101" spans="2:9" x14ac:dyDescent="0.25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67.808488054387695</v>
      </c>
      <c r="F101" s="32">
        <f>[1]!PVT_bo_m3m3(B101,C101,PVT_str_)</f>
        <v>1.1880513735101232</v>
      </c>
      <c r="G101" s="32">
        <f>[1]!PVT_bo_m3m3(B101,C101,PVT_mod)</f>
        <v>1.1604749904340479</v>
      </c>
      <c r="H101" s="32">
        <f>[1]!PVT_mu_oil_cP(B101,C101,PVT_str_)</f>
        <v>1.0571559941998896</v>
      </c>
      <c r="I101" s="32">
        <f>[1]!PVT_mu_oil_cP(B101,C101,PVT_mod)</f>
        <v>1.2489298827426125</v>
      </c>
    </row>
    <row r="102" spans="2:9" x14ac:dyDescent="0.25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67.808488054387695</v>
      </c>
      <c r="F102" s="32">
        <f>[1]!PVT_bo_m3m3(B102,C102,PVT_str_)</f>
        <v>1.187312100126485</v>
      </c>
      <c r="G102" s="32">
        <f>[1]!PVT_bo_m3m3(B102,C102,PVT_mod)</f>
        <v>1.1599732130763449</v>
      </c>
      <c r="H102" s="32">
        <f>[1]!PVT_mu_oil_cP(B102,C102,PVT_str_)</f>
        <v>1.0623519936726069</v>
      </c>
      <c r="I102" s="32">
        <f>[1]!PVT_mu_oil_cP(B102,C102,PVT_mod)</f>
        <v>1.2556937670756467</v>
      </c>
    </row>
    <row r="103" spans="2:9" x14ac:dyDescent="0.25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67.808488054387695</v>
      </c>
      <c r="F103" s="32">
        <f>[1]!PVT_bo_m3m3(B103,C103,PVT_str_)</f>
        <v>1.1866111634399235</v>
      </c>
      <c r="G103" s="32">
        <f>[1]!PVT_bo_m3m3(B103,C103,PVT_mod)</f>
        <v>1.1594973684514469</v>
      </c>
      <c r="H103" s="32">
        <f>[1]!PVT_mu_oil_cP(B103,C103,PVT_str_)</f>
        <v>1.067547993145324</v>
      </c>
      <c r="I103" s="32">
        <f>[1]!PVT_mu_oil_cP(B103,C103,PVT_mod)</f>
        <v>1.2624576514086809</v>
      </c>
    </row>
    <row r="104" spans="2:9" x14ac:dyDescent="0.25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67.808488054387695</v>
      </c>
      <c r="F104" s="32">
        <f>[1]!PVT_bo_m3m3(B104,C104,PVT_str_)</f>
        <v>1.1859456568756555</v>
      </c>
      <c r="G104" s="32">
        <f>[1]!PVT_bo_m3m3(B104,C104,PVT_mod)</f>
        <v>1.1590454968640966</v>
      </c>
      <c r="H104" s="32">
        <f>[1]!PVT_mu_oil_cP(B104,C104,PVT_str_)</f>
        <v>1.0727439926180413</v>
      </c>
      <c r="I104" s="32">
        <f>[1]!PVT_mu_oil_cP(B104,C104,PVT_mod)</f>
        <v>1.2692215357417154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2021-04-25T07:11:11Z</dcterms:modified>
</cp:coreProperties>
</file>