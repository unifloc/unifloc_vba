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E:\unifloc\unifloc_vba\examples\"/>
    </mc:Choice>
  </mc:AlternateContent>
  <xr:revisionPtr revIDLastSave="0" documentId="13_ncr:1_{131A46A3-9449-4F01-BB13-6A6564E7805F}" xr6:coauthVersionLast="47" xr6:coauthVersionMax="47" xr10:uidLastSave="{00000000-0000-0000-0000-000000000000}"/>
  <bookViews>
    <workbookView xWindow="5670" yWindow="3435" windowWidth="29820" windowHeight="16815" xr2:uid="{EE106F5C-C164-43E7-9390-4D56CDC14BEB}"/>
  </bookViews>
  <sheets>
    <sheet name="сепарация газа" sheetId="1" r:id="rId1"/>
  </sheets>
  <externalReferences>
    <externalReference r:id="rId2"/>
  </externalReferences>
  <definedNames>
    <definedName name="feed_json">'сепарация газа'!$C$19</definedName>
    <definedName name="feed_sep_gas">'сепарация газа'!$C$30</definedName>
    <definedName name="linspace">'сепарация газа'!$G$8</definedName>
    <definedName name="PVT_json">'сепарация газа'!$C$14</definedName>
    <definedName name="T_C">'сепарация газа'!$G$10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" l="1"/>
  <c r="D73" i="1" s="1"/>
  <c r="E53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5" i="1"/>
  <c r="G8" i="1"/>
  <c r="B74" i="1" s="1" a="1"/>
  <c r="C14" i="1"/>
  <c r="C19" i="1" s="1"/>
  <c r="K1" i="1" a="1"/>
  <c r="B35" i="1" a="1"/>
  <c r="I5" i="1" a="1"/>
  <c r="I34" i="1" a="1"/>
  <c r="B54" i="1" a="1"/>
  <c r="B81" i="1" l="1"/>
  <c r="B80" i="1"/>
  <c r="B79" i="1"/>
  <c r="B82" i="1"/>
  <c r="B78" i="1"/>
  <c r="B88" i="1"/>
  <c r="B76" i="1"/>
  <c r="B85" i="1"/>
  <c r="B89" i="1"/>
  <c r="B77" i="1"/>
  <c r="B87" i="1"/>
  <c r="B75" i="1"/>
  <c r="B86" i="1"/>
  <c r="B74" i="1"/>
  <c r="B84" i="1"/>
  <c r="B83" i="1"/>
  <c r="B60" i="1"/>
  <c r="B58" i="1"/>
  <c r="B59" i="1"/>
  <c r="B69" i="1"/>
  <c r="B57" i="1"/>
  <c r="B63" i="1"/>
  <c r="B68" i="1"/>
  <c r="B56" i="1"/>
  <c r="B67" i="1"/>
  <c r="B55" i="1"/>
  <c r="B66" i="1"/>
  <c r="B54" i="1"/>
  <c r="B65" i="1"/>
  <c r="B64" i="1"/>
  <c r="B62" i="1"/>
  <c r="B61" i="1"/>
  <c r="C28" i="1"/>
  <c r="C35" i="1"/>
  <c r="C41" i="1"/>
  <c r="C47" i="1"/>
  <c r="B42" i="1"/>
  <c r="B43" i="1"/>
  <c r="C37" i="1"/>
  <c r="C43" i="1"/>
  <c r="B38" i="1"/>
  <c r="C38" i="1"/>
  <c r="B39" i="1"/>
  <c r="B45" i="1"/>
  <c r="C39" i="1"/>
  <c r="C45" i="1"/>
  <c r="B40" i="1"/>
  <c r="B46" i="1"/>
  <c r="B36" i="1"/>
  <c r="C46" i="1"/>
  <c r="B41" i="1"/>
  <c r="C36" i="1"/>
  <c r="C42" i="1"/>
  <c r="B37" i="1"/>
  <c r="B44" i="1"/>
  <c r="C44" i="1"/>
  <c r="C40" i="1"/>
  <c r="B35" i="1"/>
  <c r="B47" i="1"/>
  <c r="I40" i="1"/>
  <c r="I39" i="1"/>
  <c r="I38" i="1"/>
  <c r="I41" i="1"/>
  <c r="I49" i="1"/>
  <c r="I37" i="1"/>
  <c r="I48" i="1"/>
  <c r="I36" i="1"/>
  <c r="I44" i="1"/>
  <c r="I47" i="1"/>
  <c r="I35" i="1"/>
  <c r="I46" i="1"/>
  <c r="I34" i="1"/>
  <c r="I42" i="1"/>
  <c r="I45" i="1"/>
  <c r="I43" i="1"/>
  <c r="I7" i="1"/>
  <c r="I19" i="1"/>
  <c r="I20" i="1"/>
  <c r="I9" i="1"/>
  <c r="I10" i="1"/>
  <c r="I11" i="1"/>
  <c r="I12" i="1"/>
  <c r="I13" i="1"/>
  <c r="I15" i="1"/>
  <c r="I16" i="1"/>
  <c r="I5" i="1"/>
  <c r="I17" i="1"/>
  <c r="I6" i="1"/>
  <c r="I18" i="1"/>
  <c r="I8" i="1"/>
  <c r="I14" i="1"/>
  <c r="K1" i="1"/>
  <c r="H68" i="1" a="1"/>
  <c r="H56" i="1" a="1"/>
  <c r="H67" i="1" a="1"/>
  <c r="H65" i="1" a="1"/>
  <c r="H64" i="1" a="1"/>
  <c r="H59" i="1" a="1"/>
  <c r="H69" i="1" a="1"/>
  <c r="H63" i="1" a="1"/>
  <c r="H55" i="1" a="1"/>
  <c r="H66" i="1" a="1"/>
  <c r="H54" i="1" a="1"/>
  <c r="H60" i="1" a="1"/>
  <c r="H58" i="1" a="1"/>
  <c r="H62" i="1" a="1"/>
  <c r="H61" i="1" a="1"/>
  <c r="H57" i="1" a="1"/>
  <c r="D30" i="1"/>
  <c r="D58" i="1" a="1"/>
  <c r="F58" i="1" a="1"/>
  <c r="D64" i="1" a="1"/>
  <c r="F64" i="1" a="1"/>
  <c r="L20" i="1" a="1"/>
  <c r="M20" i="1" a="1"/>
  <c r="K20" i="1" a="1"/>
  <c r="M8" i="1" a="1"/>
  <c r="L8" i="1" a="1"/>
  <c r="K8" i="1" a="1"/>
  <c r="M14" i="1" a="1"/>
  <c r="L14" i="1" a="1"/>
  <c r="K14" i="1" a="1"/>
  <c r="D61" i="1" a="1"/>
  <c r="F61" i="1" a="1"/>
  <c r="L10" i="1" a="1"/>
  <c r="M10" i="1" a="1"/>
  <c r="K10" i="1" a="1"/>
  <c r="D57" i="1" a="1"/>
  <c r="F57" i="1" a="1"/>
  <c r="L11" i="1" a="1"/>
  <c r="M11" i="1" a="1"/>
  <c r="K11" i="1" a="1"/>
  <c r="D63" i="1" a="1"/>
  <c r="F63" i="1" a="1"/>
  <c r="L12" i="1" a="1"/>
  <c r="M12" i="1" a="1"/>
  <c r="K12" i="1" a="1"/>
  <c r="D56" i="1" a="1"/>
  <c r="F56" i="1" a="1"/>
  <c r="D67" i="1" a="1"/>
  <c r="F67" i="1" a="1"/>
  <c r="M5" i="1" a="1"/>
  <c r="L5" i="1" a="1"/>
  <c r="K5" i="1" a="1"/>
  <c r="D59" i="1" a="1"/>
  <c r="F59" i="1" a="1"/>
  <c r="D62" i="1" a="1"/>
  <c r="F62" i="1" a="1"/>
  <c r="L9" i="1" a="1"/>
  <c r="M9" i="1" a="1"/>
  <c r="K9" i="1" a="1"/>
  <c r="D69" i="1" a="1"/>
  <c r="F69" i="1" a="1"/>
  <c r="D68" i="1" a="1"/>
  <c r="F68" i="1" a="1"/>
  <c r="M13" i="1" a="1"/>
  <c r="L13" i="1" a="1"/>
  <c r="K13" i="1" a="1"/>
  <c r="L15" i="1" a="1"/>
  <c r="M15" i="1" a="1"/>
  <c r="K15" i="1" a="1"/>
  <c r="L16" i="1" a="1"/>
  <c r="M16" i="1" a="1"/>
  <c r="K16" i="1" a="1"/>
  <c r="M17" i="1" a="1"/>
  <c r="L17" i="1" a="1"/>
  <c r="K17" i="1" a="1"/>
  <c r="L19" i="1" a="1"/>
  <c r="M19" i="1" a="1"/>
  <c r="K19" i="1" a="1"/>
  <c r="D66" i="1" a="1"/>
  <c r="F66" i="1" a="1"/>
  <c r="L6" i="1" a="1"/>
  <c r="M6" i="1" a="1"/>
  <c r="K6" i="1" a="1"/>
  <c r="D65" i="1" a="1"/>
  <c r="F65" i="1" a="1"/>
  <c r="D55" i="1" a="1"/>
  <c r="F55" i="1" a="1"/>
  <c r="D54" i="1" a="1"/>
  <c r="F54" i="1" a="1"/>
  <c r="L7" i="1" a="1"/>
  <c r="M7" i="1" a="1"/>
  <c r="K7" i="1" a="1"/>
  <c r="D60" i="1" a="1"/>
  <c r="F60" i="1" a="1"/>
  <c r="L18" i="1" a="1"/>
  <c r="M18" i="1" a="1"/>
  <c r="K18" i="1" a="1"/>
  <c r="C30" i="1"/>
  <c r="K34" i="1" a="1"/>
  <c r="L34" i="1" a="1"/>
  <c r="M34" i="1" a="1"/>
  <c r="K46" i="1" a="1"/>
  <c r="M47" i="1" a="1"/>
  <c r="L49" i="1" a="1"/>
  <c r="L47" i="1" a="1"/>
  <c r="M44" i="1" a="1"/>
  <c r="M40" i="1" a="1"/>
  <c r="M38" i="1" a="1"/>
  <c r="M36" i="1" a="1"/>
  <c r="K48" i="1" a="1"/>
  <c r="M42" i="1" a="1"/>
  <c r="M48" i="1" a="1"/>
  <c r="M46" i="1" a="1"/>
  <c r="L48" i="1" a="1"/>
  <c r="L42" i="1" a="1"/>
  <c r="L38" i="1" a="1"/>
  <c r="L36" i="1" a="1"/>
  <c r="L46" i="1" a="1"/>
  <c r="L44" i="1" a="1"/>
  <c r="L40" i="1" a="1"/>
  <c r="K42" i="1" a="1"/>
  <c r="K38" i="1" a="1"/>
  <c r="K36" i="1" a="1"/>
  <c r="K44" i="1" a="1"/>
  <c r="K40" i="1" a="1"/>
  <c r="M43" i="1" a="1"/>
  <c r="M41" i="1" a="1"/>
  <c r="M39" i="1" a="1"/>
  <c r="M37" i="1" a="1"/>
  <c r="M35" i="1" a="1"/>
  <c r="M49" i="1" a="1"/>
  <c r="M45" i="1" a="1"/>
  <c r="L43" i="1" a="1"/>
  <c r="L45" i="1" a="1"/>
  <c r="L41" i="1" a="1"/>
  <c r="L39" i="1" a="1"/>
  <c r="L37" i="1" a="1"/>
  <c r="L35" i="1" a="1"/>
  <c r="K49" i="1" a="1"/>
  <c r="K47" i="1" a="1"/>
  <c r="K45" i="1" a="1"/>
  <c r="K43" i="1" a="1"/>
  <c r="K41" i="1" a="1"/>
  <c r="K39" i="1" a="1"/>
  <c r="K37" i="1" a="1"/>
  <c r="K35" i="1" a="1"/>
  <c r="D35" i="1" a="1"/>
  <c r="E54" i="1" a="1"/>
  <c r="E67" i="1" a="1"/>
  <c r="E64" i="1" a="1"/>
  <c r="E61" i="1" a="1"/>
  <c r="E58" i="1" a="1"/>
  <c r="E55" i="1" a="1"/>
  <c r="E60" i="1" a="1"/>
  <c r="E69" i="1" a="1"/>
  <c r="E68" i="1" a="1"/>
  <c r="E66" i="1" a="1"/>
  <c r="E63" i="1" a="1"/>
  <c r="E57" i="1" a="1"/>
  <c r="E65" i="1" a="1"/>
  <c r="E62" i="1" a="1"/>
  <c r="E59" i="1" a="1"/>
  <c r="E56" i="1" a="1"/>
  <c r="G60" i="1" a="1"/>
  <c r="G54" i="1" a="1"/>
  <c r="G55" i="1" a="1"/>
  <c r="G65" i="1" a="1"/>
  <c r="G66" i="1" a="1"/>
  <c r="G68" i="1" a="1"/>
  <c r="G69" i="1" a="1"/>
  <c r="G62" i="1" a="1"/>
  <c r="G59" i="1" a="1"/>
  <c r="G67" i="1" a="1"/>
  <c r="G56" i="1" a="1"/>
  <c r="G63" i="1" a="1"/>
  <c r="G57" i="1" a="1"/>
  <c r="G61" i="1" a="1"/>
  <c r="G64" i="1" a="1"/>
  <c r="G58" i="1" a="1"/>
  <c r="I54" i="1" a="1"/>
  <c r="I66" i="1" a="1"/>
  <c r="I69" i="1" a="1"/>
  <c r="I57" i="1" a="1"/>
  <c r="I63" i="1" a="1"/>
  <c r="I68" i="1" a="1"/>
  <c r="I65" i="1" a="1"/>
  <c r="I62" i="1" a="1"/>
  <c r="I59" i="1" a="1"/>
  <c r="I56" i="1" a="1"/>
  <c r="I60" i="1" a="1"/>
  <c r="I67" i="1" a="1"/>
  <c r="I64" i="1" a="1"/>
  <c r="I61" i="1" a="1"/>
  <c r="I58" i="1" a="1"/>
  <c r="I55" i="1" a="1"/>
  <c r="D74" i="1" a="1"/>
  <c r="E74" i="1" a="1"/>
  <c r="F74" i="1" a="1"/>
  <c r="F77" i="1" a="1"/>
  <c r="E87" i="1" a="1"/>
  <c r="E85" i="1" a="1"/>
  <c r="E83" i="1" a="1"/>
  <c r="E81" i="1" a="1"/>
  <c r="E77" i="1" a="1"/>
  <c r="E75" i="1" a="1"/>
  <c r="D89" i="1" a="1"/>
  <c r="D87" i="1" a="1"/>
  <c r="D85" i="1" a="1"/>
  <c r="D83" i="1" a="1"/>
  <c r="D81" i="1" a="1"/>
  <c r="D79" i="1" a="1"/>
  <c r="D77" i="1" a="1"/>
  <c r="D75" i="1" a="1"/>
  <c r="F78" i="1" a="1"/>
  <c r="F76" i="1" a="1"/>
  <c r="F86" i="1" a="1"/>
  <c r="F82" i="1" a="1"/>
  <c r="F84" i="1" a="1"/>
  <c r="F88" i="1" a="1"/>
  <c r="F80" i="1" a="1"/>
  <c r="E88" i="1" a="1"/>
  <c r="E86" i="1" a="1"/>
  <c r="E84" i="1" a="1"/>
  <c r="E82" i="1" a="1"/>
  <c r="E80" i="1" a="1"/>
  <c r="E78" i="1" a="1"/>
  <c r="E76" i="1" a="1"/>
  <c r="D88" i="1" a="1"/>
  <c r="D86" i="1" a="1"/>
  <c r="D84" i="1" a="1"/>
  <c r="D82" i="1" a="1"/>
  <c r="D80" i="1" a="1"/>
  <c r="D78" i="1" a="1"/>
  <c r="D76" i="1" a="1"/>
  <c r="F75" i="1" a="1"/>
  <c r="E89" i="1" a="1"/>
  <c r="F85" i="1" a="1"/>
  <c r="F89" i="1" a="1"/>
  <c r="F87" i="1" a="1"/>
  <c r="F83" i="1" a="1"/>
  <c r="F81" i="1" a="1"/>
  <c r="F79" i="1" a="1"/>
  <c r="E79" i="1" a="1"/>
  <c r="H57" i="1" l="1"/>
  <c r="H61" i="1"/>
  <c r="H62" i="1"/>
  <c r="H58" i="1"/>
  <c r="H60" i="1"/>
  <c r="H54" i="1"/>
  <c r="H66" i="1"/>
  <c r="H55" i="1"/>
  <c r="H63" i="1"/>
  <c r="H69" i="1"/>
  <c r="H59" i="1"/>
  <c r="H64" i="1"/>
  <c r="H65" i="1"/>
  <c r="H67" i="1"/>
  <c r="H56" i="1"/>
  <c r="H68" i="1"/>
  <c r="E79" i="1"/>
  <c r="F79" i="1"/>
  <c r="F81" i="1"/>
  <c r="F83" i="1"/>
  <c r="F87" i="1"/>
  <c r="F89" i="1"/>
  <c r="F85" i="1"/>
  <c r="E89" i="1"/>
  <c r="F75" i="1"/>
  <c r="D76" i="1"/>
  <c r="D78" i="1"/>
  <c r="D80" i="1"/>
  <c r="D82" i="1"/>
  <c r="D84" i="1"/>
  <c r="D86" i="1"/>
  <c r="D88" i="1"/>
  <c r="E76" i="1"/>
  <c r="E78" i="1"/>
  <c r="E80" i="1"/>
  <c r="E82" i="1"/>
  <c r="E84" i="1"/>
  <c r="E86" i="1"/>
  <c r="E88" i="1"/>
  <c r="F80" i="1"/>
  <c r="F88" i="1"/>
  <c r="F84" i="1"/>
  <c r="F82" i="1"/>
  <c r="F86" i="1"/>
  <c r="F76" i="1"/>
  <c r="F78" i="1"/>
  <c r="D75" i="1"/>
  <c r="D77" i="1"/>
  <c r="D79" i="1"/>
  <c r="D81" i="1"/>
  <c r="D83" i="1"/>
  <c r="D85" i="1"/>
  <c r="D87" i="1"/>
  <c r="D89" i="1"/>
  <c r="E75" i="1"/>
  <c r="E77" i="1"/>
  <c r="E81" i="1"/>
  <c r="E83" i="1"/>
  <c r="E85" i="1"/>
  <c r="E87" i="1"/>
  <c r="F77" i="1"/>
  <c r="F74" i="1"/>
  <c r="E74" i="1"/>
  <c r="D74" i="1"/>
  <c r="I55" i="1"/>
  <c r="I58" i="1"/>
  <c r="I61" i="1"/>
  <c r="I64" i="1"/>
  <c r="I67" i="1"/>
  <c r="I60" i="1"/>
  <c r="I56" i="1"/>
  <c r="I59" i="1"/>
  <c r="I62" i="1"/>
  <c r="I65" i="1"/>
  <c r="I68" i="1"/>
  <c r="I63" i="1"/>
  <c r="I57" i="1"/>
  <c r="I69" i="1"/>
  <c r="I66" i="1"/>
  <c r="I54" i="1"/>
  <c r="K18" i="1"/>
  <c r="M18" i="1"/>
  <c r="L18" i="1"/>
  <c r="F60" i="1"/>
  <c r="G60" i="1"/>
  <c r="D60" i="1"/>
  <c r="K7" i="1"/>
  <c r="M7" i="1"/>
  <c r="L7" i="1"/>
  <c r="G54" i="1"/>
  <c r="F54" i="1"/>
  <c r="D54" i="1"/>
  <c r="G55" i="1"/>
  <c r="F55" i="1"/>
  <c r="D55" i="1"/>
  <c r="G65" i="1"/>
  <c r="F65" i="1"/>
  <c r="D65" i="1"/>
  <c r="K6" i="1"/>
  <c r="M6" i="1"/>
  <c r="L6" i="1"/>
  <c r="G66" i="1"/>
  <c r="F66" i="1"/>
  <c r="D66" i="1"/>
  <c r="K19" i="1"/>
  <c r="M19" i="1"/>
  <c r="L19" i="1"/>
  <c r="K17" i="1"/>
  <c r="L17" i="1"/>
  <c r="M17" i="1"/>
  <c r="K16" i="1"/>
  <c r="M16" i="1"/>
  <c r="L16" i="1"/>
  <c r="K15" i="1"/>
  <c r="M15" i="1"/>
  <c r="L15" i="1"/>
  <c r="K13" i="1"/>
  <c r="L13" i="1"/>
  <c r="M13" i="1"/>
  <c r="F68" i="1"/>
  <c r="G68" i="1"/>
  <c r="D68" i="1"/>
  <c r="G69" i="1"/>
  <c r="F69" i="1"/>
  <c r="D69" i="1"/>
  <c r="K9" i="1"/>
  <c r="M9" i="1"/>
  <c r="L9" i="1"/>
  <c r="F62" i="1"/>
  <c r="G62" i="1"/>
  <c r="D62" i="1"/>
  <c r="F59" i="1"/>
  <c r="G59" i="1"/>
  <c r="D59" i="1"/>
  <c r="K5" i="1"/>
  <c r="L5" i="1"/>
  <c r="M5" i="1"/>
  <c r="G67" i="1"/>
  <c r="F67" i="1"/>
  <c r="D67" i="1"/>
  <c r="F56" i="1"/>
  <c r="G56" i="1"/>
  <c r="D56" i="1"/>
  <c r="K12" i="1"/>
  <c r="M12" i="1"/>
  <c r="L12" i="1"/>
  <c r="F63" i="1"/>
  <c r="G63" i="1"/>
  <c r="D63" i="1"/>
  <c r="K11" i="1"/>
  <c r="M11" i="1"/>
  <c r="L11" i="1"/>
  <c r="F57" i="1"/>
  <c r="G57" i="1"/>
  <c r="D57" i="1"/>
  <c r="K10" i="1"/>
  <c r="M10" i="1"/>
  <c r="L10" i="1"/>
  <c r="G61" i="1"/>
  <c r="F61" i="1"/>
  <c r="D61" i="1"/>
  <c r="K14" i="1"/>
  <c r="L14" i="1"/>
  <c r="M14" i="1"/>
  <c r="K8" i="1"/>
  <c r="L8" i="1"/>
  <c r="M8" i="1"/>
  <c r="K20" i="1"/>
  <c r="M20" i="1"/>
  <c r="L20" i="1"/>
  <c r="G64" i="1"/>
  <c r="F64" i="1"/>
  <c r="D64" i="1"/>
  <c r="G58" i="1"/>
  <c r="F58" i="1"/>
  <c r="D58" i="1"/>
  <c r="E56" i="1"/>
  <c r="E59" i="1"/>
  <c r="E62" i="1"/>
  <c r="E65" i="1"/>
  <c r="E57" i="1"/>
  <c r="E63" i="1"/>
  <c r="E66" i="1"/>
  <c r="E68" i="1"/>
  <c r="E69" i="1"/>
  <c r="E60" i="1"/>
  <c r="E55" i="1"/>
  <c r="E58" i="1"/>
  <c r="E61" i="1"/>
  <c r="E64" i="1"/>
  <c r="E67" i="1"/>
  <c r="E54" i="1"/>
  <c r="D41" i="1"/>
  <c r="D45" i="1"/>
  <c r="E36" i="1"/>
  <c r="F36" i="1" s="1"/>
  <c r="D47" i="1"/>
  <c r="E39" i="1"/>
  <c r="F39" i="1" s="1"/>
  <c r="E42" i="1"/>
  <c r="F42" i="1" s="1"/>
  <c r="E35" i="1"/>
  <c r="F35" i="1" s="1"/>
  <c r="D46" i="1"/>
  <c r="E37" i="1"/>
  <c r="F37" i="1" s="1"/>
  <c r="E41" i="1"/>
  <c r="F41" i="1" s="1"/>
  <c r="E40" i="1"/>
  <c r="F40" i="1" s="1"/>
  <c r="D43" i="1"/>
  <c r="E43" i="1"/>
  <c r="D38" i="1"/>
  <c r="D44" i="1"/>
  <c r="E47" i="1"/>
  <c r="D42" i="1"/>
  <c r="E45" i="1"/>
  <c r="F45" i="1" s="1"/>
  <c r="E44" i="1"/>
  <c r="F44" i="1" s="1"/>
  <c r="D36" i="1"/>
  <c r="D37" i="1"/>
  <c r="D39" i="1"/>
  <c r="D40" i="1"/>
  <c r="E46" i="1"/>
  <c r="F46" i="1" s="1"/>
  <c r="D35" i="1"/>
  <c r="E38" i="1"/>
  <c r="F38" i="1" s="1"/>
  <c r="K35" i="1"/>
  <c r="K37" i="1"/>
  <c r="K39" i="1"/>
  <c r="K41" i="1"/>
  <c r="K43" i="1"/>
  <c r="K45" i="1"/>
  <c r="K47" i="1"/>
  <c r="K49" i="1"/>
  <c r="L35" i="1"/>
  <c r="L37" i="1"/>
  <c r="L39" i="1"/>
  <c r="L41" i="1"/>
  <c r="L45" i="1"/>
  <c r="L43" i="1"/>
  <c r="M45" i="1"/>
  <c r="M49" i="1"/>
  <c r="M35" i="1"/>
  <c r="M37" i="1"/>
  <c r="M39" i="1"/>
  <c r="M41" i="1"/>
  <c r="M43" i="1"/>
  <c r="K40" i="1"/>
  <c r="K44" i="1"/>
  <c r="K36" i="1"/>
  <c r="K38" i="1"/>
  <c r="K42" i="1"/>
  <c r="L40" i="1"/>
  <c r="L44" i="1"/>
  <c r="L46" i="1"/>
  <c r="L36" i="1"/>
  <c r="L38" i="1"/>
  <c r="L42" i="1"/>
  <c r="L48" i="1"/>
  <c r="M46" i="1"/>
  <c r="M48" i="1"/>
  <c r="M42" i="1"/>
  <c r="K48" i="1"/>
  <c r="M36" i="1"/>
  <c r="M38" i="1"/>
  <c r="M40" i="1"/>
  <c r="M44" i="1"/>
  <c r="L47" i="1"/>
  <c r="L49" i="1"/>
  <c r="M47" i="1"/>
  <c r="K46" i="1"/>
  <c r="M34" i="1"/>
  <c r="L34" i="1"/>
  <c r="K3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rnt</author>
  </authors>
  <commentList>
    <comment ref="C5" authorId="0" shapeId="0" xr:uid="{BAC1B4F5-E08E-4687-A51A-954C1C2C7238}">
      <text>
        <r>
          <rPr>
            <sz val="9"/>
            <color indexed="81"/>
            <rFont val="Tahoma"/>
            <charset val="1"/>
          </rPr>
          <t>Удельная плотность газа по воздуху</t>
        </r>
      </text>
    </comment>
    <comment ref="G5" authorId="0" shapeId="0" xr:uid="{A579A8CF-EC93-42C2-A38E-538B69BD80D7}">
      <text>
        <r>
          <rPr>
            <sz val="9"/>
            <color indexed="81"/>
            <rFont val="Tahoma"/>
            <charset val="1"/>
          </rPr>
          <t>Начало диапазона значений</t>
        </r>
      </text>
    </comment>
    <comment ref="C6" authorId="0" shapeId="0" xr:uid="{556D47CC-2BF5-46A0-B856-85559FD7B546}">
      <text>
        <r>
          <rPr>
            <sz val="9"/>
            <color indexed="81"/>
            <rFont val="Tahoma"/>
            <charset val="1"/>
          </rPr>
          <t>Удельная плотность нефти по воде</t>
        </r>
      </text>
    </comment>
    <comment ref="G6" authorId="0" shapeId="0" xr:uid="{85E43006-204A-4B59-AEA1-F0E2C374DD62}">
      <text>
        <r>
          <rPr>
            <sz val="9"/>
            <color indexed="81"/>
            <rFont val="Tahoma"/>
            <charset val="1"/>
          </rPr>
          <t>Конец диапазона значений</t>
        </r>
      </text>
    </comment>
    <comment ref="C7" authorId="0" shapeId="0" xr:uid="{5E8863D5-5C26-450D-96EC-FDD80FCFFF7B}">
      <text>
        <r>
          <rPr>
            <sz val="9"/>
            <color indexed="81"/>
            <rFont val="Tahoma"/>
            <charset val="1"/>
          </rPr>
          <t>Удельная плотность воды (по воде)</t>
        </r>
      </text>
    </comment>
    <comment ref="G7" authorId="0" shapeId="0" xr:uid="{F90C91A7-0551-4566-A1A6-5C9B1F9610C6}">
      <text>
        <r>
          <rPr>
            <sz val="9"/>
            <color indexed="81"/>
            <rFont val="Tahoma"/>
            <charset val="1"/>
          </rPr>
          <t>Количество точек в генерируемом списке значений</t>
        </r>
      </text>
    </comment>
    <comment ref="C8" authorId="0" shapeId="0" xr:uid="{85D725C1-D31B-4573-894B-B09BAF8C6694}">
      <text>
        <r>
          <rPr>
            <sz val="9"/>
            <color indexed="81"/>
            <rFont val="Tahoma"/>
            <charset val="1"/>
          </rPr>
          <t>Газосодержание при давлении насыщения, м3/м3</t>
        </r>
      </text>
    </comment>
    <comment ref="G8" authorId="0" shapeId="0" xr:uid="{FD6476FE-9E74-477D-B0C3-496CBC82F4BA}">
      <text>
        <r>
          <rPr>
            <sz val="9"/>
            <color indexed="81"/>
            <rFont val="Tahoma"/>
            <charset val="1"/>
          </rPr>
          <t>json список сгенерированный значений. Используйте decode_json чтобы развернуть</t>
        </r>
      </text>
    </comment>
    <comment ref="C9" authorId="0" shapeId="0" xr:uid="{BDFFEC22-6914-48EB-A74F-A3C463336844}">
      <text>
        <r>
          <rPr>
            <sz val="9"/>
            <color indexed="81"/>
            <rFont val="Tahoma"/>
            <charset val="1"/>
          </rPr>
          <t>Давление насыщения при заданной температуре, атма</t>
        </r>
      </text>
    </comment>
    <comment ref="C10" authorId="0" shapeId="0" xr:uid="{B928A883-E09B-4026-9039-C25F2887BD30}">
      <text>
        <r>
          <rPr>
            <sz val="9"/>
            <color indexed="81"/>
            <rFont val="Tahoma"/>
            <charset val="1"/>
          </rPr>
          <t>Температура пласта, при которой определено давление насыщения, С</t>
        </r>
      </text>
    </comment>
    <comment ref="C11" authorId="0" shapeId="0" xr:uid="{BB08DF7F-1FE6-412F-98F5-1FB4F7BF92D6}">
      <text>
        <r>
          <rPr>
            <sz val="9"/>
            <color indexed="81"/>
            <rFont val="Tahoma"/>
            <charset val="1"/>
          </rPr>
          <t>Объемный коэффициент нефти при давлении насыщения и пластовой температуре, м3/м3</t>
        </r>
      </text>
    </comment>
    <comment ref="C12" authorId="0" shapeId="0" xr:uid="{FFE403EF-8DBF-4919-AC28-7D7D205EBF43}">
      <text>
        <r>
          <rPr>
            <sz val="9"/>
            <color indexed="81"/>
            <rFont val="Tahoma"/>
            <charset val="1"/>
          </rPr>
          <t>Вязкость нефти при давлении насыщения и пластовой температуре, сП</t>
        </r>
      </text>
    </comment>
    <comment ref="C13" authorId="0" shapeId="0" xr:uid="{27AE275C-DD71-41E6-807D-865DB3B2B982}">
      <text>
        <r>
          <rPr>
            <sz val="9"/>
            <color indexed="81"/>
            <rFont val="Tahoma"/>
            <charset val="1"/>
          </rPr>
          <t>Набор PVT корреляций. 0 - на основе корреляции Стендинга для газосодержания, 1 - на основе корреляции Веларда Маккейна для газосодержания</t>
        </r>
      </text>
    </comment>
    <comment ref="C15" authorId="0" shapeId="0" xr:uid="{E5560C8B-FA2D-4D99-8025-DB08BF1C8B9A}">
      <text>
        <r>
          <rPr>
            <sz val="9"/>
            <color indexed="81"/>
            <rFont val="Tahoma"/>
            <charset val="1"/>
          </rPr>
          <t>Дебит жидкости в стандартных условиях</t>
        </r>
      </text>
    </comment>
    <comment ref="C16" authorId="0" shapeId="0" xr:uid="{10583BA2-748D-4B95-A136-9DE6FD89012E}">
      <text>
        <r>
          <rPr>
            <sz val="9"/>
            <color indexed="81"/>
            <rFont val="Tahoma"/>
            <charset val="1"/>
          </rPr>
          <t>Обводненность, %</t>
        </r>
      </text>
    </comment>
    <comment ref="C17" authorId="0" shapeId="0" xr:uid="{4D0FB279-2E35-4F4E-A5A1-50465D5E8C1F}">
      <text>
        <r>
          <rPr>
            <sz val="9"/>
            <color indexed="81"/>
            <rFont val="Tahoma"/>
            <charset val="1"/>
          </rPr>
          <t>Газовый фактор, м3/м3</t>
        </r>
      </text>
    </comment>
    <comment ref="C18" authorId="0" shapeId="0" xr:uid="{279B333D-FA9A-4A9B-8FC2-C81835F17A26}">
      <text>
        <r>
          <rPr>
            <sz val="9"/>
            <color indexed="81"/>
            <rFont val="Tahoma"/>
            <charset val="1"/>
          </rPr>
          <t>Дебит свободного газа в потоке ст.м3/сут. Свободный газ в потоке дополняет газ выделившийся из нефти.</t>
        </r>
      </text>
    </comment>
    <comment ref="C25" authorId="0" shapeId="0" xr:uid="{5E82BD7B-FDD0-484C-BA79-FDF5C6C0B69F}">
      <text>
        <r>
          <rPr>
            <sz val="9"/>
            <color indexed="81"/>
            <rFont val="Tahoma"/>
            <charset val="1"/>
          </rPr>
          <t>Коэффициент сепарации газа, д.е.</t>
        </r>
      </text>
    </comment>
    <comment ref="C26" authorId="0" shapeId="0" xr:uid="{4958E1A9-2F65-4ED8-8975-F475D0ECBC03}">
      <text>
        <r>
          <rPr>
            <sz val="9"/>
            <color indexed="81"/>
            <rFont val="Tahoma"/>
            <charset val="1"/>
          </rPr>
          <t>Давление сепарации, атм</t>
        </r>
      </text>
    </comment>
    <comment ref="C27" authorId="0" shapeId="0" xr:uid="{FDD6367F-BC3C-46EC-ADFF-EEA763490742}">
      <text>
        <r>
          <rPr>
            <sz val="9"/>
            <color indexed="81"/>
            <rFont val="Tahoma"/>
            <charset val="1"/>
          </rPr>
          <t>Температура сепарации, С</t>
        </r>
      </text>
    </comment>
    <comment ref="C28" authorId="0" shapeId="0" xr:uid="{B97389B1-EBCB-47CB-97B1-47AA22668E96}">
      <text>
        <r>
          <rPr>
            <sz val="9"/>
            <color indexed="81"/>
            <rFont val="Tahoma"/>
            <charset val="1"/>
          </rPr>
          <t>json строка с параметрами потока флюидов. Установите ссылку на ячейку с параметрами флюида</t>
        </r>
      </text>
    </comment>
    <comment ref="C29" authorId="0" shapeId="0" xr:uid="{50B891B4-DAB2-4FB5-8791-5AAA5214716C}">
      <text>
        <r>
          <rPr>
            <sz val="9"/>
            <color indexed="81"/>
            <rFont val="Tahoma"/>
            <charset val="1"/>
          </rPr>
          <t>Коэффициент фазной неравновесности:1 - соответвует полному растворению газа в нефти при повышении давления;0 - при повышении давления газ только сжимается, но не растворяется в нефти.Может принимать промежуточные значения.</t>
        </r>
      </text>
    </comment>
    <comment ref="C30" authorId="0" shapeId="0" xr:uid="{6FB015C0-A7D1-498C-AF93-0192D9E06AE3}">
      <text>
        <r>
          <rPr>
            <sz val="9"/>
            <color indexed="81"/>
            <rFont val="Tahoma"/>
            <charset val="1"/>
          </rPr>
          <t>Расчетная json строка с параметрами потока флюидов (feed) после сепарации газа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<sst xmlns="http://schemas.openxmlformats.org/spreadsheetml/2006/main" count="62" uniqueCount="50">
  <si>
    <t>версия</t>
  </si>
  <si>
    <t>Исходные свойства потока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</si>
  <si>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</si>
  <si>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</si>
  <si>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</si>
  <si>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</si>
  <si>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</si>
  <si>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</si>
  <si>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</si>
  <si>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</si>
  <si>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</si>
  <si>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</si>
  <si>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</si>
  <si>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</si>
  <si>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</si>
  <si>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</si>
  <si>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</si>
  <si>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 xml:space="preserve"> </t>
  </si>
  <si>
    <t>Графики характеризующие свойства флюида</t>
  </si>
  <si>
    <t>val_from</t>
  </si>
  <si>
    <t>val_to</t>
  </si>
  <si>
    <t>num</t>
  </si>
  <si>
    <t>linspace</t>
  </si>
  <si>
    <t>P</t>
  </si>
  <si>
    <t>T</t>
  </si>
  <si>
    <t>T_C</t>
  </si>
  <si>
    <t>rs</t>
  </si>
  <si>
    <t>bo</t>
  </si>
  <si>
    <t>muo</t>
  </si>
  <si>
    <t>Параметры сепарации газа из потока</t>
  </si>
  <si>
    <t>k_sep</t>
  </si>
  <si>
    <t>p_atma</t>
  </si>
  <si>
    <t>t_C</t>
  </si>
  <si>
    <t>sol_factor</t>
  </si>
  <si>
    <t>new feed</t>
  </si>
  <si>
    <t>rs_sep</t>
  </si>
  <si>
    <t>bo_sep</t>
  </si>
  <si>
    <t>muo_sep</t>
  </si>
  <si>
    <t>Сравнение свойств флюидов</t>
  </si>
  <si>
    <t>разность</t>
  </si>
  <si>
    <t>Поток до сепарации</t>
  </si>
  <si>
    <t>Поток после сепарации</t>
  </si>
  <si>
    <t>Изменение доли газа в потоке после сепарации</t>
  </si>
  <si>
    <t>gas_fraction</t>
  </si>
  <si>
    <t>q_mix</t>
  </si>
  <si>
    <t>q_mix_sep</t>
  </si>
  <si>
    <t>q_gas_rc</t>
  </si>
  <si>
    <t>q_gas_rc_sep</t>
  </si>
  <si>
    <t>Сравнение вариантов с разными значениями коэффициента фазной неравновесности</t>
  </si>
  <si>
    <t>Пример расчета свойств потока флюидов с использованием Inifloc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</si>
</sst>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"/>
  </numFmts>
  <fonts count="3" x14ac:knownFonts="1">
    <font>
      <sz val="11"/>
      <color theme="1"/>
      <name val="Aptos Narrow"/>
      <family val="2"/>
      <charset val="204"/>
      <scheme val="minor"/>
    </font>
    <font>
      <sz val="11"/>
      <color theme="1"/>
      <name val="Aptos Narrow"/>
      <family val="2"/>
      <charset val="204"/>
      <scheme val="minor"/>
    </font>
    <font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CFAA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0" borderId="1" xfId="0" applyBorder="1"/>
    <xf numFmtId="9" fontId="0" fillId="0" borderId="1" xfId="1" applyFont="1" applyBorder="1"/>
    <xf numFmtId="0" fontId="0" fillId="0" borderId="1" xfId="0" applyBorder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5" borderId="2" xfId="0" applyFill="1" applyBorder="1"/>
    <xf numFmtId="167" fontId="0" fillId="0" borderId="1" xfId="0" applyNumberFormat="1" applyBorder="1"/>
    <xf numFmtId="0" fontId="0" fillId="5" borderId="1" xfId="0" applyFill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colors>
    <mruColors>
      <color rgb="FFFAFE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'сепарация газа'!$K$4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газа'!$I$5:$I$20</c:f>
              <c:numCache>
                <c:formatCode>0</c:formatCode>
                <c:ptCount val="16"/>
                <c:pt idx="0">
                  <c:v>5</c:v>
                </c:pt>
                <c:pt idx="1">
                  <c:v>16.667000000000002</c:v>
                </c:pt>
                <c:pt idx="2">
                  <c:v>28.332999999999998</c:v>
                </c:pt>
                <c:pt idx="3">
                  <c:v>40</c:v>
                </c:pt>
                <c:pt idx="4">
                  <c:v>51.667000000000002</c:v>
                </c:pt>
                <c:pt idx="5">
                  <c:v>63.332999999999998</c:v>
                </c:pt>
                <c:pt idx="6">
                  <c:v>75</c:v>
                </c:pt>
                <c:pt idx="7">
                  <c:v>86.667000000000002</c:v>
                </c:pt>
                <c:pt idx="8">
                  <c:v>98.332999999999998</c:v>
                </c:pt>
                <c:pt idx="9">
                  <c:v>110</c:v>
                </c:pt>
                <c:pt idx="10">
                  <c:v>121.667</c:v>
                </c:pt>
                <c:pt idx="11">
                  <c:v>133.333</c:v>
                </c:pt>
                <c:pt idx="12">
                  <c:v>145</c:v>
                </c:pt>
                <c:pt idx="13">
                  <c:v>156.667</c:v>
                </c:pt>
                <c:pt idx="14">
                  <c:v>168.333</c:v>
                </c:pt>
                <c:pt idx="15">
                  <c:v>180</c:v>
                </c:pt>
              </c:numCache>
            </c:numRef>
          </c:xVal>
          <c:yVal>
            <c:numRef>
              <c:f>'сепарация газа'!$K$5:$K$20</c:f>
              <c:numCache>
                <c:formatCode>0</c:formatCode>
                <c:ptCount val="16"/>
                <c:pt idx="0">
                  <c:v>2.7062963082686791</c:v>
                </c:pt>
                <c:pt idx="1">
                  <c:v>11.532721702224674</c:v>
                </c:pt>
                <c:pt idx="2">
                  <c:v>21.846189879690733</c:v>
                </c:pt>
                <c:pt idx="3">
                  <c:v>33.089917886330383</c:v>
                </c:pt>
                <c:pt idx="4">
                  <c:v>45.032308128981946</c:v>
                </c:pt>
                <c:pt idx="5">
                  <c:v>57.541085789738169</c:v>
                </c:pt>
                <c:pt idx="6">
                  <c:v>70.532490820077186</c:v>
                </c:pt>
                <c:pt idx="7">
                  <c:v>83.944334663825444</c:v>
                </c:pt>
                <c:pt idx="8">
                  <c:v>97.729438583338563</c:v>
                </c:pt>
                <c:pt idx="9">
                  <c:v>111.85418887547368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95-4AC6-B7BB-F8F4E1D94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311"/>
        <c:axId val="123942031"/>
      </c:scatterChart>
      <c:valAx>
        <c:axId val="123959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942031"/>
        <c:crosses val="autoZero"/>
        <c:crossBetween val="midCat"/>
      </c:valAx>
      <c:valAx>
        <c:axId val="12394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9593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'сепарация газа'!$L$4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газа'!$I$5:$I$20</c:f>
              <c:numCache>
                <c:formatCode>0</c:formatCode>
                <c:ptCount val="16"/>
                <c:pt idx="0">
                  <c:v>5</c:v>
                </c:pt>
                <c:pt idx="1">
                  <c:v>16.667000000000002</c:v>
                </c:pt>
                <c:pt idx="2">
                  <c:v>28.332999999999998</c:v>
                </c:pt>
                <c:pt idx="3">
                  <c:v>40</c:v>
                </c:pt>
                <c:pt idx="4">
                  <c:v>51.667000000000002</c:v>
                </c:pt>
                <c:pt idx="5">
                  <c:v>63.332999999999998</c:v>
                </c:pt>
                <c:pt idx="6">
                  <c:v>75</c:v>
                </c:pt>
                <c:pt idx="7">
                  <c:v>86.667000000000002</c:v>
                </c:pt>
                <c:pt idx="8">
                  <c:v>98.332999999999998</c:v>
                </c:pt>
                <c:pt idx="9">
                  <c:v>110</c:v>
                </c:pt>
                <c:pt idx="10">
                  <c:v>121.667</c:v>
                </c:pt>
                <c:pt idx="11">
                  <c:v>133.333</c:v>
                </c:pt>
                <c:pt idx="12">
                  <c:v>145</c:v>
                </c:pt>
                <c:pt idx="13">
                  <c:v>156.667</c:v>
                </c:pt>
                <c:pt idx="14">
                  <c:v>168.333</c:v>
                </c:pt>
                <c:pt idx="15">
                  <c:v>180</c:v>
                </c:pt>
              </c:numCache>
            </c:numRef>
          </c:xVal>
          <c:yVal>
            <c:numRef>
              <c:f>'сепарация газа'!$L$5:$L$20</c:f>
              <c:numCache>
                <c:formatCode>0.00</c:formatCode>
                <c:ptCount val="16"/>
                <c:pt idx="0">
                  <c:v>1.0182113770417931</c:v>
                </c:pt>
                <c:pt idx="1">
                  <c:v>1.0286692191668252</c:v>
                </c:pt>
                <c:pt idx="2">
                  <c:v>1.0413625218830851</c:v>
                </c:pt>
                <c:pt idx="3">
                  <c:v>1.0556910683022738</c:v>
                </c:pt>
                <c:pt idx="4">
                  <c:v>1.0713897990537629</c:v>
                </c:pt>
                <c:pt idx="5">
                  <c:v>1.0882946894573815</c:v>
                </c:pt>
                <c:pt idx="6">
                  <c:v>1.106293654141056</c:v>
                </c:pt>
                <c:pt idx="7">
                  <c:v>1.1252975845829245</c:v>
                </c:pt>
                <c:pt idx="8">
                  <c:v>1.1452346365046819</c:v>
                </c:pt>
                <c:pt idx="9">
                  <c:v>1.1660503961506128</c:v>
                </c:pt>
                <c:pt idx="10">
                  <c:v>1.1761894988035082</c:v>
                </c:pt>
                <c:pt idx="11">
                  <c:v>1.1725524144637387</c:v>
                </c:pt>
                <c:pt idx="12">
                  <c:v>1.169509018344705</c:v>
                </c:pt>
                <c:pt idx="13">
                  <c:v>1.1669251288524509</c:v>
                </c:pt>
                <c:pt idx="14">
                  <c:v>1.1647041651914203</c:v>
                </c:pt>
                <c:pt idx="15">
                  <c:v>1.1627743757984097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95-4AC6-B7BB-F8F4E1D94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311"/>
        <c:axId val="123942031"/>
      </c:scatterChart>
      <c:valAx>
        <c:axId val="123959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942031"/>
        <c:crosses val="autoZero"/>
        <c:crossBetween val="midCat"/>
      </c:valAx>
      <c:valAx>
        <c:axId val="12394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9593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'сепарация газа'!$M$4</c:f>
              <c:strCache>
                <c:ptCount val="1"/>
                <c:pt idx="0">
                  <c:v>muo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газа'!$I$5:$I$20</c:f>
              <c:numCache>
                <c:formatCode>0</c:formatCode>
                <c:ptCount val="16"/>
                <c:pt idx="0">
                  <c:v>5</c:v>
                </c:pt>
                <c:pt idx="1">
                  <c:v>16.667000000000002</c:v>
                </c:pt>
                <c:pt idx="2">
                  <c:v>28.332999999999998</c:v>
                </c:pt>
                <c:pt idx="3">
                  <c:v>40</c:v>
                </c:pt>
                <c:pt idx="4">
                  <c:v>51.667000000000002</c:v>
                </c:pt>
                <c:pt idx="5">
                  <c:v>63.332999999999998</c:v>
                </c:pt>
                <c:pt idx="6">
                  <c:v>75</c:v>
                </c:pt>
                <c:pt idx="7">
                  <c:v>86.667000000000002</c:v>
                </c:pt>
                <c:pt idx="8">
                  <c:v>98.332999999999998</c:v>
                </c:pt>
                <c:pt idx="9">
                  <c:v>110</c:v>
                </c:pt>
                <c:pt idx="10">
                  <c:v>121.667</c:v>
                </c:pt>
                <c:pt idx="11">
                  <c:v>133.333</c:v>
                </c:pt>
                <c:pt idx="12">
                  <c:v>145</c:v>
                </c:pt>
                <c:pt idx="13">
                  <c:v>156.667</c:v>
                </c:pt>
                <c:pt idx="14">
                  <c:v>168.333</c:v>
                </c:pt>
                <c:pt idx="15">
                  <c:v>180</c:v>
                </c:pt>
              </c:numCache>
            </c:numRef>
          </c:xVal>
          <c:yVal>
            <c:numRef>
              <c:f>'сепарация газа'!$M$5:$M$20</c:f>
              <c:numCache>
                <c:formatCode>0.00</c:formatCode>
                <c:ptCount val="16"/>
                <c:pt idx="0">
                  <c:v>5.5290884478298636</c:v>
                </c:pt>
                <c:pt idx="1">
                  <c:v>3.9483313257020511</c:v>
                </c:pt>
                <c:pt idx="2">
                  <c:v>2.976429476331651</c:v>
                </c:pt>
                <c:pt idx="3">
                  <c:v>2.3610135294371739</c:v>
                </c:pt>
                <c:pt idx="4">
                  <c:v>1.9468045529684317</c:v>
                </c:pt>
                <c:pt idx="5">
                  <c:v>1.6527357268742602</c:v>
                </c:pt>
                <c:pt idx="6">
                  <c:v>1.4347022000453582</c:v>
                </c:pt>
                <c:pt idx="7">
                  <c:v>1.2673460118820215</c:v>
                </c:pt>
                <c:pt idx="8">
                  <c:v>1.1352252580117612</c:v>
                </c:pt>
                <c:pt idx="9">
                  <c:v>1.0284568246728487</c:v>
                </c:pt>
                <c:pt idx="10">
                  <c:v>0.9899159195811158</c:v>
                </c:pt>
                <c:pt idx="11">
                  <c:v>1.0194121935606455</c:v>
                </c:pt>
                <c:pt idx="12">
                  <c:v>1.0514819258573247</c:v>
                </c:pt>
                <c:pt idx="13">
                  <c:v>1.0859103238389829</c:v>
                </c:pt>
                <c:pt idx="14">
                  <c:v>1.1225035970170356</c:v>
                </c:pt>
                <c:pt idx="15">
                  <c:v>1.1610923348559687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95-4AC6-B7BB-F8F4E1D94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311"/>
        <c:axId val="123942031"/>
      </c:scatterChart>
      <c:valAx>
        <c:axId val="123959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942031"/>
        <c:crosses val="autoZero"/>
        <c:crossBetween val="midCat"/>
      </c:valAx>
      <c:valAx>
        <c:axId val="12394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9593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'сепарация газа'!$K$4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газа'!$I$5:$I$20</c:f>
              <c:numCache>
                <c:formatCode>0</c:formatCode>
                <c:ptCount val="16"/>
                <c:pt idx="0">
                  <c:v>5</c:v>
                </c:pt>
                <c:pt idx="1">
                  <c:v>16.667000000000002</c:v>
                </c:pt>
                <c:pt idx="2">
                  <c:v>28.332999999999998</c:v>
                </c:pt>
                <c:pt idx="3">
                  <c:v>40</c:v>
                </c:pt>
                <c:pt idx="4">
                  <c:v>51.667000000000002</c:v>
                </c:pt>
                <c:pt idx="5">
                  <c:v>63.332999999999998</c:v>
                </c:pt>
                <c:pt idx="6">
                  <c:v>75</c:v>
                </c:pt>
                <c:pt idx="7">
                  <c:v>86.667000000000002</c:v>
                </c:pt>
                <c:pt idx="8">
                  <c:v>98.332999999999998</c:v>
                </c:pt>
                <c:pt idx="9">
                  <c:v>110</c:v>
                </c:pt>
                <c:pt idx="10">
                  <c:v>121.667</c:v>
                </c:pt>
                <c:pt idx="11">
                  <c:v>133.333</c:v>
                </c:pt>
                <c:pt idx="12">
                  <c:v>145</c:v>
                </c:pt>
                <c:pt idx="13">
                  <c:v>156.667</c:v>
                </c:pt>
                <c:pt idx="14">
                  <c:v>168.333</c:v>
                </c:pt>
                <c:pt idx="15">
                  <c:v>180</c:v>
                </c:pt>
              </c:numCache>
            </c:numRef>
          </c:xVal>
          <c:yVal>
            <c:numRef>
              <c:f>'сепарация газа'!$K$5:$K$20</c:f>
              <c:numCache>
                <c:formatCode>0</c:formatCode>
                <c:ptCount val="16"/>
                <c:pt idx="0">
                  <c:v>2.7062963082686791</c:v>
                </c:pt>
                <c:pt idx="1">
                  <c:v>11.532721702224674</c:v>
                </c:pt>
                <c:pt idx="2">
                  <c:v>21.846189879690733</c:v>
                </c:pt>
                <c:pt idx="3">
                  <c:v>33.089917886330383</c:v>
                </c:pt>
                <c:pt idx="4">
                  <c:v>45.032308128981946</c:v>
                </c:pt>
                <c:pt idx="5">
                  <c:v>57.541085789738169</c:v>
                </c:pt>
                <c:pt idx="6">
                  <c:v>70.532490820077186</c:v>
                </c:pt>
                <c:pt idx="7">
                  <c:v>83.944334663825444</c:v>
                </c:pt>
                <c:pt idx="8">
                  <c:v>97.729438583338563</c:v>
                </c:pt>
                <c:pt idx="9">
                  <c:v>111.85418887547368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95-4AC6-B7BB-F8F4E1D9420B}"/>
            </c:ext>
          </c:extLst>
        </c:ser>
        <c:ser>
          <c:idx val="1"/>
          <c:order val="1"/>
          <c:tx>
            <c:strRef>
              <c:f>'сепарация газа'!$K$33</c:f>
              <c:strCache>
                <c:ptCount val="1"/>
                <c:pt idx="0">
                  <c:v>rs_sep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газа'!$I$34:$I$49</c:f>
              <c:numCache>
                <c:formatCode>0</c:formatCode>
                <c:ptCount val="16"/>
                <c:pt idx="0">
                  <c:v>5</c:v>
                </c:pt>
                <c:pt idx="1">
                  <c:v>16.667000000000002</c:v>
                </c:pt>
                <c:pt idx="2">
                  <c:v>28.332999999999998</c:v>
                </c:pt>
                <c:pt idx="3">
                  <c:v>40</c:v>
                </c:pt>
                <c:pt idx="4">
                  <c:v>51.667000000000002</c:v>
                </c:pt>
                <c:pt idx="5">
                  <c:v>63.332999999999998</c:v>
                </c:pt>
                <c:pt idx="6">
                  <c:v>75</c:v>
                </c:pt>
                <c:pt idx="7">
                  <c:v>86.667000000000002</c:v>
                </c:pt>
                <c:pt idx="8">
                  <c:v>98.332999999999998</c:v>
                </c:pt>
                <c:pt idx="9">
                  <c:v>110</c:v>
                </c:pt>
                <c:pt idx="10">
                  <c:v>121.667</c:v>
                </c:pt>
                <c:pt idx="11">
                  <c:v>133.333</c:v>
                </c:pt>
                <c:pt idx="12">
                  <c:v>145</c:v>
                </c:pt>
                <c:pt idx="13">
                  <c:v>156.667</c:v>
                </c:pt>
                <c:pt idx="14">
                  <c:v>168.333</c:v>
                </c:pt>
                <c:pt idx="15">
                  <c:v>180</c:v>
                </c:pt>
              </c:numCache>
            </c:numRef>
          </c:xVal>
          <c:yVal>
            <c:numRef>
              <c:f>'сепарация газа'!$K$34:$K$49</c:f>
              <c:numCache>
                <c:formatCode>0</c:formatCode>
                <c:ptCount val="16"/>
                <c:pt idx="0">
                  <c:v>2.6928748882266307</c:v>
                </c:pt>
                <c:pt idx="1">
                  <c:v>11.47552711428518</c:v>
                </c:pt>
                <c:pt idx="2">
                  <c:v>21.737847386003761</c:v>
                </c:pt>
                <c:pt idx="3">
                  <c:v>28.852</c:v>
                </c:pt>
                <c:pt idx="4">
                  <c:v>28.852</c:v>
                </c:pt>
                <c:pt idx="5">
                  <c:v>28.852</c:v>
                </c:pt>
                <c:pt idx="6">
                  <c:v>28.852</c:v>
                </c:pt>
                <c:pt idx="7">
                  <c:v>28.852</c:v>
                </c:pt>
                <c:pt idx="8">
                  <c:v>28.852</c:v>
                </c:pt>
                <c:pt idx="9">
                  <c:v>28.852</c:v>
                </c:pt>
                <c:pt idx="10">
                  <c:v>28.852</c:v>
                </c:pt>
                <c:pt idx="11">
                  <c:v>28.852</c:v>
                </c:pt>
                <c:pt idx="12">
                  <c:v>28.852</c:v>
                </c:pt>
                <c:pt idx="13">
                  <c:v>28.852</c:v>
                </c:pt>
                <c:pt idx="14">
                  <c:v>28.852</c:v>
                </c:pt>
                <c:pt idx="15">
                  <c:v>28.852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1E-4425-8C55-9FDEF034D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311"/>
        <c:axId val="123942031"/>
      </c:scatterChart>
      <c:valAx>
        <c:axId val="123959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942031"/>
        <c:crosses val="autoZero"/>
        <c:crossBetween val="midCat"/>
      </c:valAx>
      <c:valAx>
        <c:axId val="12394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9593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'сепарация газа'!$L$4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газа'!$I$5:$I$20</c:f>
              <c:numCache>
                <c:formatCode>0</c:formatCode>
                <c:ptCount val="16"/>
                <c:pt idx="0">
                  <c:v>5</c:v>
                </c:pt>
                <c:pt idx="1">
                  <c:v>16.667000000000002</c:v>
                </c:pt>
                <c:pt idx="2">
                  <c:v>28.332999999999998</c:v>
                </c:pt>
                <c:pt idx="3">
                  <c:v>40</c:v>
                </c:pt>
                <c:pt idx="4">
                  <c:v>51.667000000000002</c:v>
                </c:pt>
                <c:pt idx="5">
                  <c:v>63.332999999999998</c:v>
                </c:pt>
                <c:pt idx="6">
                  <c:v>75</c:v>
                </c:pt>
                <c:pt idx="7">
                  <c:v>86.667000000000002</c:v>
                </c:pt>
                <c:pt idx="8">
                  <c:v>98.332999999999998</c:v>
                </c:pt>
                <c:pt idx="9">
                  <c:v>110</c:v>
                </c:pt>
                <c:pt idx="10">
                  <c:v>121.667</c:v>
                </c:pt>
                <c:pt idx="11">
                  <c:v>133.333</c:v>
                </c:pt>
                <c:pt idx="12">
                  <c:v>145</c:v>
                </c:pt>
                <c:pt idx="13">
                  <c:v>156.667</c:v>
                </c:pt>
                <c:pt idx="14">
                  <c:v>168.333</c:v>
                </c:pt>
                <c:pt idx="15">
                  <c:v>180</c:v>
                </c:pt>
              </c:numCache>
            </c:numRef>
          </c:xVal>
          <c:yVal>
            <c:numRef>
              <c:f>'сепарация газа'!$L$5:$L$20</c:f>
              <c:numCache>
                <c:formatCode>0.00</c:formatCode>
                <c:ptCount val="16"/>
                <c:pt idx="0">
                  <c:v>1.0182113770417931</c:v>
                </c:pt>
                <c:pt idx="1">
                  <c:v>1.0286692191668252</c:v>
                </c:pt>
                <c:pt idx="2">
                  <c:v>1.0413625218830851</c:v>
                </c:pt>
                <c:pt idx="3">
                  <c:v>1.0556910683022738</c:v>
                </c:pt>
                <c:pt idx="4">
                  <c:v>1.0713897990537629</c:v>
                </c:pt>
                <c:pt idx="5">
                  <c:v>1.0882946894573815</c:v>
                </c:pt>
                <c:pt idx="6">
                  <c:v>1.106293654141056</c:v>
                </c:pt>
                <c:pt idx="7">
                  <c:v>1.1252975845829245</c:v>
                </c:pt>
                <c:pt idx="8">
                  <c:v>1.1452346365046819</c:v>
                </c:pt>
                <c:pt idx="9">
                  <c:v>1.1660503961506128</c:v>
                </c:pt>
                <c:pt idx="10">
                  <c:v>1.1761894988035082</c:v>
                </c:pt>
                <c:pt idx="11">
                  <c:v>1.1725524144637387</c:v>
                </c:pt>
                <c:pt idx="12">
                  <c:v>1.169509018344705</c:v>
                </c:pt>
                <c:pt idx="13">
                  <c:v>1.1669251288524509</c:v>
                </c:pt>
                <c:pt idx="14">
                  <c:v>1.1647041651914203</c:v>
                </c:pt>
                <c:pt idx="15">
                  <c:v>1.1627743757984097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95-4AC6-B7BB-F8F4E1D9420B}"/>
            </c:ext>
          </c:extLst>
        </c:ser>
        <c:ser>
          <c:idx val="0"/>
          <c:order val="1"/>
          <c:tx>
            <c:strRef>
              <c:f>'сепарация газа'!$L$33</c:f>
              <c:strCache>
                <c:ptCount val="1"/>
                <c:pt idx="0">
                  <c:v>bo_sep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газа'!$I$34:$I$49</c:f>
              <c:numCache>
                <c:formatCode>0</c:formatCode>
                <c:ptCount val="16"/>
                <c:pt idx="0">
                  <c:v>5</c:v>
                </c:pt>
                <c:pt idx="1">
                  <c:v>16.667000000000002</c:v>
                </c:pt>
                <c:pt idx="2">
                  <c:v>28.332999999999998</c:v>
                </c:pt>
                <c:pt idx="3">
                  <c:v>40</c:v>
                </c:pt>
                <c:pt idx="4">
                  <c:v>51.667000000000002</c:v>
                </c:pt>
                <c:pt idx="5">
                  <c:v>63.332999999999998</c:v>
                </c:pt>
                <c:pt idx="6">
                  <c:v>75</c:v>
                </c:pt>
                <c:pt idx="7">
                  <c:v>86.667000000000002</c:v>
                </c:pt>
                <c:pt idx="8">
                  <c:v>98.332999999999998</c:v>
                </c:pt>
                <c:pt idx="9">
                  <c:v>110</c:v>
                </c:pt>
                <c:pt idx="10">
                  <c:v>121.667</c:v>
                </c:pt>
                <c:pt idx="11">
                  <c:v>133.333</c:v>
                </c:pt>
                <c:pt idx="12">
                  <c:v>145</c:v>
                </c:pt>
                <c:pt idx="13">
                  <c:v>156.667</c:v>
                </c:pt>
                <c:pt idx="14">
                  <c:v>168.333</c:v>
                </c:pt>
                <c:pt idx="15">
                  <c:v>180</c:v>
                </c:pt>
              </c:numCache>
            </c:numRef>
          </c:xVal>
          <c:yVal>
            <c:numRef>
              <c:f>'сепарация газа'!$L$34:$L$49</c:f>
              <c:numCache>
                <c:formatCode>0.00</c:formatCode>
                <c:ptCount val="16"/>
                <c:pt idx="0">
                  <c:v>1.0181930374260231</c:v>
                </c:pt>
                <c:pt idx="1">
                  <c:v>1.0285958337601129</c:v>
                </c:pt>
                <c:pt idx="2">
                  <c:v>1.0412205604609208</c:v>
                </c:pt>
                <c:pt idx="3">
                  <c:v>1.0489255116816856</c:v>
                </c:pt>
                <c:pt idx="4">
                  <c:v>1.0464960525326685</c:v>
                </c:pt>
                <c:pt idx="5">
                  <c:v>1.0449646804373343</c:v>
                </c:pt>
                <c:pt idx="6">
                  <c:v>1.0439109419467782</c:v>
                </c:pt>
                <c:pt idx="7">
                  <c:v>1.0431415813228269</c:v>
                </c:pt>
                <c:pt idx="8">
                  <c:v>1.0425552102918187</c:v>
                </c:pt>
                <c:pt idx="9">
                  <c:v>1.042093411805759</c:v>
                </c:pt>
                <c:pt idx="10">
                  <c:v>1.0417203291743147</c:v>
                </c:pt>
                <c:pt idx="11">
                  <c:v>1.041412662157313</c:v>
                </c:pt>
                <c:pt idx="12">
                  <c:v>1.041154552059818</c:v>
                </c:pt>
                <c:pt idx="13">
                  <c:v>1.0409349352981361</c:v>
                </c:pt>
                <c:pt idx="14">
                  <c:v>1.0407458134377177</c:v>
                </c:pt>
                <c:pt idx="15">
                  <c:v>1.0405812208856986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AB-4908-95F8-5D9A81BAC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311"/>
        <c:axId val="123942031"/>
      </c:scatterChart>
      <c:valAx>
        <c:axId val="123959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942031"/>
        <c:crosses val="autoZero"/>
        <c:crossBetween val="midCat"/>
      </c:valAx>
      <c:valAx>
        <c:axId val="12394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9593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'сепарация газа'!$M$33</c:f>
              <c:strCache>
                <c:ptCount val="1"/>
                <c:pt idx="0">
                  <c:v>muo_sep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газа'!$I$34:$I$49</c:f>
              <c:numCache>
                <c:formatCode>0</c:formatCode>
                <c:ptCount val="16"/>
                <c:pt idx="0">
                  <c:v>5</c:v>
                </c:pt>
                <c:pt idx="1">
                  <c:v>16.667000000000002</c:v>
                </c:pt>
                <c:pt idx="2">
                  <c:v>28.332999999999998</c:v>
                </c:pt>
                <c:pt idx="3">
                  <c:v>40</c:v>
                </c:pt>
                <c:pt idx="4">
                  <c:v>51.667000000000002</c:v>
                </c:pt>
                <c:pt idx="5">
                  <c:v>63.332999999999998</c:v>
                </c:pt>
                <c:pt idx="6">
                  <c:v>75</c:v>
                </c:pt>
                <c:pt idx="7">
                  <c:v>86.667000000000002</c:v>
                </c:pt>
                <c:pt idx="8">
                  <c:v>98.332999999999998</c:v>
                </c:pt>
                <c:pt idx="9">
                  <c:v>110</c:v>
                </c:pt>
                <c:pt idx="10">
                  <c:v>121.667</c:v>
                </c:pt>
                <c:pt idx="11">
                  <c:v>133.333</c:v>
                </c:pt>
                <c:pt idx="12">
                  <c:v>145</c:v>
                </c:pt>
                <c:pt idx="13">
                  <c:v>156.667</c:v>
                </c:pt>
                <c:pt idx="14">
                  <c:v>168.333</c:v>
                </c:pt>
                <c:pt idx="15">
                  <c:v>180</c:v>
                </c:pt>
              </c:numCache>
            </c:numRef>
          </c:xVal>
          <c:yVal>
            <c:numRef>
              <c:f>'сепарация газа'!$M$34:$M$49</c:f>
              <c:numCache>
                <c:formatCode>0.00</c:formatCode>
                <c:ptCount val="16"/>
                <c:pt idx="0">
                  <c:v>5.5373265342901332</c:v>
                </c:pt>
                <c:pt idx="1">
                  <c:v>3.9590510809937065</c:v>
                </c:pt>
                <c:pt idx="2">
                  <c:v>2.9866531595679313</c:v>
                </c:pt>
                <c:pt idx="3">
                  <c:v>2.5876587446578645</c:v>
                </c:pt>
                <c:pt idx="4">
                  <c:v>2.67790087952128</c:v>
                </c:pt>
                <c:pt idx="5">
                  <c:v>2.7904661926351513</c:v>
                </c:pt>
                <c:pt idx="6">
                  <c:v>2.9228453104636167</c:v>
                </c:pt>
                <c:pt idx="7">
                  <c:v>3.0733965584976266</c:v>
                </c:pt>
                <c:pt idx="8">
                  <c:v>3.2409791868294109</c:v>
                </c:pt>
                <c:pt idx="9">
                  <c:v>3.4247895899018763</c:v>
                </c:pt>
                <c:pt idx="10">
                  <c:v>3.6241469773300512</c:v>
                </c:pt>
                <c:pt idx="11">
                  <c:v>3.8384489943497941</c:v>
                </c:pt>
                <c:pt idx="12">
                  <c:v>4.0671786155372622</c:v>
                </c:pt>
                <c:pt idx="13">
                  <c:v>4.309756673200881</c:v>
                </c:pt>
                <c:pt idx="14">
                  <c:v>4.5655657723556988</c:v>
                </c:pt>
                <c:pt idx="15">
                  <c:v>4.8340035160475825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95-4AC6-B7BB-F8F4E1D9420B}"/>
            </c:ext>
          </c:extLst>
        </c:ser>
        <c:ser>
          <c:idx val="0"/>
          <c:order val="1"/>
          <c:tx>
            <c:strRef>
              <c:f>'сепарация газа'!$M$4</c:f>
              <c:strCache>
                <c:ptCount val="1"/>
                <c:pt idx="0">
                  <c:v>muo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газа'!$I$5:$I$20</c:f>
              <c:numCache>
                <c:formatCode>0</c:formatCode>
                <c:ptCount val="16"/>
                <c:pt idx="0">
                  <c:v>5</c:v>
                </c:pt>
                <c:pt idx="1">
                  <c:v>16.667000000000002</c:v>
                </c:pt>
                <c:pt idx="2">
                  <c:v>28.332999999999998</c:v>
                </c:pt>
                <c:pt idx="3">
                  <c:v>40</c:v>
                </c:pt>
                <c:pt idx="4">
                  <c:v>51.667000000000002</c:v>
                </c:pt>
                <c:pt idx="5">
                  <c:v>63.332999999999998</c:v>
                </c:pt>
                <c:pt idx="6">
                  <c:v>75</c:v>
                </c:pt>
                <c:pt idx="7">
                  <c:v>86.667000000000002</c:v>
                </c:pt>
                <c:pt idx="8">
                  <c:v>98.332999999999998</c:v>
                </c:pt>
                <c:pt idx="9">
                  <c:v>110</c:v>
                </c:pt>
                <c:pt idx="10">
                  <c:v>121.667</c:v>
                </c:pt>
                <c:pt idx="11">
                  <c:v>133.333</c:v>
                </c:pt>
                <c:pt idx="12">
                  <c:v>145</c:v>
                </c:pt>
                <c:pt idx="13">
                  <c:v>156.667</c:v>
                </c:pt>
                <c:pt idx="14">
                  <c:v>168.333</c:v>
                </c:pt>
                <c:pt idx="15">
                  <c:v>180</c:v>
                </c:pt>
              </c:numCache>
            </c:numRef>
          </c:xVal>
          <c:yVal>
            <c:numRef>
              <c:f>'сепарация газа'!$M$5:$M$20</c:f>
              <c:numCache>
                <c:formatCode>0.00</c:formatCode>
                <c:ptCount val="16"/>
                <c:pt idx="0">
                  <c:v>5.5290884478298636</c:v>
                </c:pt>
                <c:pt idx="1">
                  <c:v>3.9483313257020511</c:v>
                </c:pt>
                <c:pt idx="2">
                  <c:v>2.976429476331651</c:v>
                </c:pt>
                <c:pt idx="3">
                  <c:v>2.3610135294371739</c:v>
                </c:pt>
                <c:pt idx="4">
                  <c:v>1.9468045529684317</c:v>
                </c:pt>
                <c:pt idx="5">
                  <c:v>1.6527357268742602</c:v>
                </c:pt>
                <c:pt idx="6">
                  <c:v>1.4347022000453582</c:v>
                </c:pt>
                <c:pt idx="7">
                  <c:v>1.2673460118820215</c:v>
                </c:pt>
                <c:pt idx="8">
                  <c:v>1.1352252580117612</c:v>
                </c:pt>
                <c:pt idx="9">
                  <c:v>1.0284568246728487</c:v>
                </c:pt>
                <c:pt idx="10">
                  <c:v>0.9899159195811158</c:v>
                </c:pt>
                <c:pt idx="11">
                  <c:v>1.0194121935606455</c:v>
                </c:pt>
                <c:pt idx="12">
                  <c:v>1.0514819258573247</c:v>
                </c:pt>
                <c:pt idx="13">
                  <c:v>1.0859103238389829</c:v>
                </c:pt>
                <c:pt idx="14">
                  <c:v>1.1225035970170356</c:v>
                </c:pt>
                <c:pt idx="15">
                  <c:v>1.1610923348559687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54-437B-B990-3F54A2650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311"/>
        <c:axId val="123942031"/>
      </c:scatterChart>
      <c:valAx>
        <c:axId val="123959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942031"/>
        <c:crosses val="autoZero"/>
        <c:crossBetween val="midCat"/>
      </c:valAx>
      <c:valAx>
        <c:axId val="12394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9593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'сепарация газа'!$D$53</c:f>
              <c:strCache>
                <c:ptCount val="1"/>
                <c:pt idx="0">
                  <c:v>gas_fraction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газа'!$B$54:$B$69</c:f>
              <c:numCache>
                <c:formatCode>0</c:formatCode>
                <c:ptCount val="16"/>
                <c:pt idx="0">
                  <c:v>5</c:v>
                </c:pt>
                <c:pt idx="1">
                  <c:v>16.667000000000002</c:v>
                </c:pt>
                <c:pt idx="2">
                  <c:v>28.332999999999998</c:v>
                </c:pt>
                <c:pt idx="3">
                  <c:v>40</c:v>
                </c:pt>
                <c:pt idx="4">
                  <c:v>51.667000000000002</c:v>
                </c:pt>
                <c:pt idx="5">
                  <c:v>63.332999999999998</c:v>
                </c:pt>
                <c:pt idx="6">
                  <c:v>75</c:v>
                </c:pt>
                <c:pt idx="7">
                  <c:v>86.667000000000002</c:v>
                </c:pt>
                <c:pt idx="8">
                  <c:v>98.332999999999998</c:v>
                </c:pt>
                <c:pt idx="9">
                  <c:v>110</c:v>
                </c:pt>
                <c:pt idx="10">
                  <c:v>121.667</c:v>
                </c:pt>
                <c:pt idx="11">
                  <c:v>133.333</c:v>
                </c:pt>
                <c:pt idx="12">
                  <c:v>145</c:v>
                </c:pt>
                <c:pt idx="13">
                  <c:v>156.667</c:v>
                </c:pt>
                <c:pt idx="14">
                  <c:v>168.333</c:v>
                </c:pt>
                <c:pt idx="15">
                  <c:v>180</c:v>
                </c:pt>
              </c:numCache>
            </c:numRef>
          </c:xVal>
          <c:yVal>
            <c:numRef>
              <c:f>'сепарация газа'!$D$54:$D$69</c:f>
              <c:numCache>
                <c:formatCode>0.00</c:formatCode>
                <c:ptCount val="16"/>
                <c:pt idx="0">
                  <c:v>0.95797276312934088</c:v>
                </c:pt>
                <c:pt idx="1">
                  <c:v>0.8602371564847171</c:v>
                </c:pt>
                <c:pt idx="2">
                  <c:v>0.76071227682696319</c:v>
                </c:pt>
                <c:pt idx="3">
                  <c:v>0.65872042904498562</c:v>
                </c:pt>
                <c:pt idx="4">
                  <c:v>0.55474435726221705</c:v>
                </c:pt>
                <c:pt idx="5">
                  <c:v>0.44995254916928878</c:v>
                </c:pt>
                <c:pt idx="6">
                  <c:v>0.3458322131530554</c:v>
                </c:pt>
                <c:pt idx="7">
                  <c:v>0.24391147552237946</c:v>
                </c:pt>
                <c:pt idx="8">
                  <c:v>0.14545875956660079</c:v>
                </c:pt>
                <c:pt idx="9">
                  <c:v>5.1299214771467649E-2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CE-49F7-892A-9254316C0D91}"/>
            </c:ext>
          </c:extLst>
        </c:ser>
        <c:ser>
          <c:idx val="1"/>
          <c:order val="1"/>
          <c:tx>
            <c:strRef>
              <c:f>'сепарация газа'!$E$53</c:f>
              <c:strCache>
                <c:ptCount val="1"/>
                <c:pt idx="0">
                  <c:v>gas_fraction_sep n_sol =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газа'!$B$54:$B$69</c:f>
              <c:numCache>
                <c:formatCode>0</c:formatCode>
                <c:ptCount val="16"/>
                <c:pt idx="0">
                  <c:v>5</c:v>
                </c:pt>
                <c:pt idx="1">
                  <c:v>16.667000000000002</c:v>
                </c:pt>
                <c:pt idx="2">
                  <c:v>28.332999999999998</c:v>
                </c:pt>
                <c:pt idx="3">
                  <c:v>40</c:v>
                </c:pt>
                <c:pt idx="4">
                  <c:v>51.667000000000002</c:v>
                </c:pt>
                <c:pt idx="5">
                  <c:v>63.332999999999998</c:v>
                </c:pt>
                <c:pt idx="6">
                  <c:v>75</c:v>
                </c:pt>
                <c:pt idx="7">
                  <c:v>86.667000000000002</c:v>
                </c:pt>
                <c:pt idx="8">
                  <c:v>98.332999999999998</c:v>
                </c:pt>
                <c:pt idx="9">
                  <c:v>110</c:v>
                </c:pt>
                <c:pt idx="10">
                  <c:v>121.667</c:v>
                </c:pt>
                <c:pt idx="11">
                  <c:v>133.333</c:v>
                </c:pt>
                <c:pt idx="12">
                  <c:v>145</c:v>
                </c:pt>
                <c:pt idx="13">
                  <c:v>156.667</c:v>
                </c:pt>
                <c:pt idx="14">
                  <c:v>168.333</c:v>
                </c:pt>
                <c:pt idx="15">
                  <c:v>180</c:v>
                </c:pt>
              </c:numCache>
            </c:numRef>
          </c:xVal>
          <c:yVal>
            <c:numRef>
              <c:f>'сепарация газа'!$E$54:$E$69</c:f>
              <c:numCache>
                <c:formatCode>0.00</c:formatCode>
                <c:ptCount val="16"/>
                <c:pt idx="0">
                  <c:v>0.91226236162207863</c:v>
                </c:pt>
                <c:pt idx="1">
                  <c:v>0.71734062777579499</c:v>
                </c:pt>
                <c:pt idx="2">
                  <c:v>0.52745271663861448</c:v>
                </c:pt>
                <c:pt idx="3">
                  <c:v>0.37919365608916539</c:v>
                </c:pt>
                <c:pt idx="4">
                  <c:v>0.31703044889381876</c:v>
                </c:pt>
                <c:pt idx="5">
                  <c:v>0.27088714406790465</c:v>
                </c:pt>
                <c:pt idx="6">
                  <c:v>0.23546728137987677</c:v>
                </c:pt>
                <c:pt idx="7">
                  <c:v>0.20763407449489346</c:v>
                </c:pt>
                <c:pt idx="8">
                  <c:v>0.1853851440683586</c:v>
                </c:pt>
                <c:pt idx="9">
                  <c:v>0.16736090652828864</c:v>
                </c:pt>
                <c:pt idx="10">
                  <c:v>0.15260240023556684</c:v>
                </c:pt>
                <c:pt idx="11">
                  <c:v>0.1404049580713625</c:v>
                </c:pt>
                <c:pt idx="12">
                  <c:v>0.13023522077552721</c:v>
                </c:pt>
                <c:pt idx="13">
                  <c:v>0.12168719969236085</c:v>
                </c:pt>
                <c:pt idx="14">
                  <c:v>0.11444567000842089</c:v>
                </c:pt>
                <c:pt idx="15">
                  <c:v>0.10826230918465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CE-49F7-892A-9254316C0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24319"/>
        <c:axId val="125208959"/>
      </c:scatterChart>
      <c:valAx>
        <c:axId val="12522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208959"/>
        <c:crosses val="autoZero"/>
        <c:crossBetween val="midCat"/>
      </c:valAx>
      <c:valAx>
        <c:axId val="12520895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22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10000"/>
        <a:lumOff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  <a:r>
              <a:rPr lang="ru-RU" baseline="0"/>
              <a:t> ГЖС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'сепарация газа'!$F$53</c:f>
              <c:strCache>
                <c:ptCount val="1"/>
                <c:pt idx="0">
                  <c:v>q_mix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газа'!$B$55:$B$69</c:f>
              <c:numCache>
                <c:formatCode>0</c:formatCode>
                <c:ptCount val="15"/>
                <c:pt idx="0">
                  <c:v>16.667000000000002</c:v>
                </c:pt>
                <c:pt idx="1">
                  <c:v>28.332999999999998</c:v>
                </c:pt>
                <c:pt idx="2">
                  <c:v>40</c:v>
                </c:pt>
                <c:pt idx="3">
                  <c:v>51.667000000000002</c:v>
                </c:pt>
                <c:pt idx="4">
                  <c:v>63.332999999999998</c:v>
                </c:pt>
                <c:pt idx="5">
                  <c:v>75</c:v>
                </c:pt>
                <c:pt idx="6">
                  <c:v>86.667000000000002</c:v>
                </c:pt>
                <c:pt idx="7">
                  <c:v>98.332999999999998</c:v>
                </c:pt>
                <c:pt idx="8">
                  <c:v>110</c:v>
                </c:pt>
                <c:pt idx="9">
                  <c:v>121.667</c:v>
                </c:pt>
                <c:pt idx="10">
                  <c:v>133.333</c:v>
                </c:pt>
                <c:pt idx="11">
                  <c:v>145</c:v>
                </c:pt>
                <c:pt idx="12">
                  <c:v>156.667</c:v>
                </c:pt>
                <c:pt idx="13">
                  <c:v>168.333</c:v>
                </c:pt>
                <c:pt idx="14">
                  <c:v>180</c:v>
                </c:pt>
              </c:numCache>
            </c:numRef>
          </c:xVal>
          <c:yVal>
            <c:numRef>
              <c:f>'сепарация газа'!$F$55:$F$69</c:f>
              <c:numCache>
                <c:formatCode>0</c:formatCode>
                <c:ptCount val="15"/>
                <c:pt idx="0">
                  <c:v>220.49139449812941</c:v>
                </c:pt>
                <c:pt idx="1">
                  <c:v>130.21490238391954</c:v>
                </c:pt>
                <c:pt idx="2">
                  <c:v>92.432307483826108</c:v>
                </c:pt>
                <c:pt idx="3">
                  <c:v>71.798393560218884</c:v>
                </c:pt>
                <c:pt idx="4">
                  <c:v>58.948630234850953</c:v>
                </c:pt>
                <c:pt idx="5">
                  <c:v>50.308107892073252</c:v>
                </c:pt>
                <c:pt idx="6">
                  <c:v>44.204391856491952</c:v>
                </c:pt>
                <c:pt idx="7">
                  <c:v>39.740707515025264</c:v>
                </c:pt>
                <c:pt idx="8">
                  <c:v>36.388074192903282</c:v>
                </c:pt>
                <c:pt idx="9">
                  <c:v>34.794401814066859</c:v>
                </c:pt>
                <c:pt idx="10">
                  <c:v>34.695408018339606</c:v>
                </c:pt>
                <c:pt idx="11">
                  <c:v>34.612399667473412</c:v>
                </c:pt>
                <c:pt idx="12">
                  <c:v>34.541753924476801</c:v>
                </c:pt>
                <c:pt idx="13">
                  <c:v>34.480863189024411</c:v>
                </c:pt>
                <c:pt idx="14">
                  <c:v>34.427790010377848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50-426B-9AD0-F5B9BE09CE73}"/>
            </c:ext>
          </c:extLst>
        </c:ser>
        <c:ser>
          <c:idx val="1"/>
          <c:order val="1"/>
          <c:tx>
            <c:strRef>
              <c:f>'сепарация газа'!$G$53</c:f>
              <c:strCache>
                <c:ptCount val="1"/>
                <c:pt idx="0">
                  <c:v>q_mix_sep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газа'!$B$55:$B$69</c:f>
              <c:numCache>
                <c:formatCode>0</c:formatCode>
                <c:ptCount val="15"/>
                <c:pt idx="0">
                  <c:v>16.667000000000002</c:v>
                </c:pt>
                <c:pt idx="1">
                  <c:v>28.332999999999998</c:v>
                </c:pt>
                <c:pt idx="2">
                  <c:v>40</c:v>
                </c:pt>
                <c:pt idx="3">
                  <c:v>51.667000000000002</c:v>
                </c:pt>
                <c:pt idx="4">
                  <c:v>63.332999999999998</c:v>
                </c:pt>
                <c:pt idx="5">
                  <c:v>75</c:v>
                </c:pt>
                <c:pt idx="6">
                  <c:v>86.667000000000002</c:v>
                </c:pt>
                <c:pt idx="7">
                  <c:v>98.332999999999998</c:v>
                </c:pt>
                <c:pt idx="8">
                  <c:v>110</c:v>
                </c:pt>
                <c:pt idx="9">
                  <c:v>121.667</c:v>
                </c:pt>
                <c:pt idx="10">
                  <c:v>133.333</c:v>
                </c:pt>
                <c:pt idx="11">
                  <c:v>145</c:v>
                </c:pt>
                <c:pt idx="12">
                  <c:v>156.667</c:v>
                </c:pt>
                <c:pt idx="13">
                  <c:v>168.333</c:v>
                </c:pt>
                <c:pt idx="14">
                  <c:v>180</c:v>
                </c:pt>
              </c:numCache>
            </c:numRef>
          </c:xVal>
          <c:yVal>
            <c:numRef>
              <c:f>'сепарация газа'!$G$55:$G$69</c:f>
              <c:numCache>
                <c:formatCode>0</c:formatCode>
                <c:ptCount val="15"/>
                <c:pt idx="0">
                  <c:v>109.01645545043274</c:v>
                </c:pt>
                <c:pt idx="1">
                  <c:v>65.929898770411114</c:v>
                </c:pt>
                <c:pt idx="2">
                  <c:v>50.519116821735977</c:v>
                </c:pt>
                <c:pt idx="3">
                  <c:v>45.82416399887255</c:v>
                </c:pt>
                <c:pt idx="4">
                  <c:v>42.866660891810582</c:v>
                </c:pt>
                <c:pt idx="5">
                  <c:v>40.842739114327649</c:v>
                </c:pt>
                <c:pt idx="6">
                  <c:v>39.381074225637946</c:v>
                </c:pt>
                <c:pt idx="7">
                  <c:v>38.285244567722955</c:v>
                </c:pt>
                <c:pt idx="8">
                  <c:v>37.440658536061804</c:v>
                </c:pt>
                <c:pt idx="9">
                  <c:v>36.775811310702075</c:v>
                </c:pt>
                <c:pt idx="10">
                  <c:v>36.243385764726789</c:v>
                </c:pt>
                <c:pt idx="11">
                  <c:v>35.810635038077287</c:v>
                </c:pt>
                <c:pt idx="12">
                  <c:v>35.454360550823296</c:v>
                </c:pt>
                <c:pt idx="13">
                  <c:v>35.157625723506428</c:v>
                </c:pt>
                <c:pt idx="14">
                  <c:v>34.907770691258548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50-426B-9AD0-F5B9BE09C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24319"/>
        <c:axId val="125208959"/>
      </c:scatterChart>
      <c:valAx>
        <c:axId val="12522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208959"/>
        <c:crosses val="autoZero"/>
        <c:crossBetween val="midCat"/>
      </c:valAx>
      <c:valAx>
        <c:axId val="12520895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22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10000"/>
        <a:lumOff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  <a:r>
              <a:rPr lang="ru-RU" baseline="0"/>
              <a:t> газа р.у.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'сепарация газа'!$H$53</c:f>
              <c:strCache>
                <c:ptCount val="1"/>
                <c:pt idx="0">
                  <c:v>q_gas_rc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газа'!$B$55:$B$69</c:f>
              <c:numCache>
                <c:formatCode>0</c:formatCode>
                <c:ptCount val="15"/>
                <c:pt idx="0">
                  <c:v>16.667000000000002</c:v>
                </c:pt>
                <c:pt idx="1">
                  <c:v>28.332999999999998</c:v>
                </c:pt>
                <c:pt idx="2">
                  <c:v>40</c:v>
                </c:pt>
                <c:pt idx="3">
                  <c:v>51.667000000000002</c:v>
                </c:pt>
                <c:pt idx="4">
                  <c:v>63.332999999999998</c:v>
                </c:pt>
                <c:pt idx="5">
                  <c:v>75</c:v>
                </c:pt>
                <c:pt idx="6">
                  <c:v>86.667000000000002</c:v>
                </c:pt>
                <c:pt idx="7">
                  <c:v>98.332999999999998</c:v>
                </c:pt>
                <c:pt idx="8">
                  <c:v>110</c:v>
                </c:pt>
                <c:pt idx="9">
                  <c:v>121.667</c:v>
                </c:pt>
                <c:pt idx="10">
                  <c:v>133.333</c:v>
                </c:pt>
                <c:pt idx="11">
                  <c:v>145</c:v>
                </c:pt>
                <c:pt idx="12">
                  <c:v>156.667</c:v>
                </c:pt>
                <c:pt idx="13">
                  <c:v>168.333</c:v>
                </c:pt>
                <c:pt idx="14">
                  <c:v>180</c:v>
                </c:pt>
              </c:numCache>
            </c:numRef>
          </c:xVal>
          <c:yVal>
            <c:numRef>
              <c:f>'сепарация газа'!$H$55:$H$69</c:f>
              <c:numCache>
                <c:formatCode>0.0</c:formatCode>
                <c:ptCount val="15"/>
                <c:pt idx="0">
                  <c:v>189.67489023242084</c:v>
                </c:pt>
                <c:pt idx="1">
                  <c:v>99.05607486927218</c:v>
                </c:pt>
                <c:pt idx="2">
                  <c:v>60.887049243363975</c:v>
                </c:pt>
                <c:pt idx="3">
                  <c:v>39.829753688023331</c:v>
                </c:pt>
                <c:pt idx="4">
                  <c:v>26.524086444208997</c:v>
                </c:pt>
                <c:pt idx="5">
                  <c:v>17.398164291858386</c:v>
                </c:pt>
                <c:pt idx="6">
                  <c:v>10.781958442286406</c:v>
                </c:pt>
                <c:pt idx="7">
                  <c:v>5.7806340194346655</c:v>
                </c:pt>
                <c:pt idx="8">
                  <c:v>1.8666796331418452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95-494C-9C48-7587667CF729}"/>
            </c:ext>
          </c:extLst>
        </c:ser>
        <c:ser>
          <c:idx val="1"/>
          <c:order val="1"/>
          <c:tx>
            <c:strRef>
              <c:f>'сепарация газа'!$I$53</c:f>
              <c:strCache>
                <c:ptCount val="1"/>
                <c:pt idx="0">
                  <c:v>q_gas_rc_sep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газа'!$B$55:$B$69</c:f>
              <c:numCache>
                <c:formatCode>0</c:formatCode>
                <c:ptCount val="15"/>
                <c:pt idx="0">
                  <c:v>16.667000000000002</c:v>
                </c:pt>
                <c:pt idx="1">
                  <c:v>28.332999999999998</c:v>
                </c:pt>
                <c:pt idx="2">
                  <c:v>40</c:v>
                </c:pt>
                <c:pt idx="3">
                  <c:v>51.667000000000002</c:v>
                </c:pt>
                <c:pt idx="4">
                  <c:v>63.332999999999998</c:v>
                </c:pt>
                <c:pt idx="5">
                  <c:v>75</c:v>
                </c:pt>
                <c:pt idx="6">
                  <c:v>86.667000000000002</c:v>
                </c:pt>
                <c:pt idx="7">
                  <c:v>98.332999999999998</c:v>
                </c:pt>
                <c:pt idx="8">
                  <c:v>110</c:v>
                </c:pt>
                <c:pt idx="9">
                  <c:v>121.667</c:v>
                </c:pt>
                <c:pt idx="10">
                  <c:v>133.333</c:v>
                </c:pt>
                <c:pt idx="11">
                  <c:v>145</c:v>
                </c:pt>
                <c:pt idx="12">
                  <c:v>156.667</c:v>
                </c:pt>
                <c:pt idx="13">
                  <c:v>168.333</c:v>
                </c:pt>
                <c:pt idx="14">
                  <c:v>180</c:v>
                </c:pt>
              </c:numCache>
            </c:numRef>
          </c:xVal>
          <c:yVal>
            <c:numRef>
              <c:f>'сепарация газа'!$I$55:$I$69</c:f>
              <c:numCache>
                <c:formatCode>0.0</c:formatCode>
                <c:ptCount val="15"/>
                <c:pt idx="0">
                  <c:v>78.201932590705411</c:v>
                </c:pt>
                <c:pt idx="1">
                  <c:v>34.774904214162191</c:v>
                </c:pt>
                <c:pt idx="2">
                  <c:v>19.156528610029721</c:v>
                </c:pt>
                <c:pt idx="3">
                  <c:v>14.527655282746533</c:v>
                </c:pt>
                <c:pt idx="4">
                  <c:v>11.612027344709908</c:v>
                </c:pt>
                <c:pt idx="5">
                  <c:v>9.6171287433582879</c:v>
                </c:pt>
                <c:pt idx="6">
                  <c:v>8.1768528994550387</c:v>
                </c:pt>
                <c:pt idx="7">
                  <c:v>7.0975155798796639</c:v>
                </c:pt>
                <c:pt idx="8">
                  <c:v>6.2661025536114119</c:v>
                </c:pt>
                <c:pt idx="9">
                  <c:v>5.6120770766234438</c:v>
                </c:pt>
                <c:pt idx="10">
                  <c:v>5.088751058660681</c:v>
                </c:pt>
                <c:pt idx="11">
                  <c:v>4.6638059602958259</c:v>
                </c:pt>
                <c:pt idx="12">
                  <c:v>4.3143418523129951</c:v>
                </c:pt>
                <c:pt idx="13">
                  <c:v>4.023638031831986</c:v>
                </c:pt>
                <c:pt idx="14">
                  <c:v>3.7791958635238965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95-494C-9C48-7587667CF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24319"/>
        <c:axId val="125208959"/>
      </c:scatterChart>
      <c:valAx>
        <c:axId val="12522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208959"/>
        <c:crosses val="autoZero"/>
        <c:crossBetween val="midCat"/>
      </c:valAx>
      <c:valAx>
        <c:axId val="12520895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22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10000"/>
        <a:lumOff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'сепарация газа'!$D$53</c:f>
              <c:strCache>
                <c:ptCount val="1"/>
                <c:pt idx="0">
                  <c:v>gas_fraction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'сепарация газа'!$B$54:$B$69</c:f>
              <c:numCache>
                <c:formatCode>0</c:formatCode>
                <c:ptCount val="16"/>
                <c:pt idx="0">
                  <c:v>5</c:v>
                </c:pt>
                <c:pt idx="1">
                  <c:v>16.667000000000002</c:v>
                </c:pt>
                <c:pt idx="2">
                  <c:v>28.332999999999998</c:v>
                </c:pt>
                <c:pt idx="3">
                  <c:v>40</c:v>
                </c:pt>
                <c:pt idx="4">
                  <c:v>51.667000000000002</c:v>
                </c:pt>
                <c:pt idx="5">
                  <c:v>63.332999999999998</c:v>
                </c:pt>
                <c:pt idx="6">
                  <c:v>75</c:v>
                </c:pt>
                <c:pt idx="7">
                  <c:v>86.667000000000002</c:v>
                </c:pt>
                <c:pt idx="8">
                  <c:v>98.332999999999998</c:v>
                </c:pt>
                <c:pt idx="9">
                  <c:v>110</c:v>
                </c:pt>
                <c:pt idx="10">
                  <c:v>121.667</c:v>
                </c:pt>
                <c:pt idx="11">
                  <c:v>133.333</c:v>
                </c:pt>
                <c:pt idx="12">
                  <c:v>145</c:v>
                </c:pt>
                <c:pt idx="13">
                  <c:v>156.667</c:v>
                </c:pt>
                <c:pt idx="14">
                  <c:v>168.333</c:v>
                </c:pt>
                <c:pt idx="15">
                  <c:v>180</c:v>
                </c:pt>
              </c:numCache>
            </c:numRef>
          </c:xVal>
          <c:yVal>
            <c:numRef>
              <c:f>'сепарация газа'!$D$54:$D$69</c:f>
              <c:numCache>
                <c:formatCode>0.00</c:formatCode>
                <c:ptCount val="16"/>
                <c:pt idx="0">
                  <c:v>0.95797276312934088</c:v>
                </c:pt>
                <c:pt idx="1">
                  <c:v>0.8602371564847171</c:v>
                </c:pt>
                <c:pt idx="2">
                  <c:v>0.76071227682696319</c:v>
                </c:pt>
                <c:pt idx="3">
                  <c:v>0.65872042904498562</c:v>
                </c:pt>
                <c:pt idx="4">
                  <c:v>0.55474435726221705</c:v>
                </c:pt>
                <c:pt idx="5">
                  <c:v>0.44995254916928878</c:v>
                </c:pt>
                <c:pt idx="6">
                  <c:v>0.3458322131530554</c:v>
                </c:pt>
                <c:pt idx="7">
                  <c:v>0.24391147552237946</c:v>
                </c:pt>
                <c:pt idx="8">
                  <c:v>0.14545875956660079</c:v>
                </c:pt>
                <c:pt idx="9">
                  <c:v>5.1299214771467649E-2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FF-4866-A2CA-DA950D8177CC}"/>
            </c:ext>
          </c:extLst>
        </c:ser>
        <c:ser>
          <c:idx val="1"/>
          <c:order val="1"/>
          <c:tx>
            <c:strRef>
              <c:f>'сепарация газа'!$E$53</c:f>
              <c:strCache>
                <c:ptCount val="1"/>
                <c:pt idx="0">
                  <c:v>gas_fraction_sep n_sol =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'сепарация газа'!$B$54:$B$69</c:f>
              <c:numCache>
                <c:formatCode>0</c:formatCode>
                <c:ptCount val="16"/>
                <c:pt idx="0">
                  <c:v>5</c:v>
                </c:pt>
                <c:pt idx="1">
                  <c:v>16.667000000000002</c:v>
                </c:pt>
                <c:pt idx="2">
                  <c:v>28.332999999999998</c:v>
                </c:pt>
                <c:pt idx="3">
                  <c:v>40</c:v>
                </c:pt>
                <c:pt idx="4">
                  <c:v>51.667000000000002</c:v>
                </c:pt>
                <c:pt idx="5">
                  <c:v>63.332999999999998</c:v>
                </c:pt>
                <c:pt idx="6">
                  <c:v>75</c:v>
                </c:pt>
                <c:pt idx="7">
                  <c:v>86.667000000000002</c:v>
                </c:pt>
                <c:pt idx="8">
                  <c:v>98.332999999999998</c:v>
                </c:pt>
                <c:pt idx="9">
                  <c:v>110</c:v>
                </c:pt>
                <c:pt idx="10">
                  <c:v>121.667</c:v>
                </c:pt>
                <c:pt idx="11">
                  <c:v>133.333</c:v>
                </c:pt>
                <c:pt idx="12">
                  <c:v>145</c:v>
                </c:pt>
                <c:pt idx="13">
                  <c:v>156.667</c:v>
                </c:pt>
                <c:pt idx="14">
                  <c:v>168.333</c:v>
                </c:pt>
                <c:pt idx="15">
                  <c:v>180</c:v>
                </c:pt>
              </c:numCache>
            </c:numRef>
          </c:xVal>
          <c:yVal>
            <c:numRef>
              <c:f>'сепарация газа'!$E$54:$E$69</c:f>
              <c:numCache>
                <c:formatCode>0.00</c:formatCode>
                <c:ptCount val="16"/>
                <c:pt idx="0">
                  <c:v>0.91226236162207863</c:v>
                </c:pt>
                <c:pt idx="1">
                  <c:v>0.71734062777579499</c:v>
                </c:pt>
                <c:pt idx="2">
                  <c:v>0.52745271663861448</c:v>
                </c:pt>
                <c:pt idx="3">
                  <c:v>0.37919365608916539</c:v>
                </c:pt>
                <c:pt idx="4">
                  <c:v>0.31703044889381876</c:v>
                </c:pt>
                <c:pt idx="5">
                  <c:v>0.27088714406790465</c:v>
                </c:pt>
                <c:pt idx="6">
                  <c:v>0.23546728137987677</c:v>
                </c:pt>
                <c:pt idx="7">
                  <c:v>0.20763407449489346</c:v>
                </c:pt>
                <c:pt idx="8">
                  <c:v>0.1853851440683586</c:v>
                </c:pt>
                <c:pt idx="9">
                  <c:v>0.16736090652828864</c:v>
                </c:pt>
                <c:pt idx="10">
                  <c:v>0.15260240023556684</c:v>
                </c:pt>
                <c:pt idx="11">
                  <c:v>0.1404049580713625</c:v>
                </c:pt>
                <c:pt idx="12">
                  <c:v>0.13023522077552721</c:v>
                </c:pt>
                <c:pt idx="13">
                  <c:v>0.12168719969236085</c:v>
                </c:pt>
                <c:pt idx="14">
                  <c:v>0.11444567000842089</c:v>
                </c:pt>
                <c:pt idx="15">
                  <c:v>0.10826230918465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FF-4866-A2CA-DA950D8177CC}"/>
            </c:ext>
          </c:extLst>
        </c:ser>
        <c:ser>
          <c:idx val="2"/>
          <c:order val="2"/>
          <c:tx>
            <c:strRef>
              <c:f>'сепарация газа'!$D$73</c:f>
              <c:strCache>
                <c:ptCount val="1"/>
                <c:pt idx="0">
                  <c:v>gas_fraction_sep n_sol = 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'сепарация газа'!$B$54:$B$69</c:f>
              <c:numCache>
                <c:formatCode>0</c:formatCode>
                <c:ptCount val="16"/>
                <c:pt idx="0">
                  <c:v>5</c:v>
                </c:pt>
                <c:pt idx="1">
                  <c:v>16.667000000000002</c:v>
                </c:pt>
                <c:pt idx="2">
                  <c:v>28.332999999999998</c:v>
                </c:pt>
                <c:pt idx="3">
                  <c:v>40</c:v>
                </c:pt>
                <c:pt idx="4">
                  <c:v>51.667000000000002</c:v>
                </c:pt>
                <c:pt idx="5">
                  <c:v>63.332999999999998</c:v>
                </c:pt>
                <c:pt idx="6">
                  <c:v>75</c:v>
                </c:pt>
                <c:pt idx="7">
                  <c:v>86.667000000000002</c:v>
                </c:pt>
                <c:pt idx="8">
                  <c:v>98.332999999999998</c:v>
                </c:pt>
                <c:pt idx="9">
                  <c:v>110</c:v>
                </c:pt>
                <c:pt idx="10">
                  <c:v>121.667</c:v>
                </c:pt>
                <c:pt idx="11">
                  <c:v>133.333</c:v>
                </c:pt>
                <c:pt idx="12">
                  <c:v>145</c:v>
                </c:pt>
                <c:pt idx="13">
                  <c:v>156.667</c:v>
                </c:pt>
                <c:pt idx="14">
                  <c:v>168.333</c:v>
                </c:pt>
                <c:pt idx="15">
                  <c:v>180</c:v>
                </c:pt>
              </c:numCache>
            </c:numRef>
          </c:xVal>
          <c:yVal>
            <c:numRef>
              <c:f>'сепарация газа'!$D$74:$D$89</c:f>
              <c:numCache>
                <c:formatCode>0.00</c:formatCode>
                <c:ptCount val="16"/>
                <c:pt idx="0">
                  <c:v>0.91226600996864993</c:v>
                </c:pt>
                <c:pt idx="1">
                  <c:v>0.7173491894072862</c:v>
                </c:pt>
                <c:pt idx="2">
                  <c:v>0.52745726467920728</c:v>
                </c:pt>
                <c:pt idx="3">
                  <c:v>0.3407439918934887</c:v>
                </c:pt>
                <c:pt idx="4">
                  <c:v>0.15910809062955605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FF-4866-A2CA-DA950D817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24319"/>
        <c:axId val="125208959"/>
      </c:scatterChart>
      <c:valAx>
        <c:axId val="12522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208959"/>
        <c:crosses val="autoZero"/>
        <c:crossBetween val="midCat"/>
      </c:valAx>
      <c:valAx>
        <c:axId val="12520895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522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85724</xdr:colOff>
      <xdr:row>3</xdr:row>
      <xdr:rowOff>152399</xdr:rowOff>
    </xdr:from>
    <xdr:to>
      <xdr:col>18</xdr:col>
      <xdr:colOff>295275</xdr:colOff>
      <xdr:row>20</xdr:row>
      <xdr:rowOff>28574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C8540BD-DEEB-5A1B-4BEC-8DF107E516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266140</xdr:colOff>
      <xdr:row>3</xdr:row>
      <xdr:rowOff>152399</xdr:rowOff>
    </xdr:from>
    <xdr:to>
      <xdr:col>23</xdr:col>
      <xdr:colOff>447116</xdr:colOff>
      <xdr:row>20</xdr:row>
      <xdr:rowOff>47624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2A364925-FFF4-039D-E9BB-CDB7139A22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451597</xdr:colOff>
      <xdr:row>3</xdr:row>
      <xdr:rowOff>141193</xdr:rowOff>
    </xdr:from>
    <xdr:to>
      <xdr:col>28</xdr:col>
      <xdr:colOff>589991</xdr:colOff>
      <xdr:row>20</xdr:row>
      <xdr:rowOff>55468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7216046-ED7B-F52F-48EA-E588DE659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107015</xdr:colOff>
      <xdr:row>31</xdr:row>
      <xdr:rowOff>149038</xdr:rowOff>
    </xdr:from>
    <xdr:to>
      <xdr:col>18</xdr:col>
      <xdr:colOff>316566</xdr:colOff>
      <xdr:row>48</xdr:row>
      <xdr:rowOff>25213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6803827A-F8C6-6716-1D5E-4170C1CC4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308162</xdr:colOff>
      <xdr:row>31</xdr:row>
      <xdr:rowOff>149037</xdr:rowOff>
    </xdr:from>
    <xdr:to>
      <xdr:col>23</xdr:col>
      <xdr:colOff>484655</xdr:colOff>
      <xdr:row>48</xdr:row>
      <xdr:rowOff>44262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831DCC8D-92E4-86B1-1002-4B7A1A0FD5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505945</xdr:colOff>
      <xdr:row>31</xdr:row>
      <xdr:rowOff>158562</xdr:rowOff>
    </xdr:from>
    <xdr:to>
      <xdr:col>29</xdr:col>
      <xdr:colOff>43704</xdr:colOff>
      <xdr:row>48</xdr:row>
      <xdr:rowOff>72837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25A5F71A-5E8D-6F40-E4A0-B8B7B645BB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120423</xdr:colOff>
      <xdr:row>51</xdr:row>
      <xdr:rowOff>178932</xdr:rowOff>
    </xdr:from>
    <xdr:to>
      <xdr:col>15</xdr:col>
      <xdr:colOff>382362</xdr:colOff>
      <xdr:row>69</xdr:row>
      <xdr:rowOff>67235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84EFBBE9-2F77-6679-F49A-8748C27073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229080</xdr:colOff>
      <xdr:row>51</xdr:row>
      <xdr:rowOff>180654</xdr:rowOff>
    </xdr:from>
    <xdr:to>
      <xdr:col>22</xdr:col>
      <xdr:colOff>190980</xdr:colOff>
      <xdr:row>69</xdr:row>
      <xdr:rowOff>67235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6BE1CC80-FDF2-4656-BA52-48FB17B542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128067</xdr:colOff>
      <xdr:row>51</xdr:row>
      <xdr:rowOff>163286</xdr:rowOff>
    </xdr:from>
    <xdr:to>
      <xdr:col>29</xdr:col>
      <xdr:colOff>94450</xdr:colOff>
      <xdr:row>69</xdr:row>
      <xdr:rowOff>78441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D0AD5A4A-1BD4-4422-8EE4-1D13FEB3E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493059</xdr:colOff>
      <xdr:row>20</xdr:row>
      <xdr:rowOff>123265</xdr:rowOff>
    </xdr:from>
    <xdr:to>
      <xdr:col>13</xdr:col>
      <xdr:colOff>437030</xdr:colOff>
      <xdr:row>30</xdr:row>
      <xdr:rowOff>156882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5EFAA16-3712-4F3C-9757-C32120D692D3}"/>
            </a:ext>
          </a:extLst>
        </xdr:cNvPr>
        <xdr:cNvSpPr txBox="1"/>
      </xdr:nvSpPr>
      <xdr:spPr>
        <a:xfrm>
          <a:off x="4168588" y="3933265"/>
          <a:ext cx="5569324" cy="1938617"/>
        </a:xfrm>
        <a:prstGeom prst="rect">
          <a:avLst/>
        </a:prstGeom>
        <a:solidFill>
          <a:srgbClr val="FAFEC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Пример показывает как можно</a:t>
          </a:r>
          <a:r>
            <a:rPr lang="en-US" sz="1100"/>
            <a:t> </a:t>
          </a:r>
          <a:r>
            <a:rPr lang="ru-RU" sz="1100"/>
            <a:t>учесть</a:t>
          </a:r>
          <a:r>
            <a:rPr lang="ru-RU" sz="1100" baseline="0"/>
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Вопросы </a:t>
          </a:r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- Как влияют на свойства флюидов и свойства потока давление и температура сепарации?</a:t>
          </a:r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- Как влияет на свойства потока коэффициент фазной неравновестности? Почему при </a:t>
          </a:r>
          <a:r>
            <a:rPr lang="en-US" sz="1100" baseline="0"/>
            <a:t>sol_factor=0 </a:t>
          </a:r>
          <a:r>
            <a:rPr lang="ru-RU" sz="1100" baseline="0"/>
            <a:t>в потоке при давлении выше давления насыщения может появиться свободный газ? Может ли такое наблюдаться на скважине? </a:t>
          </a:r>
          <a:endParaRPr lang="ru-RU" sz="1100"/>
        </a:p>
      </xdr:txBody>
    </xdr:sp>
    <xdr:clientData/>
  </xdr:twoCellAnchor>
  <xdr:twoCellAnchor>
    <xdr:from>
      <xdr:col>6</xdr:col>
      <xdr:colOff>392206</xdr:colOff>
      <xdr:row>71</xdr:row>
      <xdr:rowOff>179294</xdr:rowOff>
    </xdr:from>
    <xdr:to>
      <xdr:col>14</xdr:col>
      <xdr:colOff>44824</xdr:colOff>
      <xdr:row>88</xdr:row>
      <xdr:rowOff>179294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BF065449-ED0C-4985-84B0-E3B7B99B4C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decode_json"/>
      <definedName name="encode_feed"/>
      <definedName name="encode_linspace"/>
      <definedName name="encode_PVT"/>
      <definedName name="feed_gas_fraction_d"/>
      <definedName name="feed_mod_separate_gas"/>
      <definedName name="feed_q_gas_rc_m3day"/>
      <definedName name="feed_q_mix_rc_m3day"/>
      <definedName name="PVT_bo_m3m3"/>
      <definedName name="PVT_mu_oil_cP"/>
      <definedName name="PVT_rs_m3m3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3376A-2EF9-4119-864D-C9B71CA9B9EC}">
  <sheetPr codeName="Лист1"/>
  <dimension ref="A1:M89"/>
  <sheetViews>
    <sheetView tabSelected="1" zoomScale="85" zoomScaleNormal="85" workbookViewId="0">
      <selection activeCell="Q25" sqref="Q25"/>
    </sheetView>
  </sheetViews>
  <sheetFormatPr defaultRowHeight="15" x14ac:dyDescent="0.25"/>
  <cols>
    <col min="2" max="2" width="21.28515625" customWidth="1"/>
    <col min="4" max="4" width="15.5703125" customWidth="1"/>
    <col min="6" max="6" width="11" customWidth="1"/>
    <col min="11" max="11" width="9.5703125" bestFit="1" customWidth="1"/>
    <col min="12" max="13" width="9.28515625" bestFit="1" customWidth="1"/>
  </cols>
  <sheetData>
    <row r="1" spans="1:13" x14ac:dyDescent="0.25">
      <c r="A1" t="s">
        <v>49</v>
      </c>
      <c r="J1" t="s">
        <v>0</v>
      </c>
      <c r="K1" t="str" cm="1">
        <f t="array" ref="K1">[1]!unf_Version()</f>
        <v>7.57</v>
      </c>
    </row>
    <row r="3" spans="1:13" x14ac:dyDescent="0.25">
      <c r="A3" t="s">
        <v>1</v>
      </c>
      <c r="F3" t="s">
        <v>18</v>
      </c>
    </row>
    <row r="4" spans="1:13" x14ac:dyDescent="0.25">
      <c r="I4" s="8" t="s">
        <v>23</v>
      </c>
      <c r="J4" s="8" t="s">
        <v>24</v>
      </c>
      <c r="K4" s="8" t="s">
        <v>26</v>
      </c>
      <c r="L4" s="8" t="s">
        <v>27</v>
      </c>
      <c r="M4" s="8" t="s">
        <v>28</v>
      </c>
    </row>
    <row r="5" spans="1:13" x14ac:dyDescent="0.25">
      <c r="B5" s="1" t="s">
        <v>2</v>
      </c>
      <c r="C5" s="2">
        <v>0.6</v>
      </c>
      <c r="F5" s="1" t="s">
        <v>19</v>
      </c>
      <c r="G5" s="2">
        <v>5</v>
      </c>
      <c r="I5" s="11">
        <f t="array" ref="I5:I20">[1]!decode_json($G$8)</f>
        <v>5</v>
      </c>
      <c r="J5" s="7">
        <f>T_C</f>
        <v>50</v>
      </c>
      <c r="K5" s="11" cm="1">
        <f t="array" ref="K5">[1]!PVT_rs_m3m3(I5,J5,feed_json)</f>
        <v>2.7062963082686791</v>
      </c>
      <c r="L5" s="10" cm="1">
        <f t="array" ref="L5">[1]!PVT_bo_m3m3(I5,J5,feed_json)</f>
        <v>1.0182113770417931</v>
      </c>
      <c r="M5" s="10" cm="1">
        <f t="array" ref="M5">[1]!PVT_mu_oil_cP(I5,J5,feed_json)</f>
        <v>5.5290884478298636</v>
      </c>
    </row>
    <row r="6" spans="1:13" x14ac:dyDescent="0.25">
      <c r="B6" s="1" t="s">
        <v>3</v>
      </c>
      <c r="C6" s="2">
        <v>0.86</v>
      </c>
      <c r="F6" s="1" t="s">
        <v>20</v>
      </c>
      <c r="G6" s="2">
        <v>180</v>
      </c>
      <c r="I6" s="11">
        <v>16.667000000000002</v>
      </c>
      <c r="J6" s="7">
        <f>T_C</f>
        <v>50</v>
      </c>
      <c r="K6" s="11" cm="1">
        <f t="array" ref="K6">[1]!PVT_rs_m3m3(I6,J6,feed_json)</f>
        <v>11.532721702224674</v>
      </c>
      <c r="L6" s="10" cm="1">
        <f t="array" ref="L6">[1]!PVT_bo_m3m3(I6,J6,feed_json)</f>
        <v>1.0286692191668252</v>
      </c>
      <c r="M6" s="10" cm="1">
        <f t="array" ref="M6">[1]!PVT_mu_oil_cP(I6,J6,feed_json)</f>
        <v>3.9483313257020511</v>
      </c>
    </row>
    <row r="7" spans="1:13" x14ac:dyDescent="0.25">
      <c r="B7" s="1" t="s">
        <v>4</v>
      </c>
      <c r="C7" s="2">
        <v>1.1000000000000001</v>
      </c>
      <c r="F7" s="1" t="s">
        <v>21</v>
      </c>
      <c r="G7" s="2">
        <v>15</v>
      </c>
      <c r="I7" s="11">
        <v>28.332999999999998</v>
      </c>
      <c r="J7" s="7">
        <f>T_C</f>
        <v>50</v>
      </c>
      <c r="K7" s="11" cm="1">
        <f t="array" ref="K7">[1]!PVT_rs_m3m3(I7,J7,feed_json)</f>
        <v>21.846189879690733</v>
      </c>
      <c r="L7" s="10" cm="1">
        <f t="array" ref="L7">[1]!PVT_bo_m3m3(I7,J7,feed_json)</f>
        <v>1.0413625218830851</v>
      </c>
      <c r="M7" s="10" cm="1">
        <f t="array" ref="M7">[1]!PVT_mu_oil_cP(I7,J7,feed_json)</f>
        <v>2.976429476331651</v>
      </c>
    </row>
    <row r="8" spans="1:13" x14ac:dyDescent="0.25">
      <c r="B8" s="1" t="s">
        <v>5</v>
      </c>
      <c r="C8" s="2">
        <v>120</v>
      </c>
      <c r="F8" s="1" t="s">
        <v>22</v>
      </c>
      <c r="G8" s="3" t="str">
        <f>[1]!encode_linspace(G5,G6,G7)</f>
        <v>[5,16.667,28.333,40,51.667,63.333,75,86.667,98.333,110,121.667,133.333,145,156.667,168.333,180]</v>
      </c>
      <c r="I8" s="11">
        <v>40</v>
      </c>
      <c r="J8" s="7">
        <f>T_C</f>
        <v>50</v>
      </c>
      <c r="K8" s="11" cm="1">
        <f t="array" ref="K8">[1]!PVT_rs_m3m3(I8,J8,feed_json)</f>
        <v>33.089917886330383</v>
      </c>
      <c r="L8" s="10" cm="1">
        <f t="array" ref="L8">[1]!PVT_bo_m3m3(I8,J8,feed_json)</f>
        <v>1.0556910683022738</v>
      </c>
      <c r="M8" s="10" cm="1">
        <f t="array" ref="M8">[1]!PVT_mu_oil_cP(I8,J8,feed_json)</f>
        <v>2.3610135294371739</v>
      </c>
    </row>
    <row r="9" spans="1:13" x14ac:dyDescent="0.25">
      <c r="B9" s="1" t="s">
        <v>6</v>
      </c>
      <c r="C9" s="2">
        <v>130</v>
      </c>
      <c r="I9" s="11">
        <v>51.667000000000002</v>
      </c>
      <c r="J9" s="7">
        <f>T_C</f>
        <v>50</v>
      </c>
      <c r="K9" s="11" cm="1">
        <f t="array" ref="K9">[1]!PVT_rs_m3m3(I9,J9,feed_json)</f>
        <v>45.032308128981946</v>
      </c>
      <c r="L9" s="10" cm="1">
        <f t="array" ref="L9">[1]!PVT_bo_m3m3(I9,J9,feed_json)</f>
        <v>1.0713897990537629</v>
      </c>
      <c r="M9" s="10" cm="1">
        <f t="array" ref="M9">[1]!PVT_mu_oil_cP(I9,J9,feed_json)</f>
        <v>1.9468045529684317</v>
      </c>
    </row>
    <row r="10" spans="1:13" x14ac:dyDescent="0.25">
      <c r="B10" s="1" t="s">
        <v>7</v>
      </c>
      <c r="C10" s="2">
        <v>80</v>
      </c>
      <c r="F10" s="1" t="s">
        <v>25</v>
      </c>
      <c r="G10" s="2">
        <v>50</v>
      </c>
      <c r="I10" s="11">
        <v>63.332999999999998</v>
      </c>
      <c r="J10" s="7">
        <f>T_C</f>
        <v>50</v>
      </c>
      <c r="K10" s="11" cm="1">
        <f t="array" ref="K10">[1]!PVT_rs_m3m3(I10,J10,feed_json)</f>
        <v>57.541085789738169</v>
      </c>
      <c r="L10" s="10" cm="1">
        <f t="array" ref="L10">[1]!PVT_bo_m3m3(I10,J10,feed_json)</f>
        <v>1.0882946894573815</v>
      </c>
      <c r="M10" s="10" cm="1">
        <f t="array" ref="M10">[1]!PVT_mu_oil_cP(I10,J10,feed_json)</f>
        <v>1.6527357268742602</v>
      </c>
    </row>
    <row r="11" spans="1:13" x14ac:dyDescent="0.25">
      <c r="B11" s="1" t="s">
        <v>8</v>
      </c>
      <c r="C11" s="2">
        <v>1.2</v>
      </c>
      <c r="I11" s="11">
        <v>75</v>
      </c>
      <c r="J11" s="7">
        <f>T_C</f>
        <v>50</v>
      </c>
      <c r="K11" s="11" cm="1">
        <f t="array" ref="K11">[1]!PVT_rs_m3m3(I11,J11,feed_json)</f>
        <v>70.532490820077186</v>
      </c>
      <c r="L11" s="10" cm="1">
        <f t="array" ref="L11">[1]!PVT_bo_m3m3(I11,J11,feed_json)</f>
        <v>1.106293654141056</v>
      </c>
      <c r="M11" s="10" cm="1">
        <f t="array" ref="M11">[1]!PVT_mu_oil_cP(I11,J11,feed_json)</f>
        <v>1.4347022000453582</v>
      </c>
    </row>
    <row r="12" spans="1:13" x14ac:dyDescent="0.25">
      <c r="B12" s="1" t="s">
        <v>9</v>
      </c>
      <c r="C12" s="2">
        <v>0.6</v>
      </c>
      <c r="I12" s="11">
        <v>86.667000000000002</v>
      </c>
      <c r="J12" s="7">
        <f>T_C</f>
        <v>50</v>
      </c>
      <c r="K12" s="11" cm="1">
        <f t="array" ref="K12">[1]!PVT_rs_m3m3(I12,J12,feed_json)</f>
        <v>83.944334663825444</v>
      </c>
      <c r="L12" s="10" cm="1">
        <f t="array" ref="L12">[1]!PVT_bo_m3m3(I12,J12,feed_json)</f>
        <v>1.1252975845829245</v>
      </c>
      <c r="M12" s="10" cm="1">
        <f t="array" ref="M12">[1]!PVT_mu_oil_cP(I12,J12,feed_json)</f>
        <v>1.2673460118820215</v>
      </c>
    </row>
    <row r="13" spans="1:13" x14ac:dyDescent="0.25">
      <c r="B13" s="1" t="s">
        <v>10</v>
      </c>
      <c r="C13" s="2">
        <v>0</v>
      </c>
      <c r="I13" s="11">
        <v>98.332999999999998</v>
      </c>
      <c r="J13" s="7">
        <f>T_C</f>
        <v>50</v>
      </c>
      <c r="K13" s="11" cm="1">
        <f t="array" ref="K13">[1]!PVT_rs_m3m3(I13,J13,feed_json)</f>
        <v>97.729438583338563</v>
      </c>
      <c r="L13" s="10" cm="1">
        <f t="array" ref="L13">[1]!PVT_bo_m3m3(I13,J13,feed_json)</f>
        <v>1.1452346365046819</v>
      </c>
      <c r="M13" s="10" cm="1">
        <f t="array" ref="M13">[1]!PVT_mu_oil_cP(I13,J13,feed_json)</f>
        <v>1.1352252580117612</v>
      </c>
    </row>
    <row r="14" spans="1:13" x14ac:dyDescent="0.25">
      <c r="B14" s="1" t="s">
        <v>11</v>
      </c>
      <c r="C14" s="3" t="str">
        <f>[1]!encode_PVT(C5,C6,C7,C8,C9,C10,C11,C12,C13)</f>
        <v>{"gamma_gas":0.6,"gamma_oil":0.86,"gamma_wat":1.1,"rsb_m3m3":120,"pb_atma":130,"t_res_C":80,"bob_m3m3":1.2,"muob_cP":0.6,"PVT_corr_set":0}</v>
      </c>
      <c r="D14" t="s">
        <v>17</v>
      </c>
      <c r="I14" s="11">
        <v>110</v>
      </c>
      <c r="J14" s="7">
        <f>T_C</f>
        <v>50</v>
      </c>
      <c r="K14" s="11" cm="1">
        <f t="array" ref="K14">[1]!PVT_rs_m3m3(I14,J14,feed_json)</f>
        <v>111.85418887547368</v>
      </c>
      <c r="L14" s="10" cm="1">
        <f t="array" ref="L14">[1]!PVT_bo_m3m3(I14,J14,feed_json)</f>
        <v>1.1660503961506128</v>
      </c>
      <c r="M14" s="10" cm="1">
        <f t="array" ref="M14">[1]!PVT_mu_oil_cP(I14,J14,feed_json)</f>
        <v>1.0284568246728487</v>
      </c>
    </row>
    <row r="15" spans="1:13" x14ac:dyDescent="0.25">
      <c r="B15" s="1" t="s">
        <v>12</v>
      </c>
      <c r="C15" s="2">
        <v>30</v>
      </c>
      <c r="I15" s="11">
        <v>121.667</v>
      </c>
      <c r="J15" s="7">
        <f>T_C</f>
        <v>50</v>
      </c>
      <c r="K15" s="11" cm="1">
        <f t="array" ref="K15">[1]!PVT_rs_m3m3(I15,J15,feed_json)</f>
        <v>120</v>
      </c>
      <c r="L15" s="10" cm="1">
        <f t="array" ref="L15">[1]!PVT_bo_m3m3(I15,J15,feed_json)</f>
        <v>1.1761894988035082</v>
      </c>
      <c r="M15" s="10" cm="1">
        <f t="array" ref="M15">[1]!PVT_mu_oil_cP(I15,J15,feed_json)</f>
        <v>0.9899159195811158</v>
      </c>
    </row>
    <row r="16" spans="1:13" x14ac:dyDescent="0.25">
      <c r="B16" s="1" t="s">
        <v>13</v>
      </c>
      <c r="C16" s="2">
        <v>10</v>
      </c>
      <c r="I16" s="11">
        <v>133.333</v>
      </c>
      <c r="J16" s="7">
        <f>T_C</f>
        <v>50</v>
      </c>
      <c r="K16" s="11" cm="1">
        <f t="array" ref="K16">[1]!PVT_rs_m3m3(I16,J16,feed_json)</f>
        <v>120</v>
      </c>
      <c r="L16" s="10" cm="1">
        <f t="array" ref="L16">[1]!PVT_bo_m3m3(I16,J16,feed_json)</f>
        <v>1.1725524144637387</v>
      </c>
      <c r="M16" s="10" cm="1">
        <f t="array" ref="M16">[1]!PVT_mu_oil_cP(I16,J16,feed_json)</f>
        <v>1.0194121935606455</v>
      </c>
    </row>
    <row r="17" spans="1:13" x14ac:dyDescent="0.25">
      <c r="B17" s="1" t="s">
        <v>14</v>
      </c>
      <c r="C17" s="2">
        <v>120</v>
      </c>
      <c r="I17" s="11">
        <v>145</v>
      </c>
      <c r="J17" s="7">
        <f>T_C</f>
        <v>50</v>
      </c>
      <c r="K17" s="11" cm="1">
        <f t="array" ref="K17">[1]!PVT_rs_m3m3(I17,J17,feed_json)</f>
        <v>120</v>
      </c>
      <c r="L17" s="10" cm="1">
        <f t="array" ref="L17">[1]!PVT_bo_m3m3(I17,J17,feed_json)</f>
        <v>1.169509018344705</v>
      </c>
      <c r="M17" s="10" cm="1">
        <f t="array" ref="M17">[1]!PVT_mu_oil_cP(I17,J17,feed_json)</f>
        <v>1.0514819258573247</v>
      </c>
    </row>
    <row r="18" spans="1:13" x14ac:dyDescent="0.25">
      <c r="B18" s="1" t="s">
        <v>15</v>
      </c>
      <c r="C18" s="2">
        <v>0</v>
      </c>
      <c r="I18" s="11">
        <v>156.667</v>
      </c>
      <c r="J18" s="7">
        <f>T_C</f>
        <v>50</v>
      </c>
      <c r="K18" s="11" cm="1">
        <f t="array" ref="K18">[1]!PVT_rs_m3m3(I18,J18,feed_json)</f>
        <v>120</v>
      </c>
      <c r="L18" s="10" cm="1">
        <f t="array" ref="L18">[1]!PVT_bo_m3m3(I18,J18,feed_json)</f>
        <v>1.1669251288524509</v>
      </c>
      <c r="M18" s="10" cm="1">
        <f t="array" ref="M18">[1]!PVT_mu_oil_cP(I18,J18,feed_json)</f>
        <v>1.0859103238389829</v>
      </c>
    </row>
    <row r="19" spans="1:13" x14ac:dyDescent="0.25">
      <c r="B19" s="1" t="s">
        <v>16</v>
      </c>
      <c r="C19" s="3" t="str">
        <f>[1]!encode_feed(C15,C16,C17,C18,C14)</f>
        <v>{"gamma_gas":0.6,"gamma_oil":0.86,"gamma_wat":1.1,"rsb_m3m3":120,"pb_atma":130,"t_res_C":80,"bob_m3m3":1.2,"muob_cP":0.6,"PVT_corr_set":0,"q_liq_sm3day":30,"fw_perc":10,"rp_m3m3":120}</v>
      </c>
      <c r="D19" t="s">
        <v>17</v>
      </c>
      <c r="I19" s="11">
        <v>168.333</v>
      </c>
      <c r="J19" s="7">
        <f>T_C</f>
        <v>50</v>
      </c>
      <c r="K19" s="11" cm="1">
        <f t="array" ref="K19">[1]!PVT_rs_m3m3(I19,J19,feed_json)</f>
        <v>120</v>
      </c>
      <c r="L19" s="10" cm="1">
        <f t="array" ref="L19">[1]!PVT_bo_m3m3(I19,J19,feed_json)</f>
        <v>1.1647041651914203</v>
      </c>
      <c r="M19" s="10" cm="1">
        <f t="array" ref="M19">[1]!PVT_mu_oil_cP(I19,J19,feed_json)</f>
        <v>1.1225035970170356</v>
      </c>
    </row>
    <row r="20" spans="1:13" x14ac:dyDescent="0.25">
      <c r="I20" s="11">
        <v>180</v>
      </c>
      <c r="J20" s="7">
        <f>T_C</f>
        <v>50</v>
      </c>
      <c r="K20" s="11" cm="1">
        <f t="array" ref="K20">[1]!PVT_rs_m3m3(I20,J20,feed_json)</f>
        <v>120</v>
      </c>
      <c r="L20" s="10" cm="1">
        <f t="array" ref="L20">[1]!PVT_bo_m3m3(I20,J20,feed_json)</f>
        <v>1.1627743757984097</v>
      </c>
      <c r="M20" s="10" cm="1">
        <f t="array" ref="M20">[1]!PVT_mu_oil_cP(I20,J20,feed_json)</f>
        <v>1.1610923348559687</v>
      </c>
    </row>
    <row r="23" spans="1:13" x14ac:dyDescent="0.25">
      <c r="A23" t="s">
        <v>29</v>
      </c>
    </row>
    <row r="25" spans="1:13" x14ac:dyDescent="0.25">
      <c r="B25" s="1" t="s">
        <v>30</v>
      </c>
      <c r="C25" s="2">
        <v>0.7</v>
      </c>
    </row>
    <row r="26" spans="1:13" x14ac:dyDescent="0.25">
      <c r="B26" s="1" t="s">
        <v>31</v>
      </c>
      <c r="C26" s="2">
        <v>40</v>
      </c>
    </row>
    <row r="27" spans="1:13" x14ac:dyDescent="0.25">
      <c r="B27" s="1" t="s">
        <v>32</v>
      </c>
      <c r="C27" s="2">
        <v>80</v>
      </c>
    </row>
    <row r="28" spans="1:13" x14ac:dyDescent="0.25">
      <c r="B28" s="1" t="s">
        <v>16</v>
      </c>
      <c r="C28" s="4" t="str">
        <f>feed_json</f>
        <v>{"gamma_gas":0.6,"gamma_oil":0.86,"gamma_wat":1.1,"rsb_m3m3":120,"pb_atma":130,"t_res_C":80,"bob_m3m3":1.2,"muob_cP":0.6,"PVT_corr_set":0,"q_liq_sm3day":30,"fw_perc":10,"rp_m3m3":120}</v>
      </c>
      <c r="D28" t="s">
        <v>17</v>
      </c>
    </row>
    <row r="29" spans="1:13" x14ac:dyDescent="0.25">
      <c r="B29" s="1" t="s">
        <v>33</v>
      </c>
      <c r="C29" s="2">
        <v>0</v>
      </c>
      <c r="D29" s="2">
        <f>1-C29</f>
        <v>1</v>
      </c>
    </row>
    <row r="30" spans="1:13" x14ac:dyDescent="0.25">
      <c r="B30" s="1" t="s">
        <v>34</v>
      </c>
      <c r="C30" s="3" t="str">
        <f>[1]!feed_mod_separate_gas(C25,C26,C27,C28,C29)</f>
        <v>{"gamma_gas":0.6,"gamma_oil":0.86,"gamma_wat":1.1,"rsb_m3m3":28.852,"pb_atma":39.991,"t_res_C":80,"bob_m3m3":1.069,"muob_cP":1.302,"PVT_corr_set":0,"q_liq_sm3day":30,"fw_perc":10,"rp_m3m3":56.196}</v>
      </c>
      <c r="D30" s="3" t="str">
        <f>[1]!feed_mod_separate_gas(C25,C26,C27,C28,D29)</f>
        <v>{"gamma_gas":0.6,"gamma_oil":0.86,"gamma_wat":1.1,"rsb_m3m3":56.196,"pb_atma":69.537,"t_res_C":80,"bob_m3m3":1.106,"muob_cP":0.934,"PVT_corr_set":0,"q_liq_sm3day":30,"fw_perc":10,"rp_m3m3":56.196}</v>
      </c>
      <c r="E30" t="s">
        <v>17</v>
      </c>
    </row>
    <row r="33" spans="1:13" x14ac:dyDescent="0.25">
      <c r="A33" t="s">
        <v>38</v>
      </c>
      <c r="I33" s="14" t="s">
        <v>23</v>
      </c>
      <c r="J33" s="14" t="s">
        <v>24</v>
      </c>
      <c r="K33" s="8" t="s">
        <v>35</v>
      </c>
      <c r="L33" s="8" t="s">
        <v>36</v>
      </c>
      <c r="M33" s="8" t="s">
        <v>37</v>
      </c>
    </row>
    <row r="34" spans="1:13" x14ac:dyDescent="0.25">
      <c r="B34" s="9" t="s">
        <v>40</v>
      </c>
      <c r="C34" s="9"/>
      <c r="D34" s="9" t="s">
        <v>41</v>
      </c>
      <c r="E34" s="9"/>
      <c r="F34" s="8" t="s">
        <v>39</v>
      </c>
      <c r="I34" s="11">
        <f t="array" ref="I34:I49">[1]!decode_json($G$8)</f>
        <v>5</v>
      </c>
      <c r="J34" s="7">
        <f>T_C</f>
        <v>50</v>
      </c>
      <c r="K34" s="11" cm="1">
        <f t="array" ref="K34">[1]!PVT_rs_m3m3(I34,J34,feed_sep_gas)</f>
        <v>2.6928748882266307</v>
      </c>
      <c r="L34" s="10" cm="1">
        <f t="array" ref="L34">[1]!PVT_bo_m3m3(I34,J34,feed_sep_gas)</f>
        <v>1.0181930374260231</v>
      </c>
      <c r="M34" s="10" cm="1">
        <f t="array" ref="M34">[1]!PVT_mu_oil_cP(I34,J34,feed_sep_gas)</f>
        <v>5.5373265342901332</v>
      </c>
    </row>
    <row r="35" spans="1:13" x14ac:dyDescent="0.25">
      <c r="B35" s="5" t="str">
        <f t="array" ref="B35:C47">[1]!decode_json($C$19)</f>
        <v>gamma_gas</v>
      </c>
      <c r="C35" s="7">
        <v>0.6</v>
      </c>
      <c r="D35" s="5" t="str">
        <f t="array" ref="D35:E47">[1]!decode_json($C$30)</f>
        <v>gamma_gas</v>
      </c>
      <c r="E35" s="7">
        <v>0.6</v>
      </c>
      <c r="F35" s="6">
        <f>(E35-C35)/C35</f>
        <v>0</v>
      </c>
      <c r="I35" s="11">
        <v>16.667000000000002</v>
      </c>
      <c r="J35" s="7">
        <f>T_C</f>
        <v>50</v>
      </c>
      <c r="K35" s="11" cm="1">
        <f t="array" ref="K35">[1]!PVT_rs_m3m3(I35,J35,feed_sep_gas)</f>
        <v>11.47552711428518</v>
      </c>
      <c r="L35" s="10" cm="1">
        <f t="array" ref="L35">[1]!PVT_bo_m3m3(I35,J35,feed_sep_gas)</f>
        <v>1.0285958337601129</v>
      </c>
      <c r="M35" s="10" cm="1">
        <f t="array" ref="M35">[1]!PVT_mu_oil_cP(I35,J35,feed_sep_gas)</f>
        <v>3.9590510809937065</v>
      </c>
    </row>
    <row r="36" spans="1:13" x14ac:dyDescent="0.25">
      <c r="B36" s="5" t="str">
        <v>gamma_oil</v>
      </c>
      <c r="C36" s="7">
        <v>0.86</v>
      </c>
      <c r="D36" s="5" t="str">
        <v>gamma_oil</v>
      </c>
      <c r="E36" s="7">
        <v>0.86</v>
      </c>
      <c r="F36" s="6">
        <f t="shared" ref="F36:F46" si="0">(E36-C36)/C36</f>
        <v>0</v>
      </c>
      <c r="I36" s="11">
        <v>28.332999999999998</v>
      </c>
      <c r="J36" s="7">
        <f>T_C</f>
        <v>50</v>
      </c>
      <c r="K36" s="11" cm="1">
        <f t="array" ref="K36">[1]!PVT_rs_m3m3(I36,J36,feed_sep_gas)</f>
        <v>21.737847386003761</v>
      </c>
      <c r="L36" s="10" cm="1">
        <f t="array" ref="L36">[1]!PVT_bo_m3m3(I36,J36,feed_sep_gas)</f>
        <v>1.0412205604609208</v>
      </c>
      <c r="M36" s="10" cm="1">
        <f t="array" ref="M36">[1]!PVT_mu_oil_cP(I36,J36,feed_sep_gas)</f>
        <v>2.9866531595679313</v>
      </c>
    </row>
    <row r="37" spans="1:13" x14ac:dyDescent="0.25">
      <c r="B37" s="5" t="str">
        <v>gamma_wat</v>
      </c>
      <c r="C37" s="7">
        <v>1.1000000000000001</v>
      </c>
      <c r="D37" s="5" t="str">
        <v>gamma_wat</v>
      </c>
      <c r="E37" s="7">
        <v>1.1000000000000001</v>
      </c>
      <c r="F37" s="6">
        <f t="shared" si="0"/>
        <v>0</v>
      </c>
      <c r="I37" s="11">
        <v>40</v>
      </c>
      <c r="J37" s="7">
        <f>T_C</f>
        <v>50</v>
      </c>
      <c r="K37" s="11" cm="1">
        <f t="array" ref="K37">[1]!PVT_rs_m3m3(I37,J37,feed_sep_gas)</f>
        <v>28.852</v>
      </c>
      <c r="L37" s="10" cm="1">
        <f t="array" ref="L37">[1]!PVT_bo_m3m3(I37,J37,feed_sep_gas)</f>
        <v>1.0489255116816856</v>
      </c>
      <c r="M37" s="10" cm="1">
        <f t="array" ref="M37">[1]!PVT_mu_oil_cP(I37,J37,feed_sep_gas)</f>
        <v>2.5876587446578645</v>
      </c>
    </row>
    <row r="38" spans="1:13" x14ac:dyDescent="0.25">
      <c r="B38" s="5" t="str">
        <v>rsb_m3m3</v>
      </c>
      <c r="C38" s="7">
        <v>120</v>
      </c>
      <c r="D38" s="5" t="str">
        <v>rsb_m3m3</v>
      </c>
      <c r="E38" s="7">
        <v>28.852</v>
      </c>
      <c r="F38" s="6">
        <f t="shared" si="0"/>
        <v>-0.75956666666666661</v>
      </c>
      <c r="I38" s="11">
        <v>51.667000000000002</v>
      </c>
      <c r="J38" s="7">
        <f>T_C</f>
        <v>50</v>
      </c>
      <c r="K38" s="11" cm="1">
        <f t="array" ref="K38">[1]!PVT_rs_m3m3(I38,J38,feed_sep_gas)</f>
        <v>28.852</v>
      </c>
      <c r="L38" s="10" cm="1">
        <f t="array" ref="L38">[1]!PVT_bo_m3m3(I38,J38,feed_sep_gas)</f>
        <v>1.0464960525326685</v>
      </c>
      <c r="M38" s="10" cm="1">
        <f t="array" ref="M38">[1]!PVT_mu_oil_cP(I38,J38,feed_sep_gas)</f>
        <v>2.67790087952128</v>
      </c>
    </row>
    <row r="39" spans="1:13" x14ac:dyDescent="0.25">
      <c r="B39" s="5" t="str">
        <v>pb_atma</v>
      </c>
      <c r="C39" s="7">
        <v>130</v>
      </c>
      <c r="D39" s="5" t="str">
        <v>pb_atma</v>
      </c>
      <c r="E39" s="7">
        <v>39.991</v>
      </c>
      <c r="F39" s="6">
        <f t="shared" si="0"/>
        <v>-0.69237692307692311</v>
      </c>
      <c r="I39" s="11">
        <v>63.332999999999998</v>
      </c>
      <c r="J39" s="7">
        <f>T_C</f>
        <v>50</v>
      </c>
      <c r="K39" s="11" cm="1">
        <f t="array" ref="K39">[1]!PVT_rs_m3m3(I39,J39,feed_sep_gas)</f>
        <v>28.852</v>
      </c>
      <c r="L39" s="10" cm="1">
        <f t="array" ref="L39">[1]!PVT_bo_m3m3(I39,J39,feed_sep_gas)</f>
        <v>1.0449646804373343</v>
      </c>
      <c r="M39" s="10" cm="1">
        <f t="array" ref="M39">[1]!PVT_mu_oil_cP(I39,J39,feed_sep_gas)</f>
        <v>2.7904661926351513</v>
      </c>
    </row>
    <row r="40" spans="1:13" x14ac:dyDescent="0.25">
      <c r="B40" s="5" t="str">
        <v>t_res_C</v>
      </c>
      <c r="C40" s="7">
        <v>80</v>
      </c>
      <c r="D40" s="5" t="str">
        <v>t_res_C</v>
      </c>
      <c r="E40" s="7">
        <v>80</v>
      </c>
      <c r="F40" s="6">
        <f t="shared" si="0"/>
        <v>0</v>
      </c>
      <c r="I40" s="11">
        <v>75</v>
      </c>
      <c r="J40" s="7">
        <f>T_C</f>
        <v>50</v>
      </c>
      <c r="K40" s="11" cm="1">
        <f t="array" ref="K40">[1]!PVT_rs_m3m3(I40,J40,feed_sep_gas)</f>
        <v>28.852</v>
      </c>
      <c r="L40" s="10" cm="1">
        <f t="array" ref="L40">[1]!PVT_bo_m3m3(I40,J40,feed_sep_gas)</f>
        <v>1.0439109419467782</v>
      </c>
      <c r="M40" s="10" cm="1">
        <f t="array" ref="M40">[1]!PVT_mu_oil_cP(I40,J40,feed_sep_gas)</f>
        <v>2.9228453104636167</v>
      </c>
    </row>
    <row r="41" spans="1:13" x14ac:dyDescent="0.25">
      <c r="B41" s="5" t="str">
        <v>bob_m3m3</v>
      </c>
      <c r="C41" s="7">
        <v>1.2</v>
      </c>
      <c r="D41" s="5" t="str">
        <v>bob_m3m3</v>
      </c>
      <c r="E41" s="7">
        <v>1.069</v>
      </c>
      <c r="F41" s="6">
        <f t="shared" si="0"/>
        <v>-0.10916666666666668</v>
      </c>
      <c r="I41" s="11">
        <v>86.667000000000002</v>
      </c>
      <c r="J41" s="7">
        <f>T_C</f>
        <v>50</v>
      </c>
      <c r="K41" s="11" cm="1">
        <f t="array" ref="K41">[1]!PVT_rs_m3m3(I41,J41,feed_sep_gas)</f>
        <v>28.852</v>
      </c>
      <c r="L41" s="10" cm="1">
        <f t="array" ref="L41">[1]!PVT_bo_m3m3(I41,J41,feed_sep_gas)</f>
        <v>1.0431415813228269</v>
      </c>
      <c r="M41" s="10" cm="1">
        <f t="array" ref="M41">[1]!PVT_mu_oil_cP(I41,J41,feed_sep_gas)</f>
        <v>3.0733965584976266</v>
      </c>
    </row>
    <row r="42" spans="1:13" x14ac:dyDescent="0.25">
      <c r="B42" s="5" t="str">
        <v>muob_cP</v>
      </c>
      <c r="C42" s="7">
        <v>0.6</v>
      </c>
      <c r="D42" s="5" t="str">
        <v>muob_cP</v>
      </c>
      <c r="E42" s="7">
        <v>1.302</v>
      </c>
      <c r="F42" s="6">
        <f t="shared" si="0"/>
        <v>1.1700000000000002</v>
      </c>
      <c r="I42" s="11">
        <v>98.332999999999998</v>
      </c>
      <c r="J42" s="7">
        <f>T_C</f>
        <v>50</v>
      </c>
      <c r="K42" s="11" cm="1">
        <f t="array" ref="K42">[1]!PVT_rs_m3m3(I42,J42,feed_sep_gas)</f>
        <v>28.852</v>
      </c>
      <c r="L42" s="10" cm="1">
        <f t="array" ref="L42">[1]!PVT_bo_m3m3(I42,J42,feed_sep_gas)</f>
        <v>1.0425552102918187</v>
      </c>
      <c r="M42" s="10" cm="1">
        <f t="array" ref="M42">[1]!PVT_mu_oil_cP(I42,J42,feed_sep_gas)</f>
        <v>3.2409791868294109</v>
      </c>
    </row>
    <row r="43" spans="1:13" x14ac:dyDescent="0.25">
      <c r="B43" s="5" t="str">
        <v>PVT_corr_set</v>
      </c>
      <c r="C43" s="7">
        <v>0</v>
      </c>
      <c r="D43" s="5" t="str">
        <v>PVT_corr_set</v>
      </c>
      <c r="E43" s="7">
        <v>0</v>
      </c>
      <c r="F43" s="6"/>
      <c r="I43" s="11">
        <v>110</v>
      </c>
      <c r="J43" s="7">
        <f>T_C</f>
        <v>50</v>
      </c>
      <c r="K43" s="11" cm="1">
        <f t="array" ref="K43">[1]!PVT_rs_m3m3(I43,J43,feed_sep_gas)</f>
        <v>28.852</v>
      </c>
      <c r="L43" s="10" cm="1">
        <f t="array" ref="L43">[1]!PVT_bo_m3m3(I43,J43,feed_sep_gas)</f>
        <v>1.042093411805759</v>
      </c>
      <c r="M43" s="10" cm="1">
        <f t="array" ref="M43">[1]!PVT_mu_oil_cP(I43,J43,feed_sep_gas)</f>
        <v>3.4247895899018763</v>
      </c>
    </row>
    <row r="44" spans="1:13" x14ac:dyDescent="0.25">
      <c r="B44" s="5" t="str">
        <v>q_liq_sm3day</v>
      </c>
      <c r="C44" s="7">
        <v>30</v>
      </c>
      <c r="D44" s="5" t="str">
        <v>q_liq_sm3day</v>
      </c>
      <c r="E44" s="7">
        <v>30</v>
      </c>
      <c r="F44" s="6">
        <f t="shared" si="0"/>
        <v>0</v>
      </c>
      <c r="I44" s="11">
        <v>121.667</v>
      </c>
      <c r="J44" s="7">
        <f>T_C</f>
        <v>50</v>
      </c>
      <c r="K44" s="11" cm="1">
        <f t="array" ref="K44">[1]!PVT_rs_m3m3(I44,J44,feed_sep_gas)</f>
        <v>28.852</v>
      </c>
      <c r="L44" s="10" cm="1">
        <f t="array" ref="L44">[1]!PVT_bo_m3m3(I44,J44,feed_sep_gas)</f>
        <v>1.0417203291743147</v>
      </c>
      <c r="M44" s="10" cm="1">
        <f t="array" ref="M44">[1]!PVT_mu_oil_cP(I44,J44,feed_sep_gas)</f>
        <v>3.6241469773300512</v>
      </c>
    </row>
    <row r="45" spans="1:13" x14ac:dyDescent="0.25">
      <c r="B45" s="5" t="str">
        <v>fw_perc</v>
      </c>
      <c r="C45" s="7">
        <v>10</v>
      </c>
      <c r="D45" s="5" t="str">
        <v>fw_perc</v>
      </c>
      <c r="E45" s="7">
        <v>10</v>
      </c>
      <c r="F45" s="6">
        <f t="shared" si="0"/>
        <v>0</v>
      </c>
      <c r="I45" s="11">
        <v>133.333</v>
      </c>
      <c r="J45" s="7">
        <f>T_C</f>
        <v>50</v>
      </c>
      <c r="K45" s="11" cm="1">
        <f t="array" ref="K45">[1]!PVT_rs_m3m3(I45,J45,feed_sep_gas)</f>
        <v>28.852</v>
      </c>
      <c r="L45" s="10" cm="1">
        <f t="array" ref="L45">[1]!PVT_bo_m3m3(I45,J45,feed_sep_gas)</f>
        <v>1.041412662157313</v>
      </c>
      <c r="M45" s="10" cm="1">
        <f t="array" ref="M45">[1]!PVT_mu_oil_cP(I45,J45,feed_sep_gas)</f>
        <v>3.8384489943497941</v>
      </c>
    </row>
    <row r="46" spans="1:13" x14ac:dyDescent="0.25">
      <c r="B46" s="5" t="str">
        <v>rp_m3m3</v>
      </c>
      <c r="C46" s="7">
        <v>120</v>
      </c>
      <c r="D46" s="5" t="str">
        <v>rp_m3m3</v>
      </c>
      <c r="E46" s="7">
        <v>56.195999999999998</v>
      </c>
      <c r="F46" s="6">
        <f t="shared" si="0"/>
        <v>-0.53170000000000006</v>
      </c>
      <c r="I46" s="11">
        <v>145</v>
      </c>
      <c r="J46" s="7">
        <f>T_C</f>
        <v>50</v>
      </c>
      <c r="K46" s="11" cm="1">
        <f t="array" ref="K46">[1]!PVT_rs_m3m3(I46,J46,feed_sep_gas)</f>
        <v>28.852</v>
      </c>
      <c r="L46" s="10" cm="1">
        <f t="array" ref="L46">[1]!PVT_bo_m3m3(I46,J46,feed_sep_gas)</f>
        <v>1.041154552059818</v>
      </c>
      <c r="M46" s="10" cm="1">
        <f t="array" ref="M46">[1]!PVT_mu_oil_cP(I46,J46,feed_sep_gas)</f>
        <v>4.0671786155372622</v>
      </c>
    </row>
    <row r="47" spans="1:13" x14ac:dyDescent="0.25">
      <c r="B47" s="5" t="e">
        <v>#N/A</v>
      </c>
      <c r="C47" s="7" t="e">
        <v>#N/A</v>
      </c>
      <c r="D47" s="5" t="e">
        <v>#N/A</v>
      </c>
      <c r="E47" s="7" t="e">
        <v>#N/A</v>
      </c>
      <c r="F47" s="5"/>
      <c r="I47" s="11">
        <v>156.667</v>
      </c>
      <c r="J47" s="7">
        <f>T_C</f>
        <v>50</v>
      </c>
      <c r="K47" s="11" cm="1">
        <f t="array" ref="K47">[1]!PVT_rs_m3m3(I47,J47,feed_sep_gas)</f>
        <v>28.852</v>
      </c>
      <c r="L47" s="10" cm="1">
        <f t="array" ref="L47">[1]!PVT_bo_m3m3(I47,J47,feed_sep_gas)</f>
        <v>1.0409349352981361</v>
      </c>
      <c r="M47" s="10" cm="1">
        <f t="array" ref="M47">[1]!PVT_mu_oil_cP(I47,J47,feed_sep_gas)</f>
        <v>4.309756673200881</v>
      </c>
    </row>
    <row r="48" spans="1:13" x14ac:dyDescent="0.25">
      <c r="I48" s="11">
        <v>168.333</v>
      </c>
      <c r="J48" s="7">
        <f>T_C</f>
        <v>50</v>
      </c>
      <c r="K48" s="11" cm="1">
        <f t="array" ref="K48">[1]!PVT_rs_m3m3(I48,J48,feed_sep_gas)</f>
        <v>28.852</v>
      </c>
      <c r="L48" s="10" cm="1">
        <f t="array" ref="L48">[1]!PVT_bo_m3m3(I48,J48,feed_sep_gas)</f>
        <v>1.0407458134377177</v>
      </c>
      <c r="M48" s="10" cm="1">
        <f t="array" ref="M48">[1]!PVT_mu_oil_cP(I48,J48,feed_sep_gas)</f>
        <v>4.5655657723556988</v>
      </c>
    </row>
    <row r="49" spans="1:13" x14ac:dyDescent="0.25">
      <c r="I49" s="11">
        <v>180</v>
      </c>
      <c r="J49" s="7">
        <f>T_C</f>
        <v>50</v>
      </c>
      <c r="K49" s="11" cm="1">
        <f t="array" ref="K49">[1]!PVT_rs_m3m3(I49,J49,feed_sep_gas)</f>
        <v>28.852</v>
      </c>
      <c r="L49" s="10" cm="1">
        <f t="array" ref="L49">[1]!PVT_bo_m3m3(I49,J49,feed_sep_gas)</f>
        <v>1.0405812208856986</v>
      </c>
      <c r="M49" s="10" cm="1">
        <f t="array" ref="M49">[1]!PVT_mu_oil_cP(I49,J49,feed_sep_gas)</f>
        <v>4.8340035160475825</v>
      </c>
    </row>
    <row r="52" spans="1:13" x14ac:dyDescent="0.25">
      <c r="A52" t="s">
        <v>42</v>
      </c>
    </row>
    <row r="53" spans="1:13" x14ac:dyDescent="0.25">
      <c r="B53" s="14" t="s">
        <v>23</v>
      </c>
      <c r="C53" s="14" t="s">
        <v>24</v>
      </c>
      <c r="D53" s="8" t="s">
        <v>43</v>
      </c>
      <c r="E53" s="8" t="str">
        <f>"gas_fraction_sep n_sol = "&amp;C29</f>
        <v>gas_fraction_sep n_sol = 0</v>
      </c>
      <c r="F53" s="8" t="s">
        <v>44</v>
      </c>
      <c r="G53" s="12" t="s">
        <v>45</v>
      </c>
      <c r="H53" s="8" t="s">
        <v>46</v>
      </c>
      <c r="I53" s="8" t="s">
        <v>47</v>
      </c>
    </row>
    <row r="54" spans="1:13" x14ac:dyDescent="0.25">
      <c r="B54" s="11">
        <f t="array" ref="B54:B69">[1]!decode_json($G$8)</f>
        <v>5</v>
      </c>
      <c r="C54" s="7">
        <f>T_C</f>
        <v>50</v>
      </c>
      <c r="D54" s="10" cm="1">
        <f t="array" ref="D54">[1]!feed_gas_fraction_d(B54,C54,feed_json)</f>
        <v>0.95797276312934088</v>
      </c>
      <c r="E54" s="10" cm="1">
        <f t="array" ref="E54">[1]!feed_gas_fraction_d(B54,C54,feed_sep_gas)</f>
        <v>0.91226236162207863</v>
      </c>
      <c r="F54" s="11" cm="1">
        <f t="array" ref="F54">[1]!feed_q_mix_rc_m3day(B54,C54,feed_json)</f>
        <v>726.5406124956038</v>
      </c>
      <c r="G54" s="11" cm="1">
        <f t="array" ref="G54">[1]!feed_q_mix_rc_m3day(B54,C54,feed_sep_gas)</f>
        <v>348.01482935246622</v>
      </c>
      <c r="H54" s="13" cm="1">
        <f t="array" ref="H54">[1]!feed_q_gas_rc_m3day(B54,C54,feed_json)</f>
        <v>696.00611807809742</v>
      </c>
      <c r="I54" s="13" cm="1">
        <f t="array" ref="I54">[1]!feed_q_gas_rc_m3day(B54,C54,feed_sep_gas)</f>
        <v>317.48083010458555</v>
      </c>
    </row>
    <row r="55" spans="1:13" x14ac:dyDescent="0.25">
      <c r="B55" s="11">
        <v>16.667000000000002</v>
      </c>
      <c r="C55" s="7">
        <f>T_C</f>
        <v>50</v>
      </c>
      <c r="D55" s="10" cm="1">
        <f t="array" ref="D55">[1]!feed_gas_fraction_d(B55,C55,feed_json)</f>
        <v>0.8602371564847171</v>
      </c>
      <c r="E55" s="10" cm="1">
        <f t="array" ref="E55">[1]!feed_gas_fraction_d(B55,C55,feed_sep_gas)</f>
        <v>0.71734062777579499</v>
      </c>
      <c r="F55" s="11" cm="1">
        <f t="array" ref="F55">[1]!feed_q_mix_rc_m3day(B55,C55,feed_json)</f>
        <v>220.49139449812941</v>
      </c>
      <c r="G55" s="11" cm="1">
        <f t="array" ref="G55">[1]!feed_q_mix_rc_m3day(B55,C55,feed_sep_gas)</f>
        <v>109.01645545043274</v>
      </c>
      <c r="H55" s="13" cm="1">
        <f t="array" ref="H55">[1]!feed_q_gas_rc_m3day(B55,C55,feed_json)</f>
        <v>189.67489023242084</v>
      </c>
      <c r="I55" s="13" cm="1">
        <f t="array" ref="I55">[1]!feed_q_gas_rc_m3day(B55,C55,feed_sep_gas)</f>
        <v>78.201932590705411</v>
      </c>
    </row>
    <row r="56" spans="1:13" x14ac:dyDescent="0.25">
      <c r="B56" s="11">
        <v>28.332999999999998</v>
      </c>
      <c r="C56" s="7">
        <f>T_C</f>
        <v>50</v>
      </c>
      <c r="D56" s="10" cm="1">
        <f t="array" ref="D56">[1]!feed_gas_fraction_d(B56,C56,feed_json)</f>
        <v>0.76071227682696319</v>
      </c>
      <c r="E56" s="10" cm="1">
        <f t="array" ref="E56">[1]!feed_gas_fraction_d(B56,C56,feed_sep_gas)</f>
        <v>0.52745271663861448</v>
      </c>
      <c r="F56" s="11" cm="1">
        <f t="array" ref="F56">[1]!feed_q_mix_rc_m3day(B56,C56,feed_json)</f>
        <v>130.21490238391954</v>
      </c>
      <c r="G56" s="11" cm="1">
        <f t="array" ref="G56">[1]!feed_q_mix_rc_m3day(B56,C56,feed_sep_gas)</f>
        <v>65.929898770411114</v>
      </c>
      <c r="H56" s="13" cm="1">
        <f t="array" ref="H56">[1]!feed_q_gas_rc_m3day(B56,C56,feed_json)</f>
        <v>99.05607486927218</v>
      </c>
      <c r="I56" s="13" cm="1">
        <f t="array" ref="I56">[1]!feed_q_gas_rc_m3day(B56,C56,feed_sep_gas)</f>
        <v>34.774904214162191</v>
      </c>
    </row>
    <row r="57" spans="1:13" x14ac:dyDescent="0.25">
      <c r="B57" s="11">
        <v>40</v>
      </c>
      <c r="C57" s="7">
        <f>T_C</f>
        <v>50</v>
      </c>
      <c r="D57" s="10" cm="1">
        <f t="array" ref="D57">[1]!feed_gas_fraction_d(B57,C57,feed_json)</f>
        <v>0.65872042904498562</v>
      </c>
      <c r="E57" s="10" cm="1">
        <f t="array" ref="E57">[1]!feed_gas_fraction_d(B57,C57,feed_sep_gas)</f>
        <v>0.37919365608916539</v>
      </c>
      <c r="F57" s="11" cm="1">
        <f t="array" ref="F57">[1]!feed_q_mix_rc_m3day(B57,C57,feed_json)</f>
        <v>92.432307483826108</v>
      </c>
      <c r="G57" s="11" cm="1">
        <f t="array" ref="G57">[1]!feed_q_mix_rc_m3day(B57,C57,feed_sep_gas)</f>
        <v>50.519116821735977</v>
      </c>
      <c r="H57" s="13" cm="1">
        <f t="array" ref="H57">[1]!feed_q_gas_rc_m3day(B57,C57,feed_json)</f>
        <v>60.887049243363975</v>
      </c>
      <c r="I57" s="13" cm="1">
        <f t="array" ref="I57">[1]!feed_q_gas_rc_m3day(B57,C57,feed_sep_gas)</f>
        <v>19.156528610029721</v>
      </c>
    </row>
    <row r="58" spans="1:13" x14ac:dyDescent="0.25">
      <c r="B58" s="11">
        <v>51.667000000000002</v>
      </c>
      <c r="C58" s="7">
        <f>T_C</f>
        <v>50</v>
      </c>
      <c r="D58" s="10" cm="1">
        <f t="array" ref="D58">[1]!feed_gas_fraction_d(B58,C58,feed_json)</f>
        <v>0.55474435726221705</v>
      </c>
      <c r="E58" s="10" cm="1">
        <f t="array" ref="E58">[1]!feed_gas_fraction_d(B58,C58,feed_sep_gas)</f>
        <v>0.31703044889381876</v>
      </c>
      <c r="F58" s="11" cm="1">
        <f t="array" ref="F58">[1]!feed_q_mix_rc_m3day(B58,C58,feed_json)</f>
        <v>71.798393560218884</v>
      </c>
      <c r="G58" s="11" cm="1">
        <f t="array" ref="G58">[1]!feed_q_mix_rc_m3day(B58,C58,feed_sep_gas)</f>
        <v>45.82416399887255</v>
      </c>
      <c r="H58" s="13" cm="1">
        <f t="array" ref="H58">[1]!feed_q_gas_rc_m3day(B58,C58,feed_json)</f>
        <v>39.829753688023331</v>
      </c>
      <c r="I58" s="13" cm="1">
        <f t="array" ref="I58">[1]!feed_q_gas_rc_m3day(B58,C58,feed_sep_gas)</f>
        <v>14.527655282746533</v>
      </c>
    </row>
    <row r="59" spans="1:13" x14ac:dyDescent="0.25">
      <c r="B59" s="11">
        <v>63.332999999999998</v>
      </c>
      <c r="C59" s="7">
        <f>T_C</f>
        <v>50</v>
      </c>
      <c r="D59" s="10" cm="1">
        <f t="array" ref="D59">[1]!feed_gas_fraction_d(B59,C59,feed_json)</f>
        <v>0.44995254916928878</v>
      </c>
      <c r="E59" s="10" cm="1">
        <f t="array" ref="E59">[1]!feed_gas_fraction_d(B59,C59,feed_sep_gas)</f>
        <v>0.27088714406790465</v>
      </c>
      <c r="F59" s="11" cm="1">
        <f t="array" ref="F59">[1]!feed_q_mix_rc_m3day(B59,C59,feed_json)</f>
        <v>58.948630234850953</v>
      </c>
      <c r="G59" s="11" cm="1">
        <f t="array" ref="G59">[1]!feed_q_mix_rc_m3day(B59,C59,feed_sep_gas)</f>
        <v>42.866660891810582</v>
      </c>
      <c r="H59" s="13" cm="1">
        <f t="array" ref="H59">[1]!feed_q_gas_rc_m3day(B59,C59,feed_json)</f>
        <v>26.524086444208997</v>
      </c>
      <c r="I59" s="13" cm="1">
        <f t="array" ref="I59">[1]!feed_q_gas_rc_m3day(B59,C59,feed_sep_gas)</f>
        <v>11.612027344709908</v>
      </c>
    </row>
    <row r="60" spans="1:13" x14ac:dyDescent="0.25">
      <c r="B60" s="11">
        <v>75</v>
      </c>
      <c r="C60" s="7">
        <f>T_C</f>
        <v>50</v>
      </c>
      <c r="D60" s="10" cm="1">
        <f t="array" ref="D60">[1]!feed_gas_fraction_d(B60,C60,feed_json)</f>
        <v>0.3458322131530554</v>
      </c>
      <c r="E60" s="10" cm="1">
        <f t="array" ref="E60">[1]!feed_gas_fraction_d(B60,C60,feed_sep_gas)</f>
        <v>0.23546728137987677</v>
      </c>
      <c r="F60" s="11" cm="1">
        <f t="array" ref="F60">[1]!feed_q_mix_rc_m3day(B60,C60,feed_json)</f>
        <v>50.308107892073252</v>
      </c>
      <c r="G60" s="11" cm="1">
        <f t="array" ref="G60">[1]!feed_q_mix_rc_m3day(B60,C60,feed_sep_gas)</f>
        <v>40.842739114327649</v>
      </c>
      <c r="H60" s="13" cm="1">
        <f t="array" ref="H60">[1]!feed_q_gas_rc_m3day(B60,C60,feed_json)</f>
        <v>17.398164291858386</v>
      </c>
      <c r="I60" s="13" cm="1">
        <f t="array" ref="I60">[1]!feed_q_gas_rc_m3day(B60,C60,feed_sep_gas)</f>
        <v>9.6171287433582879</v>
      </c>
    </row>
    <row r="61" spans="1:13" x14ac:dyDescent="0.25">
      <c r="B61" s="11">
        <v>86.667000000000002</v>
      </c>
      <c r="C61" s="7">
        <f>T_C</f>
        <v>50</v>
      </c>
      <c r="D61" s="10" cm="1">
        <f t="array" ref="D61">[1]!feed_gas_fraction_d(B61,C61,feed_json)</f>
        <v>0.24391147552237946</v>
      </c>
      <c r="E61" s="10" cm="1">
        <f t="array" ref="E61">[1]!feed_gas_fraction_d(B61,C61,feed_sep_gas)</f>
        <v>0.20763407449489346</v>
      </c>
      <c r="F61" s="11" cm="1">
        <f t="array" ref="F61">[1]!feed_q_mix_rc_m3day(B61,C61,feed_json)</f>
        <v>44.204391856491952</v>
      </c>
      <c r="G61" s="11" cm="1">
        <f t="array" ref="G61">[1]!feed_q_mix_rc_m3day(B61,C61,feed_sep_gas)</f>
        <v>39.381074225637946</v>
      </c>
      <c r="H61" s="13" cm="1">
        <f t="array" ref="H61">[1]!feed_q_gas_rc_m3day(B61,C61,feed_json)</f>
        <v>10.781958442286406</v>
      </c>
      <c r="I61" s="13" cm="1">
        <f t="array" ref="I61">[1]!feed_q_gas_rc_m3day(B61,C61,feed_sep_gas)</f>
        <v>8.1768528994550387</v>
      </c>
    </row>
    <row r="62" spans="1:13" x14ac:dyDescent="0.25">
      <c r="B62" s="11">
        <v>98.332999999999998</v>
      </c>
      <c r="C62" s="7">
        <f>T_C</f>
        <v>50</v>
      </c>
      <c r="D62" s="10" cm="1">
        <f t="array" ref="D62">[1]!feed_gas_fraction_d(B62,C62,feed_json)</f>
        <v>0.14545875956660079</v>
      </c>
      <c r="E62" s="10" cm="1">
        <f t="array" ref="E62">[1]!feed_gas_fraction_d(B62,C62,feed_sep_gas)</f>
        <v>0.1853851440683586</v>
      </c>
      <c r="F62" s="11" cm="1">
        <f t="array" ref="F62">[1]!feed_q_mix_rc_m3day(B62,C62,feed_json)</f>
        <v>39.740707515025264</v>
      </c>
      <c r="G62" s="11" cm="1">
        <f t="array" ref="G62">[1]!feed_q_mix_rc_m3day(B62,C62,feed_sep_gas)</f>
        <v>38.285244567722955</v>
      </c>
      <c r="H62" s="13" cm="1">
        <f t="array" ref="H62">[1]!feed_q_gas_rc_m3day(B62,C62,feed_json)</f>
        <v>5.7806340194346655</v>
      </c>
      <c r="I62" s="13" cm="1">
        <f t="array" ref="I62">[1]!feed_q_gas_rc_m3day(B62,C62,feed_sep_gas)</f>
        <v>7.0975155798796639</v>
      </c>
    </row>
    <row r="63" spans="1:13" x14ac:dyDescent="0.25">
      <c r="B63" s="11">
        <v>110</v>
      </c>
      <c r="C63" s="7">
        <f>T_C</f>
        <v>50</v>
      </c>
      <c r="D63" s="10" cm="1">
        <f t="array" ref="D63">[1]!feed_gas_fraction_d(B63,C63,feed_json)</f>
        <v>5.1299214771467649E-2</v>
      </c>
      <c r="E63" s="10" cm="1">
        <f t="array" ref="E63">[1]!feed_gas_fraction_d(B63,C63,feed_sep_gas)</f>
        <v>0.16736090652828864</v>
      </c>
      <c r="F63" s="11" cm="1">
        <f t="array" ref="F63">[1]!feed_q_mix_rc_m3day(B63,C63,feed_json)</f>
        <v>36.388074192903282</v>
      </c>
      <c r="G63" s="11" cm="1">
        <f t="array" ref="G63">[1]!feed_q_mix_rc_m3day(B63,C63,feed_sep_gas)</f>
        <v>37.440658536061804</v>
      </c>
      <c r="H63" s="13" cm="1">
        <f t="array" ref="H63">[1]!feed_q_gas_rc_m3day(B63,C63,feed_json)</f>
        <v>1.8666796331418452</v>
      </c>
      <c r="I63" s="13" cm="1">
        <f t="array" ref="I63">[1]!feed_q_gas_rc_m3day(B63,C63,feed_sep_gas)</f>
        <v>6.2661025536114119</v>
      </c>
    </row>
    <row r="64" spans="1:13" x14ac:dyDescent="0.25">
      <c r="B64" s="11">
        <v>121.667</v>
      </c>
      <c r="C64" s="7">
        <f>T_C</f>
        <v>50</v>
      </c>
      <c r="D64" s="10" cm="1">
        <f t="array" ref="D64">[1]!feed_gas_fraction_d(B64,C64,feed_json)</f>
        <v>0</v>
      </c>
      <c r="E64" s="10" cm="1">
        <f t="array" ref="E64">[1]!feed_gas_fraction_d(B64,C64,feed_sep_gas)</f>
        <v>0.15260240023556684</v>
      </c>
      <c r="F64" s="11" cm="1">
        <f t="array" ref="F64">[1]!feed_q_mix_rc_m3day(B64,C64,feed_json)</f>
        <v>34.794401814066859</v>
      </c>
      <c r="G64" s="11" cm="1">
        <f t="array" ref="G64">[1]!feed_q_mix_rc_m3day(B64,C64,feed_sep_gas)</f>
        <v>36.775811310702075</v>
      </c>
      <c r="H64" s="13" cm="1">
        <f t="array" ref="H64">[1]!feed_q_gas_rc_m3day(B64,C64,feed_json)</f>
        <v>0</v>
      </c>
      <c r="I64" s="13" cm="1">
        <f t="array" ref="I64">[1]!feed_q_gas_rc_m3day(B64,C64,feed_sep_gas)</f>
        <v>5.6120770766234438</v>
      </c>
    </row>
    <row r="65" spans="1:9" x14ac:dyDescent="0.25">
      <c r="B65" s="11">
        <v>133.333</v>
      </c>
      <c r="C65" s="7">
        <f>T_C</f>
        <v>50</v>
      </c>
      <c r="D65" s="10" cm="1">
        <f t="array" ref="D65">[1]!feed_gas_fraction_d(B65,C65,feed_json)</f>
        <v>0</v>
      </c>
      <c r="E65" s="10" cm="1">
        <f t="array" ref="E65">[1]!feed_gas_fraction_d(B65,C65,feed_sep_gas)</f>
        <v>0.1404049580713625</v>
      </c>
      <c r="F65" s="11" cm="1">
        <f t="array" ref="F65">[1]!feed_q_mix_rc_m3day(B65,C65,feed_json)</f>
        <v>34.695408018339606</v>
      </c>
      <c r="G65" s="11" cm="1">
        <f t="array" ref="G65">[1]!feed_q_mix_rc_m3day(B65,C65,feed_sep_gas)</f>
        <v>36.243385764726789</v>
      </c>
      <c r="H65" s="13" cm="1">
        <f t="array" ref="H65">[1]!feed_q_gas_rc_m3day(B65,C65,feed_json)</f>
        <v>0</v>
      </c>
      <c r="I65" s="13" cm="1">
        <f t="array" ref="I65">[1]!feed_q_gas_rc_m3day(B65,C65,feed_sep_gas)</f>
        <v>5.088751058660681</v>
      </c>
    </row>
    <row r="66" spans="1:9" x14ac:dyDescent="0.25">
      <c r="B66" s="11">
        <v>145</v>
      </c>
      <c r="C66" s="7">
        <f>T_C</f>
        <v>50</v>
      </c>
      <c r="D66" s="10" cm="1">
        <f t="array" ref="D66">[1]!feed_gas_fraction_d(B66,C66,feed_json)</f>
        <v>0</v>
      </c>
      <c r="E66" s="10" cm="1">
        <f t="array" ref="E66">[1]!feed_gas_fraction_d(B66,C66,feed_sep_gas)</f>
        <v>0.13023522077552721</v>
      </c>
      <c r="F66" s="11" cm="1">
        <f t="array" ref="F66">[1]!feed_q_mix_rc_m3day(B66,C66,feed_json)</f>
        <v>34.612399667473412</v>
      </c>
      <c r="G66" s="11" cm="1">
        <f t="array" ref="G66">[1]!feed_q_mix_rc_m3day(B66,C66,feed_sep_gas)</f>
        <v>35.810635038077287</v>
      </c>
      <c r="H66" s="13" cm="1">
        <f t="array" ref="H66">[1]!feed_q_gas_rc_m3day(B66,C66,feed_json)</f>
        <v>0</v>
      </c>
      <c r="I66" s="13" cm="1">
        <f t="array" ref="I66">[1]!feed_q_gas_rc_m3day(B66,C66,feed_sep_gas)</f>
        <v>4.6638059602958259</v>
      </c>
    </row>
    <row r="67" spans="1:9" x14ac:dyDescent="0.25">
      <c r="B67" s="11">
        <v>156.667</v>
      </c>
      <c r="C67" s="7">
        <f>T_C</f>
        <v>50</v>
      </c>
      <c r="D67" s="10" cm="1">
        <f t="array" ref="D67">[1]!feed_gas_fraction_d(B67,C67,feed_json)</f>
        <v>0</v>
      </c>
      <c r="E67" s="10" cm="1">
        <f t="array" ref="E67">[1]!feed_gas_fraction_d(B67,C67,feed_sep_gas)</f>
        <v>0.12168719969236085</v>
      </c>
      <c r="F67" s="11" cm="1">
        <f t="array" ref="F67">[1]!feed_q_mix_rc_m3day(B67,C67,feed_json)</f>
        <v>34.541753924476801</v>
      </c>
      <c r="G67" s="11" cm="1">
        <f t="array" ref="G67">[1]!feed_q_mix_rc_m3day(B67,C67,feed_sep_gas)</f>
        <v>35.454360550823296</v>
      </c>
      <c r="H67" s="13" cm="1">
        <f t="array" ref="H67">[1]!feed_q_gas_rc_m3day(B67,C67,feed_json)</f>
        <v>0</v>
      </c>
      <c r="I67" s="13" cm="1">
        <f t="array" ref="I67">[1]!feed_q_gas_rc_m3day(B67,C67,feed_sep_gas)</f>
        <v>4.3143418523129951</v>
      </c>
    </row>
    <row r="68" spans="1:9" x14ac:dyDescent="0.25">
      <c r="B68" s="11">
        <v>168.333</v>
      </c>
      <c r="C68" s="7">
        <f>T_C</f>
        <v>50</v>
      </c>
      <c r="D68" s="10" cm="1">
        <f t="array" ref="D68">[1]!feed_gas_fraction_d(B68,C68,feed_json)</f>
        <v>0</v>
      </c>
      <c r="E68" s="10" cm="1">
        <f t="array" ref="E68">[1]!feed_gas_fraction_d(B68,C68,feed_sep_gas)</f>
        <v>0.11444567000842089</v>
      </c>
      <c r="F68" s="11" cm="1">
        <f t="array" ref="F68">[1]!feed_q_mix_rc_m3day(B68,C68,feed_json)</f>
        <v>34.480863189024411</v>
      </c>
      <c r="G68" s="11" cm="1">
        <f t="array" ref="G68">[1]!feed_q_mix_rc_m3day(B68,C68,feed_sep_gas)</f>
        <v>35.157625723506428</v>
      </c>
      <c r="H68" s="13" cm="1">
        <f t="array" ref="H68">[1]!feed_q_gas_rc_m3day(B68,C68,feed_json)</f>
        <v>0</v>
      </c>
      <c r="I68" s="13" cm="1">
        <f t="array" ref="I68">[1]!feed_q_gas_rc_m3day(B68,C68,feed_sep_gas)</f>
        <v>4.023638031831986</v>
      </c>
    </row>
    <row r="69" spans="1:9" x14ac:dyDescent="0.25">
      <c r="B69" s="11">
        <v>180</v>
      </c>
      <c r="C69" s="7">
        <f>T_C</f>
        <v>50</v>
      </c>
      <c r="D69" s="10" cm="1">
        <f t="array" ref="D69">[1]!feed_gas_fraction_d(B69,C69,feed_json)</f>
        <v>0</v>
      </c>
      <c r="E69" s="10" cm="1">
        <f t="array" ref="E69">[1]!feed_gas_fraction_d(B69,C69,feed_sep_gas)</f>
        <v>0.10826230918465</v>
      </c>
      <c r="F69" s="11" cm="1">
        <f t="array" ref="F69">[1]!feed_q_mix_rc_m3day(B69,C69,feed_json)</f>
        <v>34.427790010377848</v>
      </c>
      <c r="G69" s="11" cm="1">
        <f t="array" ref="G69">[1]!feed_q_mix_rc_m3day(B69,C69,feed_sep_gas)</f>
        <v>34.907770691258548</v>
      </c>
      <c r="H69" s="13" cm="1">
        <f t="array" ref="H69">[1]!feed_q_gas_rc_m3day(B69,C69,feed_json)</f>
        <v>0</v>
      </c>
      <c r="I69" s="13" cm="1">
        <f t="array" ref="I69">[1]!feed_q_gas_rc_m3day(B69,C69,feed_sep_gas)</f>
        <v>3.7791958635238965</v>
      </c>
    </row>
    <row r="70" spans="1:9" x14ac:dyDescent="0.25">
      <c r="B70" s="16"/>
      <c r="C70" s="17"/>
      <c r="D70" s="18"/>
      <c r="E70" s="18"/>
      <c r="F70" s="18"/>
      <c r="G70" s="18"/>
      <c r="H70" s="19"/>
      <c r="I70" s="19"/>
    </row>
    <row r="72" spans="1:9" x14ac:dyDescent="0.25">
      <c r="A72" t="s">
        <v>48</v>
      </c>
    </row>
    <row r="73" spans="1:9" x14ac:dyDescent="0.25">
      <c r="B73" s="14" t="s">
        <v>23</v>
      </c>
      <c r="C73" s="14" t="s">
        <v>24</v>
      </c>
      <c r="D73" s="8" t="str">
        <f>"gas_fraction_sep n_sol = "&amp;D29</f>
        <v>gas_fraction_sep n_sol = 1</v>
      </c>
      <c r="E73" s="8" t="s">
        <v>45</v>
      </c>
      <c r="F73" s="8" t="s">
        <v>47</v>
      </c>
    </row>
    <row r="74" spans="1:9" x14ac:dyDescent="0.25">
      <c r="B74" s="11">
        <f t="array" ref="B74:B89">[1]!decode_json($G$8)</f>
        <v>5</v>
      </c>
      <c r="C74" s="7">
        <f>T_C</f>
        <v>50</v>
      </c>
      <c r="D74" s="10" cm="1">
        <f t="array" ref="D74">[1]!feed_gas_fraction_d(B74,C74,$D$30)</f>
        <v>0.91226600996864993</v>
      </c>
      <c r="E74" s="15" cm="1">
        <f t="array" ref="E74">[1]!feed_q_mix_rc_m3day(B74,C74,$D$30)</f>
        <v>348.01072857924908</v>
      </c>
      <c r="F74" s="13" cm="1">
        <f t="array" ref="F74">[1]!feed_q_gas_rc_m3day(B74,C74,$D$30)</f>
        <v>317.47835878727432</v>
      </c>
    </row>
    <row r="75" spans="1:9" x14ac:dyDescent="0.25">
      <c r="B75" s="11">
        <v>16.667000000000002</v>
      </c>
      <c r="C75" s="7">
        <f>T_C</f>
        <v>50</v>
      </c>
      <c r="D75" s="10" cm="1">
        <f t="array" ref="D75">[1]!feed_gas_fraction_d(B75,C75,$D$30)</f>
        <v>0.7173491894072862</v>
      </c>
      <c r="E75" s="15" cm="1">
        <f t="array" ref="E75">[1]!feed_q_mix_rc_m3day(B75,C75,$D$30)</f>
        <v>109.01082792420215</v>
      </c>
      <c r="F75" s="13" cm="1">
        <f t="array" ref="F75">[1]!feed_q_gas_rc_m3day(B75,C75,$D$30)</f>
        <v>78.198829048043564</v>
      </c>
    </row>
    <row r="76" spans="1:9" x14ac:dyDescent="0.25">
      <c r="B76" s="11">
        <v>28.332999999999998</v>
      </c>
      <c r="C76" s="7">
        <f>T_C</f>
        <v>50</v>
      </c>
      <c r="D76" s="10" cm="1">
        <f t="array" ref="D76">[1]!feed_gas_fraction_d(B76,C76,$D$30)</f>
        <v>0.52745726467920728</v>
      </c>
      <c r="E76" s="15" cm="1">
        <f t="array" ref="E76">[1]!feed_q_mix_rc_m3day(B76,C76,$D$30)</f>
        <v>65.922897823443947</v>
      </c>
      <c r="F76" s="13" cm="1">
        <f t="array" ref="F76">[1]!feed_q_gas_rc_m3day(B76,C76,$D$30)</f>
        <v>34.77151136568061</v>
      </c>
    </row>
    <row r="77" spans="1:9" x14ac:dyDescent="0.25">
      <c r="B77" s="11">
        <v>40</v>
      </c>
      <c r="C77" s="7">
        <f>T_C</f>
        <v>50</v>
      </c>
      <c r="D77" s="10" cm="1">
        <f t="array" ref="D77">[1]!feed_gas_fraction_d(B77,C77,$D$30)</f>
        <v>0.3407439918934887</v>
      </c>
      <c r="E77" s="15" cm="1">
        <f t="array" ref="E77">[1]!feed_q_mix_rc_m3day(B77,C77,$D$30)</f>
        <v>47.833412663029691</v>
      </c>
      <c r="F77" s="13" cm="1">
        <f t="array" ref="F77">[1]!feed_q_gas_rc_m3day(B77,C77,$D$30)</f>
        <v>16.298947976689288</v>
      </c>
    </row>
    <row r="78" spans="1:9" x14ac:dyDescent="0.25">
      <c r="B78" s="11">
        <v>51.667000000000002</v>
      </c>
      <c r="C78" s="7">
        <f>T_C</f>
        <v>50</v>
      </c>
      <c r="D78" s="10" cm="1">
        <f t="array" ref="D78">[1]!feed_gas_fraction_d(B78,C78,$D$30)</f>
        <v>0.15910809062955605</v>
      </c>
      <c r="E78" s="15" cm="1">
        <f t="array" ref="E78">[1]!feed_q_mix_rc_m3day(B78,C78,$D$30)</f>
        <v>38.000296617288264</v>
      </c>
      <c r="F78" s="13" cm="1">
        <f t="array" ref="F78">[1]!feed_q_gas_rc_m3day(B78,C78,$D$30)</f>
        <v>6.0461546381335136</v>
      </c>
    </row>
    <row r="79" spans="1:9" x14ac:dyDescent="0.25">
      <c r="B79" s="11">
        <v>63.332999999999998</v>
      </c>
      <c r="C79" s="7">
        <f>T_C</f>
        <v>50</v>
      </c>
      <c r="D79" s="10" cm="1">
        <f t="array" ref="D79">[1]!feed_gas_fraction_d(B79,C79,$D$30)</f>
        <v>0</v>
      </c>
      <c r="E79" s="15" cm="1">
        <f t="array" ref="E79">[1]!feed_q_mix_rc_m3day(B79,C79,$D$30)</f>
        <v>32.355383368619577</v>
      </c>
      <c r="F79" s="13" cm="1">
        <f t="array" ref="F79">[1]!feed_q_gas_rc_m3day(B79,C79,$D$30)</f>
        <v>0</v>
      </c>
    </row>
    <row r="80" spans="1:9" x14ac:dyDescent="0.25">
      <c r="B80" s="11">
        <v>75</v>
      </c>
      <c r="C80" s="7">
        <f>T_C</f>
        <v>50</v>
      </c>
      <c r="D80" s="10" cm="1">
        <f t="array" ref="D80">[1]!feed_gas_fraction_d(B80,C80,$D$30)</f>
        <v>0</v>
      </c>
      <c r="E80" s="15" cm="1">
        <f t="array" ref="E80">[1]!feed_q_mix_rc_m3day(B80,C80,$D$30)</f>
        <v>32.269177493132688</v>
      </c>
      <c r="F80" s="13" cm="1">
        <f t="array" ref="F80">[1]!feed_q_gas_rc_m3day(B80,C80,$D$30)</f>
        <v>0</v>
      </c>
    </row>
    <row r="81" spans="2:6" x14ac:dyDescent="0.25">
      <c r="B81" s="11">
        <v>86.667000000000002</v>
      </c>
      <c r="C81" s="7">
        <f>T_C</f>
        <v>50</v>
      </c>
      <c r="D81" s="10" cm="1">
        <f t="array" ref="D81">[1]!feed_gas_fraction_d(B81,C81,$D$30)</f>
        <v>0</v>
      </c>
      <c r="E81" s="15" cm="1">
        <f t="array" ref="E81">[1]!feed_q_mix_rc_m3day(B81,C81,$D$30)</f>
        <v>32.206141560975425</v>
      </c>
      <c r="F81" s="13" cm="1">
        <f t="array" ref="F81">[1]!feed_q_gas_rc_m3day(B81,C81,$D$30)</f>
        <v>0</v>
      </c>
    </row>
    <row r="82" spans="2:6" x14ac:dyDescent="0.25">
      <c r="B82" s="11">
        <v>98.332999999999998</v>
      </c>
      <c r="C82" s="7">
        <f>T_C</f>
        <v>50</v>
      </c>
      <c r="D82" s="10" cm="1">
        <f t="array" ref="D82">[1]!feed_gas_fraction_d(B82,C82,$D$30)</f>
        <v>0</v>
      </c>
      <c r="E82" s="15" cm="1">
        <f t="array" ref="E82">[1]!feed_q_mix_rc_m3day(B82,C82,$D$30)</f>
        <v>32.157966582443287</v>
      </c>
      <c r="F82" s="13" cm="1">
        <f t="array" ref="F82">[1]!feed_q_gas_rc_m3day(B82,C82,$D$30)</f>
        <v>0</v>
      </c>
    </row>
    <row r="83" spans="2:6" x14ac:dyDescent="0.25">
      <c r="B83" s="11">
        <v>110</v>
      </c>
      <c r="C83" s="7">
        <f>T_C</f>
        <v>50</v>
      </c>
      <c r="D83" s="10" cm="1">
        <f t="array" ref="D83">[1]!feed_gas_fraction_d(B83,C83,$D$30)</f>
        <v>0</v>
      </c>
      <c r="E83" s="15" cm="1">
        <f t="array" ref="E83">[1]!feed_q_mix_rc_m3day(B83,C83,$D$30)</f>
        <v>32.119877522707391</v>
      </c>
      <c r="F83" s="13" cm="1">
        <f t="array" ref="F83">[1]!feed_q_gas_rc_m3day(B83,C83,$D$30)</f>
        <v>0</v>
      </c>
    </row>
    <row r="84" spans="2:6" x14ac:dyDescent="0.25">
      <c r="B84" s="11">
        <v>121.667</v>
      </c>
      <c r="C84" s="7">
        <f>T_C</f>
        <v>50</v>
      </c>
      <c r="D84" s="10" cm="1">
        <f t="array" ref="D84">[1]!feed_gas_fraction_d(B84,C84,$D$30)</f>
        <v>0</v>
      </c>
      <c r="E84" s="15" cm="1">
        <f t="array" ref="E84">[1]!feed_q_mix_rc_m3day(B84,C84,$D$30)</f>
        <v>32.088949303234571</v>
      </c>
      <c r="F84" s="13" cm="1">
        <f t="array" ref="F84">[1]!feed_q_gas_rc_m3day(B84,C84,$D$30)</f>
        <v>0</v>
      </c>
    </row>
    <row r="85" spans="2:6" x14ac:dyDescent="0.25">
      <c r="B85" s="11">
        <v>133.333</v>
      </c>
      <c r="C85" s="7">
        <f>T_C</f>
        <v>50</v>
      </c>
      <c r="D85" s="10" cm="1">
        <f t="array" ref="D85">[1]!feed_gas_fraction_d(B85,C85,$D$30)</f>
        <v>0</v>
      </c>
      <c r="E85" s="15" cm="1">
        <f t="array" ref="E85">[1]!feed_q_mix_rc_m3day(B85,C85,$D$30)</f>
        <v>32.063284178160124</v>
      </c>
      <c r="F85" s="13" cm="1">
        <f t="array" ref="F85">[1]!feed_q_gas_rc_m3day(B85,C85,$D$30)</f>
        <v>0</v>
      </c>
    </row>
    <row r="86" spans="2:6" x14ac:dyDescent="0.25">
      <c r="B86" s="11">
        <v>145</v>
      </c>
      <c r="C86" s="7">
        <f>T_C</f>
        <v>50</v>
      </c>
      <c r="D86" s="10" cm="1">
        <f t="array" ref="D86">[1]!feed_gas_fraction_d(B86,C86,$D$30)</f>
        <v>0</v>
      </c>
      <c r="E86" s="15" cm="1">
        <f t="array" ref="E86">[1]!feed_q_mix_rc_m3day(B86,C86,$D$30)</f>
        <v>32.041591991427296</v>
      </c>
      <c r="F86" s="13" cm="1">
        <f t="array" ref="F86">[1]!feed_q_gas_rc_m3day(B86,C86,$D$30)</f>
        <v>0</v>
      </c>
    </row>
    <row r="87" spans="2:6" x14ac:dyDescent="0.25">
      <c r="B87" s="11">
        <v>156.667</v>
      </c>
      <c r="C87" s="7">
        <f>T_C</f>
        <v>50</v>
      </c>
      <c r="D87" s="10" cm="1">
        <f t="array" ref="D87">[1]!feed_gas_fraction_d(B87,C87,$D$30)</f>
        <v>0</v>
      </c>
      <c r="E87" s="15" cm="1">
        <f t="array" ref="E87">[1]!feed_q_mix_rc_m3day(B87,C87,$D$30)</f>
        <v>32.022973762172263</v>
      </c>
      <c r="F87" s="13" cm="1">
        <f t="array" ref="F87">[1]!feed_q_gas_rc_m3day(B87,C87,$D$30)</f>
        <v>0</v>
      </c>
    </row>
    <row r="88" spans="2:6" x14ac:dyDescent="0.25">
      <c r="B88" s="11">
        <v>168.333</v>
      </c>
      <c r="C88" s="7">
        <f>T_C</f>
        <v>50</v>
      </c>
      <c r="D88" s="10" cm="1">
        <f t="array" ref="D88">[1]!feed_gas_fraction_d(B88,C88,$D$30)</f>
        <v>0</v>
      </c>
      <c r="E88" s="15" cm="1">
        <f t="array" ref="E88">[1]!feed_q_mix_rc_m3day(B88,C88,$D$30)</f>
        <v>32.006780180901046</v>
      </c>
      <c r="F88" s="13" cm="1">
        <f t="array" ref="F88">[1]!feed_q_gas_rc_m3day(B88,C88,$D$30)</f>
        <v>0</v>
      </c>
    </row>
    <row r="89" spans="2:6" x14ac:dyDescent="0.25">
      <c r="B89" s="11">
        <v>180</v>
      </c>
      <c r="C89" s="7">
        <f>T_C</f>
        <v>50</v>
      </c>
      <c r="D89" s="10" cm="1">
        <f t="array" ref="D89">[1]!feed_gas_fraction_d(B89,C89,$D$30)</f>
        <v>0</v>
      </c>
      <c r="E89" s="15" cm="1">
        <f t="array" ref="E89">[1]!feed_q_mix_rc_m3day(B89,C89,$D$30)</f>
        <v>31.992527128284465</v>
      </c>
      <c r="F89" s="13" cm="1">
        <f t="array" ref="F89">[1]!feed_q_gas_rc_m3day(B89,C89,$D$30)</f>
        <v>0</v>
      </c>
    </row>
  </sheetData>
  <mergeCells count="2">
    <mergeCell ref="B34:C34"/>
    <mergeCell ref="D34:E34"/>
  </mergeCells>
  <conditionalFormatting sqref="F35:F4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{D60662FE-7916-4096-8F27-ADB6750885A3}</x14:id>
        </ext>
      </extLst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0662FE-7916-4096-8F27-ADB6750885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F35:F46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</vt:i4>
      </vt:variant>
    </vt:vector>
  </HeadingPairs>
  <TitlesOfParts>
    <vt:vector size="6" baseType="lpstr">
      <vt:lpstr>сепарация газа</vt:lpstr>
      <vt:lpstr>feed_json</vt:lpstr>
      <vt:lpstr>feed_sep_gas</vt:lpstr>
      <vt:lpstr>linspace</vt:lpstr>
      <vt:lpstr>PVT_json</vt:lpstr>
      <vt:lpstr>T_C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2025-05-15T11:58:29Z</dcterms:created>
  <dcterms:modified xsi:type="dcterms:W3CDTF">2025-05-15T14:02:02Z</dcterms:modified>
</cp:coreProperties>
</file>