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8481D033-FA0A-4A6A-A265-007033F4E5F7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eed_">exercise_PVT!$D$35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exercise_PVT!#REF!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Ksep">exercise_PVT!$C$25</definedName>
    <definedName name="muob_" localSheetId="0">exercise_PVT!$C$18</definedName>
    <definedName name="Notes" localSheetId="0">exercise_PVT!$B$6</definedName>
    <definedName name="output_0" localSheetId="0">exercise_PVT!#REF!</definedName>
    <definedName name="param">exercise_PVT!$D$29</definedName>
    <definedName name="Pb_" localSheetId="0">exercise_PVT!$C$15</definedName>
    <definedName name="Psep">exercise_PVT!$C$26</definedName>
    <definedName name="PVT_mod">exercise_PVT!$D$37</definedName>
    <definedName name="PVT_str_" localSheetId="0">exercise_PVT!$D$34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Tsep">exercise_PVT!$C$27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3" l="1"/>
  <c r="E15" i="113"/>
  <c r="E14" i="113"/>
  <c r="E13" i="113"/>
  <c r="E12" i="113"/>
  <c r="E11" i="113"/>
  <c r="D29" i="113" a="1"/>
  <c r="G1" i="113"/>
  <c r="D34" i="113"/>
  <c r="F76" i="113"/>
  <c r="D94" i="113"/>
  <c r="D81" i="113"/>
  <c r="H69" i="113"/>
  <c r="F78" i="113"/>
  <c r="H90" i="113"/>
  <c r="F73" i="113"/>
  <c r="F70" i="113"/>
  <c r="F90" i="113"/>
  <c r="F102" i="113"/>
  <c r="F88" i="113"/>
  <c r="D93" i="113"/>
  <c r="D82" i="113"/>
  <c r="D96" i="113"/>
  <c r="D77" i="113"/>
  <c r="F87" i="113"/>
  <c r="H104" i="113"/>
  <c r="F91" i="113"/>
  <c r="H68" i="113"/>
  <c r="F103" i="113"/>
  <c r="D75" i="113"/>
  <c r="H73" i="113"/>
  <c r="H81" i="113"/>
  <c r="F95" i="113"/>
  <c r="H64" i="113"/>
  <c r="D65" i="113"/>
  <c r="D86" i="113"/>
  <c r="H96" i="113"/>
  <c r="F71" i="113"/>
  <c r="F99" i="113"/>
  <c r="F72" i="113"/>
  <c r="H101" i="113"/>
  <c r="D100" i="113"/>
  <c r="D102" i="113"/>
  <c r="H72" i="113"/>
  <c r="D88" i="113"/>
  <c r="H74" i="113"/>
  <c r="F100" i="113"/>
  <c r="H89" i="113"/>
  <c r="H92" i="113"/>
  <c r="F86" i="113"/>
  <c r="D104" i="113"/>
  <c r="F89" i="113"/>
  <c r="F75" i="113"/>
  <c r="F66" i="113"/>
  <c r="F74" i="113"/>
  <c r="H86" i="113"/>
  <c r="H103" i="113"/>
  <c r="D72" i="113"/>
  <c r="H75" i="113"/>
  <c r="F93" i="113"/>
  <c r="D95" i="113"/>
  <c r="H98" i="113"/>
  <c r="F68" i="113"/>
  <c r="F80" i="113"/>
  <c r="F79" i="113"/>
  <c r="F97" i="113"/>
  <c r="D98" i="113"/>
  <c r="H78" i="113"/>
  <c r="H79" i="113"/>
  <c r="H102" i="113"/>
  <c r="H93" i="113"/>
  <c r="H91" i="113"/>
  <c r="D87" i="113"/>
  <c r="H85" i="113"/>
  <c r="D76" i="113"/>
  <c r="F81" i="113"/>
  <c r="H65" i="113"/>
  <c r="H88" i="113"/>
  <c r="D79" i="113"/>
  <c r="F67" i="113"/>
  <c r="H95" i="113"/>
  <c r="H97" i="113"/>
  <c r="H71" i="113"/>
  <c r="H87" i="113"/>
  <c r="D68" i="113"/>
  <c r="D70" i="113"/>
  <c r="D99" i="113"/>
  <c r="F98" i="113"/>
  <c r="H80" i="113"/>
  <c r="F69" i="113"/>
  <c r="F92" i="113"/>
  <c r="H77" i="113"/>
  <c r="D64" i="113"/>
  <c r="H84" i="113"/>
  <c r="H83" i="113"/>
  <c r="D80" i="113"/>
  <c r="D89" i="113"/>
  <c r="H100" i="113"/>
  <c r="H70" i="113"/>
  <c r="D92" i="113"/>
  <c r="D74" i="113"/>
  <c r="F82" i="113"/>
  <c r="H82" i="113"/>
  <c r="F84" i="113"/>
  <c r="D97" i="113"/>
  <c r="H94" i="113"/>
  <c r="F104" i="113"/>
  <c r="D78" i="113"/>
  <c r="H76" i="113"/>
  <c r="D66" i="113"/>
  <c r="D103" i="113"/>
  <c r="D67" i="113"/>
  <c r="D84" i="113"/>
  <c r="D69" i="113"/>
  <c r="F101" i="113"/>
  <c r="D101" i="113"/>
  <c r="D83" i="113"/>
  <c r="H66" i="113"/>
  <c r="D90" i="113"/>
  <c r="D85" i="113"/>
  <c r="H67" i="113"/>
  <c r="F64" i="113"/>
  <c r="F94" i="113"/>
  <c r="D91" i="113"/>
  <c r="D73" i="113"/>
  <c r="F77" i="113"/>
  <c r="F85" i="113"/>
  <c r="F83" i="113"/>
  <c r="H99" i="113"/>
  <c r="F96" i="113"/>
  <c r="F65" i="113"/>
  <c r="D71" i="113"/>
  <c r="D29" i="113" l="1"/>
  <c r="O63" i="113"/>
  <c r="N63" i="113"/>
  <c r="P63" i="113"/>
  <c r="K63" i="113"/>
  <c r="M63" i="113"/>
  <c r="L63" i="113"/>
  <c r="Q63" i="113"/>
  <c r="J63" i="113"/>
  <c r="S64" i="113" a="1"/>
  <c r="D37" i="113" a="1"/>
  <c r="B44" i="113" a="1"/>
  <c r="D35" i="113" a="1"/>
  <c r="L44" i="113" a="1"/>
  <c r="D35" i="113" l="1"/>
  <c r="D37" i="113"/>
  <c r="L44" i="113"/>
  <c r="S64" i="113"/>
  <c r="B44" i="113"/>
  <c r="G94" i="113"/>
  <c r="G66" i="113"/>
  <c r="G84" i="113"/>
  <c r="E83" i="113"/>
  <c r="I83" i="113"/>
  <c r="I104" i="113"/>
  <c r="E65" i="113"/>
  <c r="I92" i="113"/>
  <c r="I102" i="113"/>
  <c r="E88" i="113"/>
  <c r="E77" i="113"/>
  <c r="E99" i="113"/>
  <c r="E91" i="113"/>
  <c r="G71" i="113"/>
  <c r="I97" i="113"/>
  <c r="G104" i="113"/>
  <c r="I95" i="113"/>
  <c r="G83" i="113"/>
  <c r="I74" i="113"/>
  <c r="G79" i="113"/>
  <c r="G98" i="113"/>
  <c r="G101" i="113"/>
  <c r="G103" i="113"/>
  <c r="E95" i="113"/>
  <c r="G96" i="113"/>
  <c r="I77" i="113"/>
  <c r="I93" i="113"/>
  <c r="E98" i="113"/>
  <c r="I90" i="113"/>
  <c r="G91" i="113"/>
  <c r="G95" i="113"/>
  <c r="I88" i="113"/>
  <c r="G87" i="113"/>
  <c r="E74" i="113"/>
  <c r="I80" i="113"/>
  <c r="I103" i="113"/>
  <c r="G102" i="113"/>
  <c r="E84" i="113"/>
  <c r="G73" i="113"/>
  <c r="G97" i="113"/>
  <c r="E101" i="113"/>
  <c r="I100" i="113"/>
  <c r="G93" i="113"/>
  <c r="I86" i="113"/>
  <c r="E87" i="113"/>
  <c r="I71" i="113"/>
  <c r="E94" i="113"/>
  <c r="E103" i="113"/>
  <c r="I70" i="113"/>
  <c r="G76" i="113"/>
  <c r="I66" i="113"/>
  <c r="I72" i="113"/>
  <c r="E102" i="113"/>
  <c r="G72" i="113"/>
  <c r="I91" i="113"/>
  <c r="G69" i="113"/>
  <c r="I85" i="113"/>
  <c r="I67" i="113"/>
  <c r="E75" i="113"/>
  <c r="G67" i="113"/>
  <c r="I94" i="113"/>
  <c r="E85" i="113"/>
  <c r="E90" i="113"/>
  <c r="E72" i="113"/>
  <c r="E76" i="113"/>
  <c r="E66" i="113"/>
  <c r="E82" i="113"/>
  <c r="I78" i="113"/>
  <c r="I87" i="113"/>
  <c r="E71" i="113"/>
  <c r="I89" i="113"/>
  <c r="G88" i="113"/>
  <c r="G68" i="113"/>
  <c r="E69" i="113"/>
  <c r="E93" i="113"/>
  <c r="E96" i="113"/>
  <c r="I75" i="113"/>
  <c r="E100" i="113"/>
  <c r="G100" i="113"/>
  <c r="E80" i="113"/>
  <c r="I76" i="113"/>
  <c r="I64" i="113"/>
  <c r="I79" i="113"/>
  <c r="G81" i="113"/>
  <c r="E81" i="113"/>
  <c r="I73" i="113"/>
  <c r="E70" i="113"/>
  <c r="E79" i="113"/>
  <c r="G82" i="113"/>
  <c r="I98" i="113"/>
  <c r="G90" i="113"/>
  <c r="E73" i="113"/>
  <c r="G89" i="113"/>
  <c r="E68" i="113"/>
  <c r="E67" i="113"/>
  <c r="I65" i="113"/>
  <c r="I99" i="113"/>
  <c r="E92" i="113"/>
  <c r="E86" i="113"/>
  <c r="I82" i="113"/>
  <c r="G78" i="113"/>
  <c r="I69" i="113"/>
  <c r="G70" i="113"/>
  <c r="I96" i="113"/>
  <c r="G85" i="113"/>
  <c r="E97" i="113"/>
  <c r="G65" i="113"/>
  <c r="G74" i="113"/>
  <c r="G92" i="113"/>
  <c r="I68" i="113"/>
  <c r="G75" i="113"/>
  <c r="G44" i="113" a="1"/>
  <c r="E78" i="113"/>
  <c r="G99" i="113"/>
  <c r="E104" i="113"/>
  <c r="G77" i="113"/>
  <c r="D44" i="113" a="1"/>
  <c r="I101" i="113"/>
  <c r="G86" i="113"/>
  <c r="G80" i="113"/>
  <c r="E64" i="113"/>
  <c r="I81" i="113"/>
  <c r="I84" i="113"/>
  <c r="G64" i="113"/>
  <c r="E89" i="113"/>
  <c r="D44" i="113" l="1"/>
  <c r="J51" i="113"/>
  <c r="J45" i="113"/>
  <c r="J46" i="113"/>
  <c r="J52" i="113"/>
  <c r="G44" i="113"/>
  <c r="J55" i="113"/>
  <c r="J56" i="113"/>
  <c r="J49" i="113"/>
  <c r="J48" i="113"/>
  <c r="J47" i="113"/>
  <c r="J44" i="113"/>
  <c r="J53" i="113"/>
  <c r="J54" i="113"/>
  <c r="J50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<sst xmlns="http://schemas.openxmlformats.org/spreadsheetml/2006/main" count="68" uniqueCount="58">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</sst>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9" fontId="0" fillId="0" borderId="0" xfId="8" applyFont="1"/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exercise_PVT!$D$64:$D$104</c:f>
              <c:numCache>
                <c:formatCode>0.0000</c:formatCode>
                <c:ptCount val="41"/>
                <c:pt idx="0">
                  <c:v>2.9291248984322</c:v>
                </c:pt>
                <c:pt idx="1">
                  <c:v>14.025469474396999</c:v>
                </c:pt>
                <c:pt idx="2">
                  <c:v>20.0771124258711</c:v>
                </c:pt>
                <c:pt idx="3">
                  <c:v>24.556731829897299</c:v>
                </c:pt>
                <c:pt idx="4">
                  <c:v>28.318011508370699</c:v>
                </c:pt>
                <c:pt idx="5">
                  <c:v>31.654766664293199</c:v>
                </c:pt>
                <c:pt idx="6">
                  <c:v>34.708485434692797</c:v>
                </c:pt>
                <c:pt idx="7">
                  <c:v>37.559609232621902</c:v>
                </c:pt>
                <c:pt idx="8">
                  <c:v>40.258772999578603</c:v>
                </c:pt>
                <c:pt idx="9">
                  <c:v>42.840140639044698</c:v>
                </c:pt>
                <c:pt idx="10">
                  <c:v>45.327958170604397</c:v>
                </c:pt>
                <c:pt idx="11">
                  <c:v>47.740108882116402</c:v>
                </c:pt>
                <c:pt idx="12">
                  <c:v>50.090189758390402</c:v>
                </c:pt>
                <c:pt idx="13">
                  <c:v>52.3887958573928</c:v>
                </c:pt>
                <c:pt idx="14">
                  <c:v>54.644352142335997</c:v>
                </c:pt>
                <c:pt idx="15">
                  <c:v>56.863672932803503</c:v>
                </c:pt>
                <c:pt idx="16">
                  <c:v>59.052350220389002</c:v>
                </c:pt>
                <c:pt idx="17">
                  <c:v>61.215030512671198</c:v>
                </c:pt>
                <c:pt idx="18">
                  <c:v>63.355616801927503</c:v>
                </c:pt>
                <c:pt idx="19">
                  <c:v>65.477418888256295</c:v>
                </c:pt>
                <c:pt idx="20">
                  <c:v>67.583267246067393</c:v>
                </c:pt>
                <c:pt idx="21">
                  <c:v>69.675600626399401</c:v>
                </c:pt>
                <c:pt idx="22">
                  <c:v>71.756534393011194</c:v>
                </c:pt>
                <c:pt idx="23">
                  <c:v>73.827914495708299</c:v>
                </c:pt>
                <c:pt idx="24">
                  <c:v>75.8913605799263</c:v>
                </c:pt>
                <c:pt idx="25">
                  <c:v>77.948300770737902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exercise_PVT!$E$64:$E$104</c:f>
              <c:numCache>
                <c:formatCode>0.0000</c:formatCode>
                <c:ptCount val="41"/>
                <c:pt idx="0">
                  <c:v>0.98808859536875004</c:v>
                </c:pt>
                <c:pt idx="1">
                  <c:v>5.4883412195472197</c:v>
                </c:pt>
                <c:pt idx="2">
                  <c:v>9.8385574145868802</c:v>
                </c:pt>
                <c:pt idx="3">
                  <c:v>13.7220071770969</c:v>
                </c:pt>
                <c:pt idx="4">
                  <c:v>17.365574284421701</c:v>
                </c:pt>
                <c:pt idx="5">
                  <c:v>20.868812565786101</c:v>
                </c:pt>
                <c:pt idx="6">
                  <c:v>24.2891659982321</c:v>
                </c:pt>
                <c:pt idx="7">
                  <c:v>27.664897715054298</c:v>
                </c:pt>
                <c:pt idx="8">
                  <c:v>31.023906502252601</c:v>
                </c:pt>
                <c:pt idx="9">
                  <c:v>34.387842761464299</c:v>
                </c:pt>
                <c:pt idx="10">
                  <c:v>37.774288065131103</c:v>
                </c:pt>
                <c:pt idx="11">
                  <c:v>41.198017464204</c:v>
                </c:pt>
                <c:pt idx="12">
                  <c:v>44.671781533181601</c:v>
                </c:pt>
                <c:pt idx="13">
                  <c:v>48.206817120190102</c:v>
                </c:pt>
                <c:pt idx="14">
                  <c:v>51.813195405359203</c:v>
                </c:pt>
                <c:pt idx="15">
                  <c:v>55.500067554943698</c:v>
                </c:pt>
                <c:pt idx="16">
                  <c:v>59.275843281480498</c:v>
                </c:pt>
                <c:pt idx="17">
                  <c:v>62.663979085302202</c:v>
                </c:pt>
                <c:pt idx="18">
                  <c:v>62.663979085302202</c:v>
                </c:pt>
                <c:pt idx="19">
                  <c:v>62.663979085302202</c:v>
                </c:pt>
                <c:pt idx="20">
                  <c:v>62.663979085302202</c:v>
                </c:pt>
                <c:pt idx="21">
                  <c:v>62.663979085302202</c:v>
                </c:pt>
                <c:pt idx="22">
                  <c:v>62.663979085302202</c:v>
                </c:pt>
                <c:pt idx="23">
                  <c:v>62.663979085302202</c:v>
                </c:pt>
                <c:pt idx="24">
                  <c:v>62.663979085302202</c:v>
                </c:pt>
                <c:pt idx="25">
                  <c:v>62.663979085302202</c:v>
                </c:pt>
                <c:pt idx="26">
                  <c:v>62.663979085302202</c:v>
                </c:pt>
                <c:pt idx="27">
                  <c:v>62.663979085302202</c:v>
                </c:pt>
                <c:pt idx="28">
                  <c:v>62.663979085302202</c:v>
                </c:pt>
                <c:pt idx="29">
                  <c:v>62.663979085302202</c:v>
                </c:pt>
                <c:pt idx="30">
                  <c:v>62.663979085302202</c:v>
                </c:pt>
                <c:pt idx="31">
                  <c:v>62.663979085302202</c:v>
                </c:pt>
                <c:pt idx="32">
                  <c:v>62.663979085302202</c:v>
                </c:pt>
                <c:pt idx="33">
                  <c:v>62.663979085302202</c:v>
                </c:pt>
                <c:pt idx="34">
                  <c:v>62.663979085302202</c:v>
                </c:pt>
                <c:pt idx="35">
                  <c:v>62.663979085302202</c:v>
                </c:pt>
                <c:pt idx="36">
                  <c:v>62.663979085302202</c:v>
                </c:pt>
                <c:pt idx="37">
                  <c:v>62.663979085302202</c:v>
                </c:pt>
                <c:pt idx="38">
                  <c:v>62.663979085302202</c:v>
                </c:pt>
                <c:pt idx="39">
                  <c:v>62.663979085302202</c:v>
                </c:pt>
                <c:pt idx="40">
                  <c:v>62.663979085302202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exercise_PVT!$F$64:$F$104</c:f>
              <c:numCache>
                <c:formatCode>0.0000</c:formatCode>
                <c:ptCount val="41"/>
                <c:pt idx="0">
                  <c:v>1.0534793197722101</c:v>
                </c:pt>
                <c:pt idx="1">
                  <c:v>1.0745707595560301</c:v>
                </c:pt>
                <c:pt idx="2">
                  <c:v>1.0860687398903399</c:v>
                </c:pt>
                <c:pt idx="3">
                  <c:v>1.09456708009783</c:v>
                </c:pt>
                <c:pt idx="4">
                  <c:v>1.1016936726520901</c:v>
                </c:pt>
                <c:pt idx="5">
                  <c:v>1.1080100399619699</c:v>
                </c:pt>
                <c:pt idx="6">
                  <c:v>1.11378708213946</c:v>
                </c:pt>
                <c:pt idx="7">
                  <c:v>1.11917907015601</c:v>
                </c:pt>
                <c:pt idx="8">
                  <c:v>1.1242832605479001</c:v>
                </c:pt>
                <c:pt idx="9">
                  <c:v>1.12916536802418</c:v>
                </c:pt>
                <c:pt idx="10">
                  <c:v>1.1338720942171501</c:v>
                </c:pt>
                <c:pt idx="11">
                  <c:v>1.1384379302441201</c:v>
                </c:pt>
                <c:pt idx="12">
                  <c:v>1.14288913350195</c:v>
                </c:pt>
                <c:pt idx="13">
                  <c:v>1.14724618846926</c:v>
                </c:pt>
                <c:pt idx="14">
                  <c:v>1.1515254023846799</c:v>
                </c:pt>
                <c:pt idx="15">
                  <c:v>1.1557399788210301</c:v>
                </c:pt>
                <c:pt idx="16">
                  <c:v>1.1599007634081799</c:v>
                </c:pt>
                <c:pt idx="17">
                  <c:v>1.16401677582329</c:v>
                </c:pt>
                <c:pt idx="18">
                  <c:v>1.1680955981363399</c:v>
                </c:pt>
                <c:pt idx="19">
                  <c:v>1.1721436640218399</c:v>
                </c:pt>
                <c:pt idx="20">
                  <c:v>1.1761664778188301</c:v>
                </c:pt>
                <c:pt idx="21">
                  <c:v>1.1801687837719299</c:v>
                </c:pt>
                <c:pt idx="22">
                  <c:v>1.1841546969982899</c:v>
                </c:pt>
                <c:pt idx="23">
                  <c:v>1.1881278080109099</c:v>
                </c:pt>
                <c:pt idx="24">
                  <c:v>1.19209126577173</c:v>
                </c:pt>
                <c:pt idx="25">
                  <c:v>1.1960478448257501</c:v>
                </c:pt>
                <c:pt idx="26">
                  <c:v>1.2</c:v>
                </c:pt>
                <c:pt idx="27">
                  <c:v>1.1985049222550399</c:v>
                </c:pt>
                <c:pt idx="28">
                  <c:v>1.19711830371689</c:v>
                </c:pt>
                <c:pt idx="29">
                  <c:v>1.1958287561970999</c:v>
                </c:pt>
                <c:pt idx="30">
                  <c:v>1.19462643183074</c:v>
                </c:pt>
                <c:pt idx="31">
                  <c:v>1.19350277118711</c:v>
                </c:pt>
                <c:pt idx="32">
                  <c:v>1.1924502992419499</c:v>
                </c:pt>
                <c:pt idx="33">
                  <c:v>1.1914624589276801</c:v>
                </c:pt>
                <c:pt idx="34">
                  <c:v>1.1905334744276801</c:v>
                </c:pt>
                <c:pt idx="35">
                  <c:v>1.18965823819342</c:v>
                </c:pt>
                <c:pt idx="36">
                  <c:v>1.1888322170166401</c:v>
                </c:pt>
                <c:pt idx="37">
                  <c:v>1.1880513735101199</c:v>
                </c:pt>
                <c:pt idx="38">
                  <c:v>1.1873121001264899</c:v>
                </c:pt>
                <c:pt idx="39">
                  <c:v>1.1866111634399199</c:v>
                </c:pt>
                <c:pt idx="40">
                  <c:v>1.1859456568756599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exercise_PVT!$G$64:$G$104</c:f>
              <c:numCache>
                <c:formatCode>0.0000</c:formatCode>
                <c:ptCount val="41"/>
                <c:pt idx="0">
                  <c:v>1.05809926928493</c:v>
                </c:pt>
                <c:pt idx="1">
                  <c:v>1.0661860031705901</c:v>
                </c:pt>
                <c:pt idx="2">
                  <c:v>1.0738362996228099</c:v>
                </c:pt>
                <c:pt idx="3">
                  <c:v>1.0805784595322601</c:v>
                </c:pt>
                <c:pt idx="4">
                  <c:v>1.0868484112177399</c:v>
                </c:pt>
                <c:pt idx="5">
                  <c:v>1.0928375980715901</c:v>
                </c:pt>
                <c:pt idx="6">
                  <c:v>1.0986565206827299</c:v>
                </c:pt>
                <c:pt idx="7">
                  <c:v>1.10437876566962</c:v>
                </c:pt>
                <c:pt idx="8">
                  <c:v>1.1100579475736301</c:v>
                </c:pt>
                <c:pt idx="9">
                  <c:v>1.1157356252367401</c:v>
                </c:pt>
                <c:pt idx="10">
                  <c:v>1.12144549860136</c:v>
                </c:pt>
                <c:pt idx="11">
                  <c:v>1.12721584287097</c:v>
                </c:pt>
                <c:pt idx="12">
                  <c:v>1.1330710193615501</c:v>
                </c:pt>
                <c:pt idx="13">
                  <c:v>1.13903246453284</c:v>
                </c:pt>
                <c:pt idx="14">
                  <c:v>1.14511936591623</c:v>
                </c:pt>
                <c:pt idx="15">
                  <c:v>1.1513491408074199</c:v>
                </c:pt>
                <c:pt idx="16">
                  <c:v>1.15773778573547</c:v>
                </c:pt>
                <c:pt idx="17">
                  <c:v>1.1631974102169</c:v>
                </c:pt>
                <c:pt idx="18">
                  <c:v>1.16106626098076</c:v>
                </c:pt>
                <c:pt idx="19">
                  <c:v>1.15916275315523</c:v>
                </c:pt>
                <c:pt idx="20">
                  <c:v>1.1574522644585099</c:v>
                </c:pt>
                <c:pt idx="21">
                  <c:v>1.1559068544577</c:v>
                </c:pt>
                <c:pt idx="22">
                  <c:v>1.1545037269051299</c:v>
                </c:pt>
                <c:pt idx="23">
                  <c:v>1.1532240979991699</c:v>
                </c:pt>
                <c:pt idx="24">
                  <c:v>1.15205235082422</c:v>
                </c:pt>
                <c:pt idx="25">
                  <c:v>1.15097539496122</c:v>
                </c:pt>
                <c:pt idx="26">
                  <c:v>1.14998217544745</c:v>
                </c:pt>
                <c:pt idx="27">
                  <c:v>1.1490632919715</c:v>
                </c:pt>
                <c:pt idx="28">
                  <c:v>1.1482107004740401</c:v>
                </c:pt>
                <c:pt idx="29">
                  <c:v>1.14741747707452</c:v>
                </c:pt>
                <c:pt idx="30">
                  <c:v>1.1466776296476799</c:v>
                </c:pt>
                <c:pt idx="31">
                  <c:v>1.1459859461945501</c:v>
                </c:pt>
                <c:pt idx="32">
                  <c:v>1.14533787188977</c:v>
                </c:pt>
                <c:pt idx="33">
                  <c:v>1.1447294086714901</c:v>
                </c:pt>
                <c:pt idx="34">
                  <c:v>1.14415703269513</c:v>
                </c:pt>
                <c:pt idx="35">
                  <c:v>1.14361762604991</c:v>
                </c:pt>
                <c:pt idx="36">
                  <c:v>1.1431084199436601</c:v>
                </c:pt>
                <c:pt idx="37">
                  <c:v>1.14262694716994</c:v>
                </c:pt>
                <c:pt idx="38">
                  <c:v>1.1421710021351399</c:v>
                </c:pt>
                <c:pt idx="39">
                  <c:v>1.1417386070790201</c:v>
                </c:pt>
                <c:pt idx="40">
                  <c:v>1.14132798339737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exercise_PVT!$H$64:$H$104</c:f>
              <c:numCache>
                <c:formatCode>0.0000</c:formatCode>
                <c:ptCount val="41"/>
                <c:pt idx="0">
                  <c:v>2.8476871180848402</c:v>
                </c:pt>
                <c:pt idx="1">
                  <c:v>2.3222995895515299</c:v>
                </c:pt>
                <c:pt idx="2">
                  <c:v>2.1019909299492401</c:v>
                </c:pt>
                <c:pt idx="3">
                  <c:v>1.9607425936276801</c:v>
                </c:pt>
                <c:pt idx="4">
                  <c:v>1.85400707778833</c:v>
                </c:pt>
                <c:pt idx="5">
                  <c:v>1.7671669805480299</c:v>
                </c:pt>
                <c:pt idx="6">
                  <c:v>1.6934285220110299</c:v>
                </c:pt>
                <c:pt idx="7">
                  <c:v>1.62903883759919</c:v>
                </c:pt>
                <c:pt idx="8">
                  <c:v>1.5716921345481201</c:v>
                </c:pt>
                <c:pt idx="9">
                  <c:v>1.5198645383346301</c:v>
                </c:pt>
                <c:pt idx="10">
                  <c:v>1.47249368644089</c:v>
                </c:pt>
                <c:pt idx="11">
                  <c:v>1.42880800302851</c:v>
                </c:pt>
                <c:pt idx="12">
                  <c:v>1.3882286099614101</c:v>
                </c:pt>
                <c:pt idx="13">
                  <c:v>1.35030956639523</c:v>
                </c:pt>
                <c:pt idx="14">
                  <c:v>1.3146997056296099</c:v>
                </c:pt>
                <c:pt idx="15">
                  <c:v>1.2811173035174901</c:v>
                </c:pt>
                <c:pt idx="16">
                  <c:v>1.2493327112094601</c:v>
                </c:pt>
                <c:pt idx="17">
                  <c:v>1.21915611628892</c:v>
                </c:pt>
                <c:pt idx="18">
                  <c:v>1.19042871135614</c:v>
                </c:pt>
                <c:pt idx="19">
                  <c:v>1.1630161887657899</c:v>
                </c:pt>
                <c:pt idx="20">
                  <c:v>1.13680386133639</c:v>
                </c:pt>
                <c:pt idx="21">
                  <c:v>1.1116929435173699</c:v>
                </c:pt>
                <c:pt idx="22">
                  <c:v>1.0875976762256601</c:v>
                </c:pt>
                <c:pt idx="23">
                  <c:v>1.0644430752602301</c:v>
                </c:pt>
                <c:pt idx="24">
                  <c:v>1.0421631475191</c:v>
                </c:pt>
                <c:pt idx="25">
                  <c:v>1.0206994629052299</c:v>
                </c:pt>
                <c:pt idx="26">
                  <c:v>1</c:v>
                </c:pt>
                <c:pt idx="27">
                  <c:v>1.00519599947272</c:v>
                </c:pt>
                <c:pt idx="28">
                  <c:v>1.01039199894543</c:v>
                </c:pt>
                <c:pt idx="29">
                  <c:v>1.01558799841815</c:v>
                </c:pt>
                <c:pt idx="30">
                  <c:v>1.0207839978908699</c:v>
                </c:pt>
                <c:pt idx="31">
                  <c:v>1.0259799973635899</c:v>
                </c:pt>
                <c:pt idx="32">
                  <c:v>1.0311759968362999</c:v>
                </c:pt>
                <c:pt idx="33">
                  <c:v>1.0363719963090201</c:v>
                </c:pt>
                <c:pt idx="34">
                  <c:v>1.0415679957817401</c:v>
                </c:pt>
                <c:pt idx="35">
                  <c:v>1.0467639952544601</c:v>
                </c:pt>
                <c:pt idx="36">
                  <c:v>1.0519599947271701</c:v>
                </c:pt>
                <c:pt idx="37">
                  <c:v>1.05715599419989</c:v>
                </c:pt>
                <c:pt idx="38">
                  <c:v>1.06235199367261</c:v>
                </c:pt>
                <c:pt idx="39">
                  <c:v>1.06754799314532</c:v>
                </c:pt>
                <c:pt idx="40">
                  <c:v>1.07274399261804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exercise_PVT!$B$64:$B$104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exercise_PVT!$I$64:$I$104</c:f>
              <c:numCache>
                <c:formatCode>0.0000</c:formatCode>
                <c:ptCount val="41"/>
                <c:pt idx="0">
                  <c:v>2.38045983296962</c:v>
                </c:pt>
                <c:pt idx="1">
                  <c:v>2.2427726044697498</c:v>
                </c:pt>
                <c:pt idx="2">
                  <c:v>2.1222116490782801</c:v>
                </c:pt>
                <c:pt idx="3">
                  <c:v>2.0235741287028</c:v>
                </c:pt>
                <c:pt idx="4">
                  <c:v>1.93780540051587</c:v>
                </c:pt>
                <c:pt idx="5">
                  <c:v>1.8608641822608201</c:v>
                </c:pt>
                <c:pt idx="6">
                  <c:v>1.7904573897624301</c:v>
                </c:pt>
                <c:pt idx="7">
                  <c:v>1.7251195819281799</c:v>
                </c:pt>
                <c:pt idx="8">
                  <c:v>1.66384548684131</c:v>
                </c:pt>
                <c:pt idx="9">
                  <c:v>1.60591299331342</c:v>
                </c:pt>
                <c:pt idx="10">
                  <c:v>1.55078690188059</c:v>
                </c:pt>
                <c:pt idx="11">
                  <c:v>1.49806190291351</c:v>
                </c:pt>
                <c:pt idx="12">
                  <c:v>1.4474265449510799</c:v>
                </c:pt>
                <c:pt idx="13">
                  <c:v>1.3986392831130401</c:v>
                </c:pt>
                <c:pt idx="14">
                  <c:v>1.3515118871380001</c:v>
                </c:pt>
                <c:pt idx="15">
                  <c:v>1.3058975439862199</c:v>
                </c:pt>
                <c:pt idx="16">
                  <c:v>1.26168207128206</c:v>
                </c:pt>
                <c:pt idx="17">
                  <c:v>1.22538575585321</c:v>
                </c:pt>
                <c:pt idx="18">
                  <c:v>1.23647815318947</c:v>
                </c:pt>
                <c:pt idx="19">
                  <c:v>1.24757055052574</c:v>
                </c:pt>
                <c:pt idx="20">
                  <c:v>1.2586629478619999</c:v>
                </c:pt>
                <c:pt idx="21">
                  <c:v>1.2697553451982599</c:v>
                </c:pt>
                <c:pt idx="22">
                  <c:v>1.2808477425345199</c:v>
                </c:pt>
                <c:pt idx="23">
                  <c:v>1.2919401398707799</c:v>
                </c:pt>
                <c:pt idx="24">
                  <c:v>1.3030325372070399</c:v>
                </c:pt>
                <c:pt idx="25">
                  <c:v>1.3141249345432999</c:v>
                </c:pt>
                <c:pt idx="26">
                  <c:v>1.3252173318795599</c:v>
                </c:pt>
                <c:pt idx="27">
                  <c:v>1.3363097292158199</c:v>
                </c:pt>
                <c:pt idx="28">
                  <c:v>1.3474021265520799</c:v>
                </c:pt>
                <c:pt idx="29">
                  <c:v>1.3584945238883399</c:v>
                </c:pt>
                <c:pt idx="30">
                  <c:v>1.3695869212245999</c:v>
                </c:pt>
                <c:pt idx="31">
                  <c:v>1.3806793185608599</c:v>
                </c:pt>
                <c:pt idx="32">
                  <c:v>1.3917717158971199</c:v>
                </c:pt>
                <c:pt idx="33">
                  <c:v>1.4028641132333799</c:v>
                </c:pt>
                <c:pt idx="34">
                  <c:v>1.4139565105696399</c:v>
                </c:pt>
                <c:pt idx="35">
                  <c:v>1.4250489079059001</c:v>
                </c:pt>
                <c:pt idx="36">
                  <c:v>1.4361413052421601</c:v>
                </c:pt>
                <c:pt idx="37">
                  <c:v>1.4472337025784201</c:v>
                </c:pt>
                <c:pt idx="38">
                  <c:v>1.4583260999146801</c:v>
                </c:pt>
                <c:pt idx="39">
                  <c:v>1.4694184972509401</c:v>
                </c:pt>
                <c:pt idx="40">
                  <c:v>1.4805108945872001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27</xdr:row>
      <xdr:rowOff>65314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0523" y="7036"/>
              <a:ext cx="5550894" cy="509836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61</xdr:row>
      <xdr:rowOff>132002</xdr:rowOff>
    </xdr:from>
    <xdr:to>
      <xdr:col>32</xdr:col>
      <xdr:colOff>486191</xdr:colOff>
      <xdr:row>75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topLeftCell="A4" zoomScale="85" zoomScaleNormal="85" workbookViewId="0">
      <selection activeCell="E22" sqref="E22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14" t="s">
        <v>32</v>
      </c>
      <c r="I1" s="18">
        <v>44265</v>
      </c>
      <c r="J1" s="19"/>
      <c r="K1" s="19"/>
      <c r="L1" s="20"/>
    </row>
    <row r="2" spans="1:12" x14ac:dyDescent="0.25">
      <c r="A2" t="s">
        <v>21</v>
      </c>
      <c r="H2" s="14" t="s">
        <v>33</v>
      </c>
      <c r="I2" s="21">
        <v>7.26</v>
      </c>
      <c r="J2" s="16"/>
      <c r="K2" s="16"/>
      <c r="L2" s="17"/>
    </row>
    <row r="3" spans="1:12" ht="14.4" x14ac:dyDescent="0.3">
      <c r="A3" s="15" t="s">
        <v>25</v>
      </c>
      <c r="B3" s="54" t="s">
        <v>27</v>
      </c>
      <c r="C3" s="54"/>
      <c r="D3" s="54"/>
      <c r="E3" s="55"/>
      <c r="H3" s="15" t="s">
        <v>25</v>
      </c>
      <c r="I3" s="56" t="s">
        <v>27</v>
      </c>
      <c r="J3" s="56"/>
      <c r="K3" s="56"/>
      <c r="L3" s="56"/>
    </row>
    <row r="4" spans="1:12" ht="14.4" x14ac:dyDescent="0.3">
      <c r="A4" s="15" t="s">
        <v>29</v>
      </c>
      <c r="B4" s="54" t="s">
        <v>30</v>
      </c>
      <c r="C4" s="54"/>
      <c r="D4" s="54"/>
      <c r="E4" s="55"/>
      <c r="H4" s="15" t="s">
        <v>29</v>
      </c>
      <c r="I4" s="57" t="s">
        <v>30</v>
      </c>
      <c r="J4" s="57"/>
      <c r="K4" s="57"/>
      <c r="L4" s="57"/>
    </row>
    <row r="5" spans="1:12" ht="14.4" x14ac:dyDescent="0.3">
      <c r="A5" s="15" t="s">
        <v>34</v>
      </c>
      <c r="B5" s="54" t="s">
        <v>28</v>
      </c>
      <c r="C5" s="54"/>
      <c r="D5" s="54"/>
      <c r="E5" s="55"/>
      <c r="H5" s="15" t="s">
        <v>34</v>
      </c>
      <c r="I5" s="57" t="s">
        <v>28</v>
      </c>
      <c r="J5" s="57"/>
      <c r="K5" s="57"/>
      <c r="L5" s="57"/>
    </row>
    <row r="6" spans="1:12" x14ac:dyDescent="0.25">
      <c r="A6" s="40" t="s">
        <v>26</v>
      </c>
      <c r="B6" s="43" t="s">
        <v>31</v>
      </c>
      <c r="C6" s="44"/>
      <c r="D6" s="44"/>
      <c r="E6" s="45"/>
      <c r="H6" s="52" t="s">
        <v>26</v>
      </c>
      <c r="I6" s="53" t="s">
        <v>31</v>
      </c>
      <c r="J6" s="53"/>
      <c r="K6" s="53"/>
      <c r="L6" s="53"/>
    </row>
    <row r="7" spans="1:12" x14ac:dyDescent="0.25">
      <c r="A7" s="41"/>
      <c r="B7" s="46"/>
      <c r="C7" s="47"/>
      <c r="D7" s="47"/>
      <c r="E7" s="48"/>
      <c r="H7" s="52"/>
      <c r="I7" s="53"/>
      <c r="J7" s="53"/>
      <c r="K7" s="53"/>
      <c r="L7" s="53"/>
    </row>
    <row r="8" spans="1:12" x14ac:dyDescent="0.25">
      <c r="A8" s="42"/>
      <c r="B8" s="49"/>
      <c r="C8" s="50"/>
      <c r="D8" s="50"/>
      <c r="E8" s="51"/>
      <c r="H8" s="52"/>
      <c r="I8" s="53"/>
      <c r="J8" s="53"/>
      <c r="K8" s="53"/>
      <c r="L8" s="53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39</v>
      </c>
      <c r="C20" s="2">
        <v>15</v>
      </c>
      <c r="D20" s="5"/>
    </row>
    <row r="21" spans="2:6" ht="15.6" x14ac:dyDescent="0.35">
      <c r="B21" s="5" t="s">
        <v>40</v>
      </c>
      <c r="C21" s="2">
        <v>1</v>
      </c>
      <c r="D21" s="5"/>
    </row>
    <row r="22" spans="2:6" ht="15.6" x14ac:dyDescent="0.35">
      <c r="B22" s="5" t="s">
        <v>41</v>
      </c>
      <c r="C22" s="2">
        <v>80</v>
      </c>
      <c r="D22" s="5"/>
    </row>
    <row r="23" spans="2:6" ht="15.6" x14ac:dyDescent="0.35">
      <c r="B23" s="5" t="s">
        <v>42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44</v>
      </c>
      <c r="C25" s="2">
        <v>0.5</v>
      </c>
      <c r="D25" s="33"/>
    </row>
    <row r="26" spans="2:6" ht="14.4" x14ac:dyDescent="0.3">
      <c r="B26" s="5" t="s">
        <v>45</v>
      </c>
      <c r="C26" s="2">
        <v>50</v>
      </c>
      <c r="D26" s="33"/>
    </row>
    <row r="27" spans="2:6" ht="14.4" x14ac:dyDescent="0.3">
      <c r="B27" s="5" t="s">
        <v>46</v>
      </c>
      <c r="C27" s="2">
        <v>90</v>
      </c>
      <c r="D27" s="33"/>
    </row>
    <row r="29" spans="2:6" x14ac:dyDescent="0.25">
      <c r="B29" s="38" t="s">
        <v>35</v>
      </c>
      <c r="C29" s="39"/>
      <c r="D29" s="28" t="str" cm="1">
        <f t="array" ref="D29">[1]!encode_json(B30:C32)</f>
        <v>{"show_log":1,"PVT_correlation":1,"gas_goes_into_solution":0.9}</v>
      </c>
      <c r="E29" s="12"/>
      <c r="F29" s="12"/>
    </row>
    <row r="30" spans="2:6" x14ac:dyDescent="0.25">
      <c r="B30" s="27" t="s">
        <v>36</v>
      </c>
      <c r="C30" s="27">
        <v>1</v>
      </c>
    </row>
    <row r="31" spans="2:6" x14ac:dyDescent="0.25">
      <c r="B31" s="27" t="s">
        <v>38</v>
      </c>
      <c r="C31" s="27">
        <v>1</v>
      </c>
    </row>
    <row r="32" spans="2:6" x14ac:dyDescent="0.25">
      <c r="B32" s="27" t="s">
        <v>56</v>
      </c>
      <c r="C32" s="27">
        <v>0.9</v>
      </c>
    </row>
    <row r="34" spans="2:16" ht="15" customHeight="1" x14ac:dyDescent="0.25">
      <c r="B34" s="29" t="s">
        <v>23</v>
      </c>
      <c r="C34" s="31"/>
      <c r="D34" s="30" t="str">
        <f>[1]!encode_PVT(gamma_gas_,gamma_oil_,gamma_wat_,Rsb_,Pb_,Tres_,Bob_,muob_,C31)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43</v>
      </c>
      <c r="C35" s="31"/>
      <c r="D35" s="30" t="str" cm="1">
        <f t="array" ref="D35">[1]!encode_feed(Qliq,fw,rp,Qgas,PVT_str_)</f>
        <v>{"gamma_gas":0.9,"gamma_oil":0.9,"gamma_wat":1.1,"rsb_m3m3":80,"pb_atma":130,"t_res_C":90,"bob_m3m3":1.2,"muob_cP":1,"PVT_corr_set":1,"q_liq_sm3day":15,"fw_perc":1,"rp_m3m3":80,"q_gas_free_sm3day":1000}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D37" t="str" cm="1">
        <f t="array" ref="D37:D39">[1]!feed_mod_separate_gas(Ksep,Psep,Tsep,feed_,param)</f>
        <v>{"gamma_gas":0.9,"gamma_oil":0.9,"gamma_wat":1.1,"rsb_m3m3":60.9303769938324,"pb_atma":84.3817224241911,"t_res_C":90,"bob_m3m3":1.16347877656095,"muob_cP":1.22401411974622,"PVT_corr_set":1,"gamma_gas":0.6,"gamma_oil":0.86,"gamma_wat":1,"rsb_m3m3":100,"q_liq_sm3day":15,"fw_perc":1,"rp_m3m3":62.6639790853022,"q_gas_free_sm3day":500}</v>
      </c>
    </row>
    <row r="38" spans="2:16" x14ac:dyDescent="0.25">
      <c r="D38" t="str">
        <v>fluid after separation</v>
      </c>
    </row>
    <row r="39" spans="2:16" x14ac:dyDescent="0.25">
      <c r="D39" t="str">
        <v>["CPVT object created "]</v>
      </c>
    </row>
    <row r="42" spans="2:16" x14ac:dyDescent="0.25">
      <c r="B42" t="s">
        <v>48</v>
      </c>
      <c r="D42" t="s">
        <v>47</v>
      </c>
      <c r="G42" t="s">
        <v>51</v>
      </c>
      <c r="J42" t="s">
        <v>52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>
        <v>0.9</v>
      </c>
      <c r="G44" t="str" cm="1">
        <f t="array" ref="G44:H56">[1]!decode_json(D37)</f>
        <v>gamma_gas</v>
      </c>
      <c r="H44">
        <v>0.6</v>
      </c>
      <c r="J44" s="37">
        <f>(H44-C44)/H44</f>
        <v>-0.50000000000000011</v>
      </c>
      <c r="L44" t="str" cm="1">
        <f t="array" ref="L44">[1]!decode_json(D39)</f>
        <v xml:space="preserve">CPVT object created </v>
      </c>
    </row>
    <row r="45" spans="2:16" x14ac:dyDescent="0.25">
      <c r="B45" t="str">
        <v>gamma_oil</v>
      </c>
      <c r="C45">
        <v>0.9</v>
      </c>
      <c r="D45" t="str">
        <v>gamma_oil</v>
      </c>
      <c r="E45">
        <v>0.9</v>
      </c>
      <c r="G45" t="str">
        <v>gamma_oil</v>
      </c>
      <c r="H45">
        <v>0.86</v>
      </c>
      <c r="J45" s="37">
        <f t="shared" ref="J45:J51" si="0">(H45-C45)/H45</f>
        <v>-4.6511627906976785E-2</v>
      </c>
    </row>
    <row r="46" spans="2:16" x14ac:dyDescent="0.25">
      <c r="B46" t="str">
        <v>gamma_wat</v>
      </c>
      <c r="C46">
        <v>1.1000000000000001</v>
      </c>
      <c r="D46" t="str">
        <v>gamma_wat</v>
      </c>
      <c r="E46">
        <v>1.1000000000000001</v>
      </c>
      <c r="G46" t="str">
        <v>gamma_wat</v>
      </c>
      <c r="H46">
        <v>1</v>
      </c>
      <c r="J46" s="37">
        <f t="shared" si="0"/>
        <v>-0.10000000000000009</v>
      </c>
    </row>
    <row r="47" spans="2:16" x14ac:dyDescent="0.25">
      <c r="B47" t="str">
        <v>rsb_m3m3</v>
      </c>
      <c r="C47">
        <v>80</v>
      </c>
      <c r="D47" t="str">
        <v>rsb_m3m3</v>
      </c>
      <c r="E47">
        <v>80</v>
      </c>
      <c r="G47" t="str">
        <v>rsb_m3m3</v>
      </c>
      <c r="H47" s="36">
        <v>100</v>
      </c>
      <c r="J47" s="37">
        <f t="shared" si="0"/>
        <v>0.2</v>
      </c>
    </row>
    <row r="48" spans="2:16" x14ac:dyDescent="0.25">
      <c r="B48" t="str">
        <v>pb_atma</v>
      </c>
      <c r="C48">
        <v>130</v>
      </c>
      <c r="D48" t="str">
        <v>pb_atma</v>
      </c>
      <c r="E48">
        <v>130</v>
      </c>
      <c r="G48" t="str">
        <v>pb_atma</v>
      </c>
      <c r="H48" s="36">
        <v>84.381722424191096</v>
      </c>
      <c r="J48" s="37">
        <f t="shared" si="0"/>
        <v>-0.54061799481271033</v>
      </c>
    </row>
    <row r="49" spans="2:27" x14ac:dyDescent="0.25">
      <c r="B49" t="str">
        <v>t_res_C</v>
      </c>
      <c r="C49">
        <v>90</v>
      </c>
      <c r="D49" t="str">
        <v>t_res_C</v>
      </c>
      <c r="E49">
        <v>90</v>
      </c>
      <c r="G49" t="str">
        <v>t_res_C</v>
      </c>
      <c r="H49" s="36">
        <v>90</v>
      </c>
      <c r="J49" s="37">
        <f t="shared" si="0"/>
        <v>0</v>
      </c>
    </row>
    <row r="50" spans="2:27" x14ac:dyDescent="0.25">
      <c r="B50" t="str">
        <v>bob_m3m3</v>
      </c>
      <c r="C50">
        <v>1.2</v>
      </c>
      <c r="D50" t="str">
        <v>bob_m3m3</v>
      </c>
      <c r="E50">
        <v>1.2</v>
      </c>
      <c r="G50" t="str">
        <v>bob_m3m3</v>
      </c>
      <c r="H50" s="35">
        <v>1.16347877656095</v>
      </c>
      <c r="J50" s="37">
        <f t="shared" si="0"/>
        <v>-3.138967738371698E-2</v>
      </c>
    </row>
    <row r="51" spans="2:27" x14ac:dyDescent="0.25">
      <c r="B51" t="str">
        <v>muob_cP</v>
      </c>
      <c r="C51">
        <v>1</v>
      </c>
      <c r="D51" t="str">
        <v>muob_cP</v>
      </c>
      <c r="E51">
        <v>1</v>
      </c>
      <c r="G51" t="str">
        <v>muob_cP</v>
      </c>
      <c r="H51" s="35">
        <v>1.22401411974622</v>
      </c>
      <c r="J51" s="37">
        <f t="shared" si="0"/>
        <v>0.1830159604634837</v>
      </c>
    </row>
    <row r="52" spans="2:27" x14ac:dyDescent="0.25">
      <c r="B52" t="str">
        <v>PVT_corr_set</v>
      </c>
      <c r="C52">
        <v>1</v>
      </c>
      <c r="D52" t="str">
        <v>PVT_corr_set</v>
      </c>
      <c r="E52">
        <v>1</v>
      </c>
      <c r="G52" t="str">
        <v>PVT_corr_set</v>
      </c>
      <c r="H52">
        <v>1</v>
      </c>
      <c r="J52" s="37">
        <f>(H52-C52)</f>
        <v>0</v>
      </c>
    </row>
    <row r="53" spans="2:27" x14ac:dyDescent="0.25">
      <c r="D53" t="str">
        <v>q_liq_sm3day</v>
      </c>
      <c r="E53">
        <v>15</v>
      </c>
      <c r="G53" t="str">
        <v>q_liq_sm3day</v>
      </c>
      <c r="H53">
        <v>15</v>
      </c>
      <c r="J53" s="37">
        <f>(H53-E44)/H53</f>
        <v>0.94</v>
      </c>
    </row>
    <row r="54" spans="2:27" x14ac:dyDescent="0.25">
      <c r="D54" t="str">
        <v>fw_perc</v>
      </c>
      <c r="E54">
        <v>1</v>
      </c>
      <c r="G54" t="str">
        <v>fw_perc</v>
      </c>
      <c r="H54" s="36">
        <v>1</v>
      </c>
      <c r="J54" s="37">
        <f>(H54-E45)/H54</f>
        <v>9.9999999999999978E-2</v>
      </c>
    </row>
    <row r="55" spans="2:27" x14ac:dyDescent="0.25">
      <c r="D55" t="str">
        <v>rp_m3m3</v>
      </c>
      <c r="E55">
        <v>80</v>
      </c>
      <c r="G55" t="str">
        <v>rp_m3m3</v>
      </c>
      <c r="H55">
        <v>62.663979085302202</v>
      </c>
      <c r="J55" s="37">
        <f t="shared" ref="J55:J56" si="1">(H55-E46)/H55</f>
        <v>0.98244605567573984</v>
      </c>
    </row>
    <row r="56" spans="2:27" x14ac:dyDescent="0.25">
      <c r="D56" t="str">
        <v>q_gas_free_sm3day</v>
      </c>
      <c r="E56">
        <v>1000</v>
      </c>
      <c r="G56" t="str">
        <v>q_gas_free_sm3day</v>
      </c>
      <c r="H56">
        <v>500</v>
      </c>
      <c r="J56" s="37">
        <f t="shared" si="1"/>
        <v>0.84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37</v>
      </c>
    </row>
    <row r="63" spans="2:27" s="22" customFormat="1" x14ac:dyDescent="0.25">
      <c r="B63" s="23" t="s">
        <v>0</v>
      </c>
      <c r="C63" s="23" t="s">
        <v>4</v>
      </c>
      <c r="D63" s="23" t="s">
        <v>49</v>
      </c>
      <c r="E63" s="23" t="s">
        <v>50</v>
      </c>
      <c r="F63" s="23" t="s">
        <v>53</v>
      </c>
      <c r="G63" s="23" t="s">
        <v>54</v>
      </c>
      <c r="H63" s="23" t="s">
        <v>55</v>
      </c>
      <c r="I63" s="23" t="s">
        <v>57</v>
      </c>
      <c r="J63" s="23">
        <f t="shared" ref="J63:Q63" si="2">J58</f>
        <v>0</v>
      </c>
      <c r="K63" s="23">
        <f t="shared" si="2"/>
        <v>0</v>
      </c>
      <c r="L63" s="23">
        <f t="shared" si="2"/>
        <v>0</v>
      </c>
      <c r="M63" s="23">
        <f t="shared" si="2"/>
        <v>0</v>
      </c>
      <c r="N63" s="23">
        <f t="shared" si="2"/>
        <v>0</v>
      </c>
      <c r="O63" s="23">
        <f t="shared" si="2"/>
        <v>0</v>
      </c>
      <c r="P63" s="23">
        <f t="shared" si="2"/>
        <v>0</v>
      </c>
      <c r="Q63" s="23">
        <f t="shared" si="2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2.9291248984322</v>
      </c>
      <c r="E64" s="32">
        <f>[1]!PVT_rs_m3m3(B64,C64,PVT_mod)</f>
        <v>0.98808859536875004</v>
      </c>
      <c r="F64" s="32">
        <f>[1]!PVT_bo_m3m3(B64,C64,PVT_str_)</f>
        <v>1.0534793197722101</v>
      </c>
      <c r="G64" s="32">
        <f>[1]!PVT_bo_m3m3(B64,C64,PVT_mod)</f>
        <v>1.05809926928493</v>
      </c>
      <c r="H64" s="32">
        <f>[1]!PVT_mu_oil_cP(B64,C64,PVT_str_)</f>
        <v>2.8476871180848402</v>
      </c>
      <c r="I64" s="32">
        <f>[1]!PVT_mu_oil_cP(B64,C64,PVT_mod)</f>
        <v>2.38045983296962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5">
      <c r="B65" s="9">
        <v>5</v>
      </c>
      <c r="C65" s="9">
        <v>90</v>
      </c>
      <c r="D65" s="32">
        <f>[1]!PVT_rs_m3m3(B65,C65,PVT_str_)</f>
        <v>14.025469474396999</v>
      </c>
      <c r="E65" s="32">
        <f>[1]!PVT_rs_m3m3(B65,C65,PVT_mod)</f>
        <v>5.4883412195472197</v>
      </c>
      <c r="F65" s="32">
        <f>[1]!PVT_bo_m3m3(B65,C65,PVT_str_)</f>
        <v>1.0745707595560301</v>
      </c>
      <c r="G65" s="32">
        <f>[1]!PVT_bo_m3m3(B65,C65,PVT_mod)</f>
        <v>1.0661860031705901</v>
      </c>
      <c r="H65" s="32">
        <f>[1]!PVT_mu_oil_cP(B65,C65,PVT_str_)</f>
        <v>2.3222995895515299</v>
      </c>
      <c r="I65" s="32">
        <f>[1]!PVT_mu_oil_cP(B65,C65,PVT_mod)</f>
        <v>2.2427726044697498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5">
      <c r="B66" s="9">
        <v>10</v>
      </c>
      <c r="C66" s="9">
        <v>90</v>
      </c>
      <c r="D66" s="32">
        <f>[1]!PVT_rs_m3m3(B66,C66,PVT_str_)</f>
        <v>20.0771124258711</v>
      </c>
      <c r="E66" s="32">
        <f>[1]!PVT_rs_m3m3(B66,C66,PVT_mod)</f>
        <v>9.8385574145868802</v>
      </c>
      <c r="F66" s="32">
        <f>[1]!PVT_bo_m3m3(B66,C66,PVT_str_)</f>
        <v>1.0860687398903399</v>
      </c>
      <c r="G66" s="32">
        <f>[1]!PVT_bo_m3m3(B66,C66,PVT_mod)</f>
        <v>1.0738362996228099</v>
      </c>
      <c r="H66" s="32">
        <f>[1]!PVT_mu_oil_cP(B66,C66,PVT_str_)</f>
        <v>2.1019909299492401</v>
      </c>
      <c r="I66" s="32">
        <f>[1]!PVT_mu_oil_cP(B66,C66,PVT_mod)</f>
        <v>2.1222116490782801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5">
      <c r="B67" s="9">
        <v>15</v>
      </c>
      <c r="C67" s="9">
        <v>90</v>
      </c>
      <c r="D67" s="32">
        <f>[1]!PVT_rs_m3m3(B67,C67,PVT_str_)</f>
        <v>24.556731829897299</v>
      </c>
      <c r="E67" s="32">
        <f>[1]!PVT_rs_m3m3(B67,C67,PVT_mod)</f>
        <v>13.7220071770969</v>
      </c>
      <c r="F67" s="32">
        <f>[1]!PVT_bo_m3m3(B67,C67,PVT_str_)</f>
        <v>1.09456708009783</v>
      </c>
      <c r="G67" s="32">
        <f>[1]!PVT_bo_m3m3(B67,C67,PVT_mod)</f>
        <v>1.0805784595322601</v>
      </c>
      <c r="H67" s="32">
        <f>[1]!PVT_mu_oil_cP(B67,C67,PVT_str_)</f>
        <v>1.9607425936276801</v>
      </c>
      <c r="I67" s="32">
        <f>[1]!PVT_mu_oil_cP(B67,C67,PVT_mod)</f>
        <v>2.0235741287028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5">
      <c r="B68" s="9">
        <v>20</v>
      </c>
      <c r="C68" s="9">
        <v>90</v>
      </c>
      <c r="D68" s="32">
        <f>[1]!PVT_rs_m3m3(B68,C68,PVT_str_)</f>
        <v>28.318011508370699</v>
      </c>
      <c r="E68" s="32">
        <f>[1]!PVT_rs_m3m3(B68,C68,PVT_mod)</f>
        <v>17.365574284421701</v>
      </c>
      <c r="F68" s="32">
        <f>[1]!PVT_bo_m3m3(B68,C68,PVT_str_)</f>
        <v>1.1016936726520901</v>
      </c>
      <c r="G68" s="32">
        <f>[1]!PVT_bo_m3m3(B68,C68,PVT_mod)</f>
        <v>1.0868484112177399</v>
      </c>
      <c r="H68" s="32">
        <f>[1]!PVT_mu_oil_cP(B68,C68,PVT_str_)</f>
        <v>1.85400707778833</v>
      </c>
      <c r="I68" s="32">
        <f>[1]!PVT_mu_oil_cP(B68,C68,PVT_mod)</f>
        <v>1.93780540051587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5">
      <c r="B69" s="9">
        <v>25</v>
      </c>
      <c r="C69" s="9">
        <v>90</v>
      </c>
      <c r="D69" s="32">
        <f>[1]!PVT_rs_m3m3(B69,C69,PVT_str_)</f>
        <v>31.654766664293199</v>
      </c>
      <c r="E69" s="32">
        <f>[1]!PVT_rs_m3m3(B69,C69,PVT_mod)</f>
        <v>20.868812565786101</v>
      </c>
      <c r="F69" s="32">
        <f>[1]!PVT_bo_m3m3(B69,C69,PVT_str_)</f>
        <v>1.1080100399619699</v>
      </c>
      <c r="G69" s="32">
        <f>[1]!PVT_bo_m3m3(B69,C69,PVT_mod)</f>
        <v>1.0928375980715901</v>
      </c>
      <c r="H69" s="32">
        <f>[1]!PVT_mu_oil_cP(B69,C69,PVT_str_)</f>
        <v>1.7671669805480299</v>
      </c>
      <c r="I69" s="32">
        <f>[1]!PVT_mu_oil_cP(B69,C69,PVT_mod)</f>
        <v>1.8608641822608201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5">
      <c r="B70" s="9">
        <v>30</v>
      </c>
      <c r="C70" s="9">
        <v>90</v>
      </c>
      <c r="D70" s="32">
        <f>[1]!PVT_rs_m3m3(B70,C70,PVT_str_)</f>
        <v>34.708485434692797</v>
      </c>
      <c r="E70" s="32">
        <f>[1]!PVT_rs_m3m3(B70,C70,PVT_mod)</f>
        <v>24.2891659982321</v>
      </c>
      <c r="F70" s="32">
        <f>[1]!PVT_bo_m3m3(B70,C70,PVT_str_)</f>
        <v>1.11378708213946</v>
      </c>
      <c r="G70" s="32">
        <f>[1]!PVT_bo_m3m3(B70,C70,PVT_mod)</f>
        <v>1.0986565206827299</v>
      </c>
      <c r="H70" s="32">
        <f>[1]!PVT_mu_oil_cP(B70,C70,PVT_str_)</f>
        <v>1.6934285220110299</v>
      </c>
      <c r="I70" s="32">
        <f>[1]!PVT_mu_oil_cP(B70,C70,PVT_mod)</f>
        <v>1.7904573897624301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5">
      <c r="B71" s="9">
        <v>35</v>
      </c>
      <c r="C71" s="9">
        <v>90</v>
      </c>
      <c r="D71" s="32">
        <f>[1]!PVT_rs_m3m3(B71,C71,PVT_str_)</f>
        <v>37.559609232621902</v>
      </c>
      <c r="E71" s="32">
        <f>[1]!PVT_rs_m3m3(B71,C71,PVT_mod)</f>
        <v>27.664897715054298</v>
      </c>
      <c r="F71" s="32">
        <f>[1]!PVT_bo_m3m3(B71,C71,PVT_str_)</f>
        <v>1.11917907015601</v>
      </c>
      <c r="G71" s="32">
        <f>[1]!PVT_bo_m3m3(B71,C71,PVT_mod)</f>
        <v>1.10437876566962</v>
      </c>
      <c r="H71" s="32">
        <f>[1]!PVT_mu_oil_cP(B71,C71,PVT_str_)</f>
        <v>1.62903883759919</v>
      </c>
      <c r="I71" s="32">
        <f>[1]!PVT_mu_oil_cP(B71,C71,PVT_mod)</f>
        <v>1.7251195819281799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5">
      <c r="B72" s="9">
        <v>40</v>
      </c>
      <c r="C72" s="9">
        <v>90</v>
      </c>
      <c r="D72" s="32">
        <f>[1]!PVT_rs_m3m3(B72,C72,PVT_str_)</f>
        <v>40.258772999578603</v>
      </c>
      <c r="E72" s="32">
        <f>[1]!PVT_rs_m3m3(B72,C72,PVT_mod)</f>
        <v>31.023906502252601</v>
      </c>
      <c r="F72" s="32">
        <f>[1]!PVT_bo_m3m3(B72,C72,PVT_str_)</f>
        <v>1.1242832605479001</v>
      </c>
      <c r="G72" s="32">
        <f>[1]!PVT_bo_m3m3(B72,C72,PVT_mod)</f>
        <v>1.1100579475736301</v>
      </c>
      <c r="H72" s="32">
        <f>[1]!PVT_mu_oil_cP(B72,C72,PVT_str_)</f>
        <v>1.5716921345481201</v>
      </c>
      <c r="I72" s="32">
        <f>[1]!PVT_mu_oil_cP(B72,C72,PVT_mod)</f>
        <v>1.66384548684131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5">
      <c r="B73" s="9">
        <v>45</v>
      </c>
      <c r="C73" s="9">
        <v>90</v>
      </c>
      <c r="D73" s="32">
        <f>[1]!PVT_rs_m3m3(B73,C73,PVT_str_)</f>
        <v>42.840140639044698</v>
      </c>
      <c r="E73" s="32">
        <f>[1]!PVT_rs_m3m3(B73,C73,PVT_mod)</f>
        <v>34.387842761464299</v>
      </c>
      <c r="F73" s="32">
        <f>[1]!PVT_bo_m3m3(B73,C73,PVT_str_)</f>
        <v>1.12916536802418</v>
      </c>
      <c r="G73" s="32">
        <f>[1]!PVT_bo_m3m3(B73,C73,PVT_mod)</f>
        <v>1.1157356252367401</v>
      </c>
      <c r="H73" s="32">
        <f>[1]!PVT_mu_oil_cP(B73,C73,PVT_str_)</f>
        <v>1.5198645383346301</v>
      </c>
      <c r="I73" s="32">
        <f>[1]!PVT_mu_oil_cP(B73,C73,PVT_mod)</f>
        <v>1.60591299331342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5">
      <c r="B74" s="9">
        <v>50</v>
      </c>
      <c r="C74" s="9">
        <v>90</v>
      </c>
      <c r="D74" s="32">
        <f>[1]!PVT_rs_m3m3(B74,C74,PVT_str_)</f>
        <v>45.327958170604397</v>
      </c>
      <c r="E74" s="32">
        <f>[1]!PVT_rs_m3m3(B74,C74,PVT_mod)</f>
        <v>37.774288065131103</v>
      </c>
      <c r="F74" s="32">
        <f>[1]!PVT_bo_m3m3(B74,C74,PVT_str_)</f>
        <v>1.1338720942171501</v>
      </c>
      <c r="G74" s="32">
        <f>[1]!PVT_bo_m3m3(B74,C74,PVT_mod)</f>
        <v>1.12144549860136</v>
      </c>
      <c r="H74" s="32">
        <f>[1]!PVT_mu_oil_cP(B74,C74,PVT_str_)</f>
        <v>1.47249368644089</v>
      </c>
      <c r="I74" s="32">
        <f>[1]!PVT_mu_oil_cP(B74,C74,PVT_mod)</f>
        <v>1.55078690188059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5">
      <c r="B75" s="9">
        <v>55</v>
      </c>
      <c r="C75" s="9">
        <v>90</v>
      </c>
      <c r="D75" s="32">
        <f>[1]!PVT_rs_m3m3(B75,C75,PVT_str_)</f>
        <v>47.740108882116402</v>
      </c>
      <c r="E75" s="32">
        <f>[1]!PVT_rs_m3m3(B75,C75,PVT_mod)</f>
        <v>41.198017464204</v>
      </c>
      <c r="F75" s="32">
        <f>[1]!PVT_bo_m3m3(B75,C75,PVT_str_)</f>
        <v>1.1384379302441201</v>
      </c>
      <c r="G75" s="32">
        <f>[1]!PVT_bo_m3m3(B75,C75,PVT_mod)</f>
        <v>1.12721584287097</v>
      </c>
      <c r="H75" s="32">
        <f>[1]!PVT_mu_oil_cP(B75,C75,PVT_str_)</f>
        <v>1.42880800302851</v>
      </c>
      <c r="I75" s="32">
        <f>[1]!PVT_mu_oil_cP(B75,C75,PVT_mod)</f>
        <v>1.49806190291351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5">
      <c r="B76" s="9">
        <v>60</v>
      </c>
      <c r="C76" s="9">
        <v>90</v>
      </c>
      <c r="D76" s="32">
        <f>[1]!PVT_rs_m3m3(B76,C76,PVT_str_)</f>
        <v>50.090189758390402</v>
      </c>
      <c r="E76" s="32">
        <f>[1]!PVT_rs_m3m3(B76,C76,PVT_mod)</f>
        <v>44.671781533181601</v>
      </c>
      <c r="F76" s="32">
        <f>[1]!PVT_bo_m3m3(B76,C76,PVT_str_)</f>
        <v>1.14288913350195</v>
      </c>
      <c r="G76" s="32">
        <f>[1]!PVT_bo_m3m3(B76,C76,PVT_mod)</f>
        <v>1.1330710193615501</v>
      </c>
      <c r="H76" s="32">
        <f>[1]!PVT_mu_oil_cP(B76,C76,PVT_str_)</f>
        <v>1.3882286099614101</v>
      </c>
      <c r="I76" s="32">
        <f>[1]!PVT_mu_oil_cP(B76,C76,PVT_mod)</f>
        <v>1.4474265449510799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5">
      <c r="B77" s="9">
        <v>65</v>
      </c>
      <c r="C77" s="9">
        <v>90</v>
      </c>
      <c r="D77" s="32">
        <f>[1]!PVT_rs_m3m3(B77,C77,PVT_str_)</f>
        <v>52.3887958573928</v>
      </c>
      <c r="E77" s="32">
        <f>[1]!PVT_rs_m3m3(B77,C77,PVT_mod)</f>
        <v>48.206817120190102</v>
      </c>
      <c r="F77" s="32">
        <f>[1]!PVT_bo_m3m3(B77,C77,PVT_str_)</f>
        <v>1.14724618846926</v>
      </c>
      <c r="G77" s="32">
        <f>[1]!PVT_bo_m3m3(B77,C77,PVT_mod)</f>
        <v>1.13903246453284</v>
      </c>
      <c r="H77" s="32">
        <f>[1]!PVT_mu_oil_cP(B77,C77,PVT_str_)</f>
        <v>1.35030956639523</v>
      </c>
      <c r="I77" s="32">
        <f>[1]!PVT_mu_oil_cP(B77,C77,PVT_mod)</f>
        <v>1.3986392831130401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5">
      <c r="B78" s="9">
        <v>70</v>
      </c>
      <c r="C78" s="9">
        <v>90</v>
      </c>
      <c r="D78" s="32">
        <f>[1]!PVT_rs_m3m3(B78,C78,PVT_str_)</f>
        <v>54.644352142335997</v>
      </c>
      <c r="E78" s="32">
        <f>[1]!PVT_rs_m3m3(B78,C78,PVT_mod)</f>
        <v>51.813195405359203</v>
      </c>
      <c r="F78" s="32">
        <f>[1]!PVT_bo_m3m3(B78,C78,PVT_str_)</f>
        <v>1.1515254023846799</v>
      </c>
      <c r="G78" s="32">
        <f>[1]!PVT_bo_m3m3(B78,C78,PVT_mod)</f>
        <v>1.14511936591623</v>
      </c>
      <c r="H78" s="32">
        <f>[1]!PVT_mu_oil_cP(B78,C78,PVT_str_)</f>
        <v>1.3146997056296099</v>
      </c>
      <c r="I78" s="32">
        <f>[1]!PVT_mu_oil_cP(B78,C78,PVT_mod)</f>
        <v>1.3515118871380001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5">
      <c r="B79" s="9">
        <v>75</v>
      </c>
      <c r="C79" s="9">
        <v>90</v>
      </c>
      <c r="D79" s="32">
        <f>[1]!PVT_rs_m3m3(B79,C79,PVT_str_)</f>
        <v>56.863672932803503</v>
      </c>
      <c r="E79" s="32">
        <f>[1]!PVT_rs_m3m3(B79,C79,PVT_mod)</f>
        <v>55.500067554943698</v>
      </c>
      <c r="F79" s="32">
        <f>[1]!PVT_bo_m3m3(B79,C79,PVT_str_)</f>
        <v>1.1557399788210301</v>
      </c>
      <c r="G79" s="32">
        <f>[1]!PVT_bo_m3m3(B79,C79,PVT_mod)</f>
        <v>1.1513491408074199</v>
      </c>
      <c r="H79" s="32">
        <f>[1]!PVT_mu_oil_cP(B79,C79,PVT_str_)</f>
        <v>1.2811173035174901</v>
      </c>
      <c r="I79" s="32">
        <f>[1]!PVT_mu_oil_cP(B79,C79,PVT_mod)</f>
        <v>1.3058975439862199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5">
      <c r="B80" s="9">
        <v>80</v>
      </c>
      <c r="C80" s="9">
        <v>90</v>
      </c>
      <c r="D80" s="32">
        <f>[1]!PVT_rs_m3m3(B80,C80,PVT_str_)</f>
        <v>59.052350220389002</v>
      </c>
      <c r="E80" s="32">
        <f>[1]!PVT_rs_m3m3(B80,C80,PVT_mod)</f>
        <v>59.275843281480498</v>
      </c>
      <c r="F80" s="32">
        <f>[1]!PVT_bo_m3m3(B80,C80,PVT_str_)</f>
        <v>1.1599007634081799</v>
      </c>
      <c r="G80" s="32">
        <f>[1]!PVT_bo_m3m3(B80,C80,PVT_mod)</f>
        <v>1.15773778573547</v>
      </c>
      <c r="H80" s="32">
        <f>[1]!PVT_mu_oil_cP(B80,C80,PVT_str_)</f>
        <v>1.2493327112094601</v>
      </c>
      <c r="I80" s="32">
        <f>[1]!PVT_mu_oil_cP(B80,C80,PVT_mod)</f>
        <v>1.26168207128206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61.215030512671198</v>
      </c>
      <c r="E81" s="32">
        <f>[1]!PVT_rs_m3m3(B81,C81,PVT_mod)</f>
        <v>62.663979085302202</v>
      </c>
      <c r="F81" s="32">
        <f>[1]!PVT_bo_m3m3(B81,C81,PVT_str_)</f>
        <v>1.16401677582329</v>
      </c>
      <c r="G81" s="32">
        <f>[1]!PVT_bo_m3m3(B81,C81,PVT_mod)</f>
        <v>1.1631974102169</v>
      </c>
      <c r="H81" s="32">
        <f>[1]!PVT_mu_oil_cP(B81,C81,PVT_str_)</f>
        <v>1.21915611628892</v>
      </c>
      <c r="I81" s="32">
        <f>[1]!PVT_mu_oil_cP(B81,C81,PVT_mod)</f>
        <v>1.22538575585321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63.355616801927503</v>
      </c>
      <c r="E82" s="32">
        <f>[1]!PVT_rs_m3m3(B82,C82,PVT_mod)</f>
        <v>62.663979085302202</v>
      </c>
      <c r="F82" s="32">
        <f>[1]!PVT_bo_m3m3(B82,C82,PVT_str_)</f>
        <v>1.1680955981363399</v>
      </c>
      <c r="G82" s="32">
        <f>[1]!PVT_bo_m3m3(B82,C82,PVT_mod)</f>
        <v>1.16106626098076</v>
      </c>
      <c r="H82" s="32">
        <f>[1]!PVT_mu_oil_cP(B82,C82,PVT_str_)</f>
        <v>1.19042871135614</v>
      </c>
      <c r="I82" s="32">
        <f>[1]!PVT_mu_oil_cP(B82,C82,PVT_mod)</f>
        <v>1.23647815318947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65.477418888256295</v>
      </c>
      <c r="E83" s="32">
        <f>[1]!PVT_rs_m3m3(B83,C83,PVT_mod)</f>
        <v>62.663979085302202</v>
      </c>
      <c r="F83" s="32">
        <f>[1]!PVT_bo_m3m3(B83,C83,PVT_str_)</f>
        <v>1.1721436640218399</v>
      </c>
      <c r="G83" s="32">
        <f>[1]!PVT_bo_m3m3(B83,C83,PVT_mod)</f>
        <v>1.15916275315523</v>
      </c>
      <c r="H83" s="32">
        <f>[1]!PVT_mu_oil_cP(B83,C83,PVT_str_)</f>
        <v>1.1630161887657899</v>
      </c>
      <c r="I83" s="32">
        <f>[1]!PVT_mu_oil_cP(B83,C83,PVT_mod)</f>
        <v>1.24757055052574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67.583267246067393</v>
      </c>
      <c r="E84" s="32">
        <f>[1]!PVT_rs_m3m3(B84,C84,PVT_mod)</f>
        <v>62.663979085302202</v>
      </c>
      <c r="F84" s="32">
        <f>[1]!PVT_bo_m3m3(B84,C84,PVT_str_)</f>
        <v>1.1761664778188301</v>
      </c>
      <c r="G84" s="32">
        <f>[1]!PVT_bo_m3m3(B84,C84,PVT_mod)</f>
        <v>1.1574522644585099</v>
      </c>
      <c r="H84" s="32">
        <f>[1]!PVT_mu_oil_cP(B84,C84,PVT_str_)</f>
        <v>1.13680386133639</v>
      </c>
      <c r="I84" s="32">
        <f>[1]!PVT_mu_oil_cP(B84,C84,PVT_mod)</f>
        <v>1.2586629478619999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69.675600626399401</v>
      </c>
      <c r="E85" s="32">
        <f>[1]!PVT_rs_m3m3(B85,C85,PVT_mod)</f>
        <v>62.663979085302202</v>
      </c>
      <c r="F85" s="32">
        <f>[1]!PVT_bo_m3m3(B85,C85,PVT_str_)</f>
        <v>1.1801687837719299</v>
      </c>
      <c r="G85" s="32">
        <f>[1]!PVT_bo_m3m3(B85,C85,PVT_mod)</f>
        <v>1.1559068544577</v>
      </c>
      <c r="H85" s="32">
        <f>[1]!PVT_mu_oil_cP(B85,C85,PVT_str_)</f>
        <v>1.1116929435173699</v>
      </c>
      <c r="I85" s="32">
        <f>[1]!PVT_mu_oil_cP(B85,C85,PVT_mod)</f>
        <v>1.2697553451982599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71.756534393011194</v>
      </c>
      <c r="E86" s="32">
        <f>[1]!PVT_rs_m3m3(B86,C86,PVT_mod)</f>
        <v>62.663979085302202</v>
      </c>
      <c r="F86" s="32">
        <f>[1]!PVT_bo_m3m3(B86,C86,PVT_str_)</f>
        <v>1.1841546969982899</v>
      </c>
      <c r="G86" s="32">
        <f>[1]!PVT_bo_m3m3(B86,C86,PVT_mod)</f>
        <v>1.1545037269051299</v>
      </c>
      <c r="H86" s="32">
        <f>[1]!PVT_mu_oil_cP(B86,C86,PVT_str_)</f>
        <v>1.0875976762256601</v>
      </c>
      <c r="I86" s="32">
        <f>[1]!PVT_mu_oil_cP(B86,C86,PVT_mod)</f>
        <v>1.2808477425345199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73.827914495708299</v>
      </c>
      <c r="E87" s="32">
        <f>[1]!PVT_rs_m3m3(B87,C87,PVT_mod)</f>
        <v>62.663979085302202</v>
      </c>
      <c r="F87" s="32">
        <f>[1]!PVT_bo_m3m3(B87,C87,PVT_str_)</f>
        <v>1.1881278080109099</v>
      </c>
      <c r="G87" s="32">
        <f>[1]!PVT_bo_m3m3(B87,C87,PVT_mod)</f>
        <v>1.1532240979991699</v>
      </c>
      <c r="H87" s="32">
        <f>[1]!PVT_mu_oil_cP(B87,C87,PVT_str_)</f>
        <v>1.0644430752602301</v>
      </c>
      <c r="I87" s="32">
        <f>[1]!PVT_mu_oil_cP(B87,C87,PVT_mod)</f>
        <v>1.2919401398707799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75.8913605799263</v>
      </c>
      <c r="E88" s="32">
        <f>[1]!PVT_rs_m3m3(B88,C88,PVT_mod)</f>
        <v>62.663979085302202</v>
      </c>
      <c r="F88" s="32">
        <f>[1]!PVT_bo_m3m3(B88,C88,PVT_str_)</f>
        <v>1.19209126577173</v>
      </c>
      <c r="G88" s="32">
        <f>[1]!PVT_bo_m3m3(B88,C88,PVT_mod)</f>
        <v>1.15205235082422</v>
      </c>
      <c r="H88" s="32">
        <f>[1]!PVT_mu_oil_cP(B88,C88,PVT_str_)</f>
        <v>1.0421631475191</v>
      </c>
      <c r="I88" s="32">
        <f>[1]!PVT_mu_oil_cP(B88,C88,PVT_mod)</f>
        <v>1.3030325372070399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77.948300770737902</v>
      </c>
      <c r="E89" s="32">
        <f>[1]!PVT_rs_m3m3(B89,C89,PVT_mod)</f>
        <v>62.663979085302202</v>
      </c>
      <c r="F89" s="32">
        <f>[1]!PVT_bo_m3m3(B89,C89,PVT_str_)</f>
        <v>1.1960478448257501</v>
      </c>
      <c r="G89" s="32">
        <f>[1]!PVT_bo_m3m3(B89,C89,PVT_mod)</f>
        <v>1.15097539496122</v>
      </c>
      <c r="H89" s="32">
        <f>[1]!PVT_mu_oil_cP(B89,C89,PVT_str_)</f>
        <v>1.0206994629052299</v>
      </c>
      <c r="I89" s="32">
        <f>[1]!PVT_mu_oil_cP(B89,C89,PVT_mod)</f>
        <v>1.3141249345432999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62.663979085302202</v>
      </c>
      <c r="F90" s="32">
        <f>[1]!PVT_bo_m3m3(B90,C90,PVT_str_)</f>
        <v>1.2</v>
      </c>
      <c r="G90" s="32">
        <f>[1]!PVT_bo_m3m3(B90,C90,PVT_mod)</f>
        <v>1.14998217544745</v>
      </c>
      <c r="H90" s="32">
        <f>[1]!PVT_mu_oil_cP(B90,C90,PVT_str_)</f>
        <v>1</v>
      </c>
      <c r="I90" s="32">
        <f>[1]!PVT_mu_oil_cP(B90,C90,PVT_mod)</f>
        <v>1.3252173318795599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62.663979085302202</v>
      </c>
      <c r="F91" s="32">
        <f>[1]!PVT_bo_m3m3(B91,C91,PVT_str_)</f>
        <v>1.1985049222550399</v>
      </c>
      <c r="G91" s="32">
        <f>[1]!PVT_bo_m3m3(B91,C91,PVT_mod)</f>
        <v>1.1490632919715</v>
      </c>
      <c r="H91" s="32">
        <f>[1]!PVT_mu_oil_cP(B91,C91,PVT_str_)</f>
        <v>1.00519599947272</v>
      </c>
      <c r="I91" s="32">
        <f>[1]!PVT_mu_oil_cP(B91,C91,PVT_mod)</f>
        <v>1.3363097292158199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62.663979085302202</v>
      </c>
      <c r="F92" s="32">
        <f>[1]!PVT_bo_m3m3(B92,C92,PVT_str_)</f>
        <v>1.19711830371689</v>
      </c>
      <c r="G92" s="32">
        <f>[1]!PVT_bo_m3m3(B92,C92,PVT_mod)</f>
        <v>1.1482107004740401</v>
      </c>
      <c r="H92" s="32">
        <f>[1]!PVT_mu_oil_cP(B92,C92,PVT_str_)</f>
        <v>1.01039199894543</v>
      </c>
      <c r="I92" s="32">
        <f>[1]!PVT_mu_oil_cP(B92,C92,PVT_mod)</f>
        <v>1.3474021265520799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62.663979085302202</v>
      </c>
      <c r="F93" s="32">
        <f>[1]!PVT_bo_m3m3(B93,C93,PVT_str_)</f>
        <v>1.1958287561970999</v>
      </c>
      <c r="G93" s="32">
        <f>[1]!PVT_bo_m3m3(B93,C93,PVT_mod)</f>
        <v>1.14741747707452</v>
      </c>
      <c r="H93" s="32">
        <f>[1]!PVT_mu_oil_cP(B93,C93,PVT_str_)</f>
        <v>1.01558799841815</v>
      </c>
      <c r="I93" s="32">
        <f>[1]!PVT_mu_oil_cP(B93,C93,PVT_mod)</f>
        <v>1.3584945238883399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62.663979085302202</v>
      </c>
      <c r="F94" s="32">
        <f>[1]!PVT_bo_m3m3(B94,C94,PVT_str_)</f>
        <v>1.19462643183074</v>
      </c>
      <c r="G94" s="32">
        <f>[1]!PVT_bo_m3m3(B94,C94,PVT_mod)</f>
        <v>1.1466776296476799</v>
      </c>
      <c r="H94" s="32">
        <f>[1]!PVT_mu_oil_cP(B94,C94,PVT_str_)</f>
        <v>1.0207839978908699</v>
      </c>
      <c r="I94" s="32">
        <f>[1]!PVT_mu_oil_cP(B94,C94,PVT_mod)</f>
        <v>1.3695869212245999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62.663979085302202</v>
      </c>
      <c r="F95" s="32">
        <f>[1]!PVT_bo_m3m3(B95,C95,PVT_str_)</f>
        <v>1.19350277118711</v>
      </c>
      <c r="G95" s="32">
        <f>[1]!PVT_bo_m3m3(B95,C95,PVT_mod)</f>
        <v>1.1459859461945501</v>
      </c>
      <c r="H95" s="32">
        <f>[1]!PVT_mu_oil_cP(B95,C95,PVT_str_)</f>
        <v>1.0259799973635899</v>
      </c>
      <c r="I95" s="32">
        <f>[1]!PVT_mu_oil_cP(B95,C95,PVT_mod)</f>
        <v>1.3806793185608599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62.663979085302202</v>
      </c>
      <c r="F96" s="32">
        <f>[1]!PVT_bo_m3m3(B96,C96,PVT_str_)</f>
        <v>1.1924502992419499</v>
      </c>
      <c r="G96" s="32">
        <f>[1]!PVT_bo_m3m3(B96,C96,PVT_mod)</f>
        <v>1.14533787188977</v>
      </c>
      <c r="H96" s="32">
        <f>[1]!PVT_mu_oil_cP(B96,C96,PVT_str_)</f>
        <v>1.0311759968362999</v>
      </c>
      <c r="I96" s="32">
        <f>[1]!PVT_mu_oil_cP(B96,C96,PVT_mod)</f>
        <v>1.3917717158971199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62.663979085302202</v>
      </c>
      <c r="F97" s="32">
        <f>[1]!PVT_bo_m3m3(B97,C97,PVT_str_)</f>
        <v>1.1914624589276801</v>
      </c>
      <c r="G97" s="32">
        <f>[1]!PVT_bo_m3m3(B97,C97,PVT_mod)</f>
        <v>1.1447294086714901</v>
      </c>
      <c r="H97" s="32">
        <f>[1]!PVT_mu_oil_cP(B97,C97,PVT_str_)</f>
        <v>1.0363719963090201</v>
      </c>
      <c r="I97" s="32">
        <f>[1]!PVT_mu_oil_cP(B97,C97,PVT_mod)</f>
        <v>1.4028641132333799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62.663979085302202</v>
      </c>
      <c r="F98" s="32">
        <f>[1]!PVT_bo_m3m3(B98,C98,PVT_str_)</f>
        <v>1.1905334744276801</v>
      </c>
      <c r="G98" s="32">
        <f>[1]!PVT_bo_m3m3(B98,C98,PVT_mod)</f>
        <v>1.14415703269513</v>
      </c>
      <c r="H98" s="32">
        <f>[1]!PVT_mu_oil_cP(B98,C98,PVT_str_)</f>
        <v>1.0415679957817401</v>
      </c>
      <c r="I98" s="32">
        <f>[1]!PVT_mu_oil_cP(B98,C98,PVT_mod)</f>
        <v>1.4139565105696399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62.663979085302202</v>
      </c>
      <c r="F99" s="32">
        <f>[1]!PVT_bo_m3m3(B99,C99,PVT_str_)</f>
        <v>1.18965823819342</v>
      </c>
      <c r="G99" s="32">
        <f>[1]!PVT_bo_m3m3(B99,C99,PVT_mod)</f>
        <v>1.14361762604991</v>
      </c>
      <c r="H99" s="32">
        <f>[1]!PVT_mu_oil_cP(B99,C99,PVT_str_)</f>
        <v>1.0467639952544601</v>
      </c>
      <c r="I99" s="32">
        <f>[1]!PVT_mu_oil_cP(B99,C99,PVT_mod)</f>
        <v>1.4250489079059001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62.663979085302202</v>
      </c>
      <c r="F100" s="32">
        <f>[1]!PVT_bo_m3m3(B100,C100,PVT_str_)</f>
        <v>1.1888322170166401</v>
      </c>
      <c r="G100" s="32">
        <f>[1]!PVT_bo_m3m3(B100,C100,PVT_mod)</f>
        <v>1.1431084199436601</v>
      </c>
      <c r="H100" s="32">
        <f>[1]!PVT_mu_oil_cP(B100,C100,PVT_str_)</f>
        <v>1.0519599947271701</v>
      </c>
      <c r="I100" s="32">
        <f>[1]!PVT_mu_oil_cP(B100,C100,PVT_mod)</f>
        <v>1.4361413052421601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62.663979085302202</v>
      </c>
      <c r="F101" s="32">
        <f>[1]!PVT_bo_m3m3(B101,C101,PVT_str_)</f>
        <v>1.1880513735101199</v>
      </c>
      <c r="G101" s="32">
        <f>[1]!PVT_bo_m3m3(B101,C101,PVT_mod)</f>
        <v>1.14262694716994</v>
      </c>
      <c r="H101" s="32">
        <f>[1]!PVT_mu_oil_cP(B101,C101,PVT_str_)</f>
        <v>1.05715599419989</v>
      </c>
      <c r="I101" s="32">
        <f>[1]!PVT_mu_oil_cP(B101,C101,PVT_mod)</f>
        <v>1.4472337025784201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62.663979085302202</v>
      </c>
      <c r="F102" s="32">
        <f>[1]!PVT_bo_m3m3(B102,C102,PVT_str_)</f>
        <v>1.1873121001264899</v>
      </c>
      <c r="G102" s="32">
        <f>[1]!PVT_bo_m3m3(B102,C102,PVT_mod)</f>
        <v>1.1421710021351399</v>
      </c>
      <c r="H102" s="32">
        <f>[1]!PVT_mu_oil_cP(B102,C102,PVT_str_)</f>
        <v>1.06235199367261</v>
      </c>
      <c r="I102" s="32">
        <f>[1]!PVT_mu_oil_cP(B102,C102,PVT_mod)</f>
        <v>1.4583260999146801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62.663979085302202</v>
      </c>
      <c r="F103" s="32">
        <f>[1]!PVT_bo_m3m3(B103,C103,PVT_str_)</f>
        <v>1.1866111634399199</v>
      </c>
      <c r="G103" s="32">
        <f>[1]!PVT_bo_m3m3(B103,C103,PVT_mod)</f>
        <v>1.1417386070790201</v>
      </c>
      <c r="H103" s="32">
        <f>[1]!PVT_mu_oil_cP(B103,C103,PVT_str_)</f>
        <v>1.06754799314532</v>
      </c>
      <c r="I103" s="32">
        <f>[1]!PVT_mu_oil_cP(B103,C103,PVT_mod)</f>
        <v>1.4694184972509401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62.663979085302202</v>
      </c>
      <c r="F104" s="32">
        <f>[1]!PVT_bo_m3m3(B104,C104,PVT_str_)</f>
        <v>1.1859456568756599</v>
      </c>
      <c r="G104" s="32">
        <f>[1]!PVT_bo_m3m3(B104,C104,PVT_mod)</f>
        <v>1.14132798339737</v>
      </c>
      <c r="H104" s="32">
        <f>[1]!PVT_mu_oil_cP(B104,C104,PVT_str_)</f>
        <v>1.07274399261804</v>
      </c>
      <c r="I104" s="32">
        <f>[1]!PVT_mu_oil_cP(B104,C104,PVT_mod)</f>
        <v>1.4805108945872001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9:C29"/>
    <mergeCell ref="A6:A8"/>
    <mergeCell ref="B6:E8"/>
    <mergeCell ref="H6:H8"/>
    <mergeCell ref="I6:L8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exercise_PVT</vt:lpstr>
      <vt:lpstr>exercise_PVT!Bob_</vt:lpstr>
      <vt:lpstr>exercise_PVT!Course</vt:lpstr>
      <vt:lpstr>feed_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Ksep</vt:lpstr>
      <vt:lpstr>exercise_PVT!muob_</vt:lpstr>
      <vt:lpstr>exercise_PVT!Notes</vt:lpstr>
      <vt:lpstr>param</vt:lpstr>
      <vt:lpstr>exercise_PVT!Pb_</vt:lpstr>
      <vt:lpstr>Psep</vt:lpstr>
      <vt:lpstr>PVT_mod</vt:lpstr>
      <vt:lpstr>exercise_PVT!PVT_str_</vt:lpstr>
      <vt:lpstr>Qgas</vt:lpstr>
      <vt:lpstr>Qliq</vt:lpstr>
      <vt:lpstr>rp</vt:lpstr>
      <vt:lpstr>exercise_PVT!Rsb_</vt:lpstr>
      <vt:lpstr>exercise_PVT!Student_Name</vt:lpstr>
      <vt:lpstr>exercise_PVT!Tres_</vt:lpstr>
      <vt:lpstr>Tsep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2021-03-10T17:39:29Z</dcterms:modified>
</cp:coreProperties>
</file>