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8C2BA97-FDD1-4997-8892-3A1354DAA11E}" xr6:coauthVersionLast="46" xr6:coauthVersionMax="46" xr10:uidLastSave="{00000000-0000-0000-0000-000000000000}"/>
  <bookViews>
    <workbookView xWindow="0" yWindow="1308" windowWidth="28800" windowHeight="15372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13" l="1" a="1"/>
  <c r="S64" i="113" s="1"/>
  <c r="E16" i="113"/>
  <c r="E15" i="113"/>
  <c r="E14" i="113"/>
  <c r="E13" i="113"/>
  <c r="E12" i="113"/>
  <c r="E11" i="113"/>
  <c r="D29" i="113" a="1"/>
  <c r="D34" i="113"/>
  <c r="H104" i="113"/>
  <c r="D79" i="113"/>
  <c r="D91" i="113"/>
  <c r="D100" i="113"/>
  <c r="F84" i="113"/>
  <c r="F97" i="113"/>
  <c r="F72" i="113"/>
  <c r="D77" i="113"/>
  <c r="H99" i="113"/>
  <c r="H66" i="113"/>
  <c r="H90" i="113"/>
  <c r="H73" i="113"/>
  <c r="F77" i="113"/>
  <c r="H84" i="113"/>
  <c r="D80" i="113"/>
  <c r="H76" i="113"/>
  <c r="F89" i="113"/>
  <c r="H98" i="113"/>
  <c r="D75" i="113"/>
  <c r="D78" i="113"/>
  <c r="F85" i="113"/>
  <c r="D95" i="113"/>
  <c r="F80" i="113"/>
  <c r="D67" i="113"/>
  <c r="H102" i="113"/>
  <c r="H79" i="113"/>
  <c r="F94" i="113"/>
  <c r="D68" i="113"/>
  <c r="F76" i="113"/>
  <c r="F65" i="113"/>
  <c r="D87" i="113"/>
  <c r="F95" i="113"/>
  <c r="D85" i="113"/>
  <c r="F73" i="113"/>
  <c r="H87" i="113"/>
  <c r="G1" i="113"/>
  <c r="D103" i="113"/>
  <c r="D104" i="113"/>
  <c r="D98" i="113"/>
  <c r="D66" i="113"/>
  <c r="F74" i="113"/>
  <c r="H97" i="113"/>
  <c r="D73" i="113"/>
  <c r="F98" i="113"/>
  <c r="F96" i="113"/>
  <c r="D99" i="113"/>
  <c r="D90" i="113"/>
  <c r="H85" i="113"/>
  <c r="B44" i="113" a="1"/>
  <c r="H68" i="113"/>
  <c r="D83" i="113"/>
  <c r="F88" i="113"/>
  <c r="F90" i="113"/>
  <c r="F70" i="113"/>
  <c r="H103" i="113"/>
  <c r="D65" i="113"/>
  <c r="H70" i="113"/>
  <c r="D94" i="113"/>
  <c r="F79" i="113"/>
  <c r="H88" i="113"/>
  <c r="F66" i="113"/>
  <c r="F81" i="113"/>
  <c r="H96" i="113"/>
  <c r="H65" i="113"/>
  <c r="D89" i="113"/>
  <c r="F91" i="113"/>
  <c r="D81" i="113"/>
  <c r="H92" i="113"/>
  <c r="H83" i="113"/>
  <c r="D93" i="113"/>
  <c r="F102" i="113"/>
  <c r="H101" i="113"/>
  <c r="H94" i="113"/>
  <c r="H100" i="113"/>
  <c r="F71" i="113"/>
  <c r="D72" i="113"/>
  <c r="D88" i="113"/>
  <c r="D96" i="113"/>
  <c r="H82" i="113"/>
  <c r="D35" i="113" a="1"/>
  <c r="F64" i="113"/>
  <c r="H74" i="113"/>
  <c r="H80" i="113"/>
  <c r="F83" i="113"/>
  <c r="H86" i="113"/>
  <c r="F75" i="113"/>
  <c r="F104" i="113"/>
  <c r="H69" i="113"/>
  <c r="F100" i="113"/>
  <c r="H64" i="113"/>
  <c r="D102" i="113"/>
  <c r="F78" i="113"/>
  <c r="H71" i="113"/>
  <c r="H93" i="113"/>
  <c r="F101" i="113"/>
  <c r="H78" i="113"/>
  <c r="H91" i="113"/>
  <c r="D64" i="113"/>
  <c r="F69" i="113"/>
  <c r="F93" i="113"/>
  <c r="H72" i="113"/>
  <c r="H77" i="113"/>
  <c r="H67" i="113"/>
  <c r="D69" i="113"/>
  <c r="H95" i="113"/>
  <c r="F67" i="113"/>
  <c r="D74" i="113"/>
  <c r="F87" i="113"/>
  <c r="F99" i="113"/>
  <c r="H89" i="113"/>
  <c r="D84" i="113"/>
  <c r="F82" i="113"/>
  <c r="H75" i="113"/>
  <c r="D82" i="113"/>
  <c r="D70" i="113"/>
  <c r="D86" i="113"/>
  <c r="F92" i="113"/>
  <c r="D97" i="113"/>
  <c r="H81" i="113"/>
  <c r="F103" i="113"/>
  <c r="D101" i="113"/>
  <c r="D71" i="113"/>
  <c r="F86" i="113"/>
  <c r="D76" i="113"/>
  <c r="F68" i="113"/>
  <c r="D92" i="113"/>
  <c r="D29" i="113" l="1"/>
  <c r="B44" i="113"/>
  <c r="D35" i="113"/>
  <c r="O63" i="113"/>
  <c r="N63" i="113"/>
  <c r="P63" i="113"/>
  <c r="K63" i="113"/>
  <c r="M63" i="113"/>
  <c r="L63" i="113"/>
  <c r="Q63" i="113"/>
  <c r="J63" i="113"/>
  <c r="D44" i="113" a="1"/>
  <c r="D37" i="113" a="1"/>
  <c r="H37" i="113" a="1"/>
  <c r="D37" i="113" l="1"/>
  <c r="H37" i="113"/>
  <c r="D44" i="113"/>
  <c r="E79" i="113"/>
  <c r="I84" i="113"/>
  <c r="I92" i="113"/>
  <c r="G104" i="113"/>
  <c r="G65" i="113"/>
  <c r="E84" i="113"/>
  <c r="G75" i="113"/>
  <c r="G100" i="113"/>
  <c r="E85" i="113"/>
  <c r="G102" i="113"/>
  <c r="G79" i="113"/>
  <c r="E98" i="113"/>
  <c r="E77" i="113"/>
  <c r="G98" i="113"/>
  <c r="I79" i="113"/>
  <c r="G69" i="113"/>
  <c r="E71" i="113"/>
  <c r="E100" i="113"/>
  <c r="G94" i="113"/>
  <c r="E83" i="113"/>
  <c r="E67" i="113"/>
  <c r="I78" i="113"/>
  <c r="E97" i="113"/>
  <c r="G68" i="113"/>
  <c r="I104" i="113"/>
  <c r="G93" i="113"/>
  <c r="I93" i="113"/>
  <c r="G83" i="113"/>
  <c r="I90" i="113"/>
  <c r="G71" i="113"/>
  <c r="I75" i="113"/>
  <c r="G72" i="113"/>
  <c r="G101" i="113"/>
  <c r="I80" i="113"/>
  <c r="G92" i="113"/>
  <c r="G96" i="113"/>
  <c r="I102" i="113"/>
  <c r="E73" i="113"/>
  <c r="G103" i="113"/>
  <c r="E101" i="113"/>
  <c r="E103" i="113"/>
  <c r="E66" i="113"/>
  <c r="I95" i="113"/>
  <c r="E99" i="113"/>
  <c r="E70" i="113"/>
  <c r="G74" i="113"/>
  <c r="G77" i="113"/>
  <c r="G87" i="113"/>
  <c r="E65" i="113"/>
  <c r="I89" i="113"/>
  <c r="I96" i="113"/>
  <c r="E93" i="113"/>
  <c r="I66" i="113"/>
  <c r="I73" i="113"/>
  <c r="G78" i="113"/>
  <c r="I67" i="113"/>
  <c r="I99" i="113"/>
  <c r="E69" i="113"/>
  <c r="I94" i="113"/>
  <c r="E94" i="113"/>
  <c r="E80" i="113"/>
  <c r="I97" i="113"/>
  <c r="G99" i="113"/>
  <c r="G95" i="113"/>
  <c r="E92" i="113"/>
  <c r="E75" i="113"/>
  <c r="I77" i="113"/>
  <c r="G70" i="113"/>
  <c r="I81" i="113"/>
  <c r="I83" i="113"/>
  <c r="G86" i="113"/>
  <c r="G90" i="113"/>
  <c r="I74" i="113"/>
  <c r="G82" i="113"/>
  <c r="I82" i="113"/>
  <c r="G89" i="113"/>
  <c r="E91" i="113"/>
  <c r="E96" i="113"/>
  <c r="E104" i="113"/>
  <c r="I71" i="113"/>
  <c r="I91" i="113"/>
  <c r="E74" i="113"/>
  <c r="I72" i="113"/>
  <c r="E78" i="113"/>
  <c r="G76" i="113"/>
  <c r="I103" i="113"/>
  <c r="G85" i="113"/>
  <c r="I100" i="113"/>
  <c r="E95" i="113"/>
  <c r="G80" i="113"/>
  <c r="G97" i="113"/>
  <c r="I68" i="113"/>
  <c r="E76" i="113"/>
  <c r="I86" i="113"/>
  <c r="G66" i="113"/>
  <c r="E64" i="113"/>
  <c r="E88" i="113"/>
  <c r="I87" i="113"/>
  <c r="G88" i="113"/>
  <c r="I85" i="113"/>
  <c r="G67" i="113"/>
  <c r="G91" i="113"/>
  <c r="I88" i="113"/>
  <c r="E81" i="113"/>
  <c r="E102" i="113"/>
  <c r="E86" i="113"/>
  <c r="I69" i="113"/>
  <c r="E72" i="113"/>
  <c r="E87" i="113"/>
  <c r="I70" i="113"/>
  <c r="E89" i="113"/>
  <c r="G81" i="113"/>
  <c r="I98" i="113"/>
  <c r="I64" i="113"/>
  <c r="G84" i="113"/>
  <c r="G64" i="113"/>
  <c r="E82" i="113"/>
  <c r="E68" i="113"/>
  <c r="E90" i="113"/>
  <c r="G73" i="113"/>
  <c r="I65" i="113"/>
  <c r="I101" i="113"/>
  <c r="I76" i="113"/>
  <c r="G44" i="113" a="1"/>
  <c r="L47" i="113" l="1"/>
  <c r="J56" i="113"/>
  <c r="J45" i="113"/>
  <c r="J48" i="113"/>
  <c r="J51" i="113"/>
  <c r="J53" i="113"/>
  <c r="J54" i="113"/>
  <c r="J55" i="113"/>
  <c r="J46" i="113"/>
  <c r="J47" i="113"/>
  <c r="J49" i="113"/>
  <c r="J50" i="113"/>
  <c r="J52" i="113"/>
  <c r="J44" i="113"/>
  <c r="G44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<sst xmlns="http://schemas.openxmlformats.org/spreadsheetml/2006/main" count="71" uniqueCount="61">
  <si>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</si>
  <si>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</si>
  <si>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</si>
  <si>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</si>
  <si>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</si>
  <si>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</si>
  <si>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</si>
  <si>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</si>
  <si>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</si>
  <si>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</si>
  <si>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</si>
  <si>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</si>
  <si>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</si>
  <si>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</si>
  <si>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</si>
  <si>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</si>
  <si>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</si>
  <si>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</si>
  <si>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</si>
  <si>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</si>
  <si>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</si>
  <si>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</si>
  <si>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</si>
  <si>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</si>
  <si>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</si>
  <si>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</si>
  <si>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</si>
  <si>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</si>
  <si>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</si>
  <si>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</si>
  <si>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</si>
  <si>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</si>
  <si>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</si>
  <si>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</si>
  <si>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</si>
  <si>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</si>
  <si>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</si>
  <si>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</si>
  <si>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</si>
  <si>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</si>
  <si>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</si>
  <si>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</si>
  <si>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</si>
  <si>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</si>
  <si>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</si>
  <si>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</si>
  <si>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</si>
  <si>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</si>
  <si>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</si>
  <si>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</si>
  <si>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</si>
  <si>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</si>
  <si>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</si>
  <si>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</si>
  <si>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</si>
  <si>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</si>
  <si>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</si>
  <si>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</si>
  <si>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</si>
  <si>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</si>
  <si>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7.27с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</si>
</sst>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0.22553494218876222</c:v>
                </c:pt>
                <c:pt idx="1">
                  <c:v>1.5659349673002458</c:v>
                </c:pt>
                <c:pt idx="2">
                  <c:v>3.6075622751117975</c:v>
                </c:pt>
                <c:pt idx="3">
                  <c:v>5.8779747032623213</c:v>
                </c:pt>
                <c:pt idx="4">
                  <c:v>8.311012807414027</c:v>
                </c:pt>
                <c:pt idx="5">
                  <c:v>10.872604918847944</c:v>
                </c:pt>
                <c:pt idx="6">
                  <c:v>13.541532845460001</c:v>
                </c:pt>
                <c:pt idx="7">
                  <c:v>16.303158927408163</c:v>
                </c:pt>
                <c:pt idx="8">
                  <c:v>19.146705896534915</c:v>
                </c:pt>
                <c:pt idx="9">
                  <c:v>22.063870680248495</c:v>
                </c:pt>
                <c:pt idx="10">
                  <c:v>25.048038492335575</c:v>
                </c:pt>
                <c:pt idx="11">
                  <c:v>28.093801849263599</c:v>
                </c:pt>
                <c:pt idx="12">
                  <c:v>31.196648686306613</c:v>
                </c:pt>
                <c:pt idx="13">
                  <c:v>34.352750738468259</c:v>
                </c:pt>
                <c:pt idx="14">
                  <c:v>37.55881459947814</c:v>
                </c:pt>
                <c:pt idx="15">
                  <c:v>40.811973680960712</c:v>
                </c:pt>
                <c:pt idx="16">
                  <c:v>44.109707827832295</c:v>
                </c:pt>
                <c:pt idx="17">
                  <c:v>47.449782204464441</c:v>
                </c:pt>
                <c:pt idx="18">
                  <c:v>50.830199957945112</c:v>
                </c:pt>
                <c:pt idx="19">
                  <c:v>54.249164952277951</c:v>
                </c:pt>
                <c:pt idx="20">
                  <c:v>57.705052008824765</c:v>
                </c:pt>
                <c:pt idx="21">
                  <c:v>61.196382838161938</c:v>
                </c:pt>
                <c:pt idx="22">
                  <c:v>64.638816171928596</c:v>
                </c:pt>
                <c:pt idx="23">
                  <c:v>64.638816171928596</c:v>
                </c:pt>
                <c:pt idx="24">
                  <c:v>64.638816171928596</c:v>
                </c:pt>
                <c:pt idx="25">
                  <c:v>64.638816171928596</c:v>
                </c:pt>
                <c:pt idx="26">
                  <c:v>64.638816171928596</c:v>
                </c:pt>
                <c:pt idx="27">
                  <c:v>64.638816171928596</c:v>
                </c:pt>
                <c:pt idx="28">
                  <c:v>64.638816171928596</c:v>
                </c:pt>
                <c:pt idx="29">
                  <c:v>64.638816171928596</c:v>
                </c:pt>
                <c:pt idx="30">
                  <c:v>64.638816171928596</c:v>
                </c:pt>
                <c:pt idx="31">
                  <c:v>64.638816171928596</c:v>
                </c:pt>
                <c:pt idx="32">
                  <c:v>64.638816171928596</c:v>
                </c:pt>
                <c:pt idx="33">
                  <c:v>64.638816171928596</c:v>
                </c:pt>
                <c:pt idx="34">
                  <c:v>64.638816171928596</c:v>
                </c:pt>
                <c:pt idx="35">
                  <c:v>64.638816171928596</c:v>
                </c:pt>
                <c:pt idx="36">
                  <c:v>64.638816171928596</c:v>
                </c:pt>
                <c:pt idx="37">
                  <c:v>64.638816171928596</c:v>
                </c:pt>
                <c:pt idx="38">
                  <c:v>64.638816171928596</c:v>
                </c:pt>
                <c:pt idx="39">
                  <c:v>64.638816171928596</c:v>
                </c:pt>
                <c:pt idx="40">
                  <c:v>64.638816171928596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1.0449851018710998</c:v>
                </c:pt>
                <c:pt idx="1">
                  <c:v>1.0473290625499803</c:v>
                </c:pt>
                <c:pt idx="2">
                  <c:v>1.0509229041321011</c:v>
                </c:pt>
                <c:pt idx="3">
                  <c:v>1.0549518788134786</c:v>
                </c:pt>
                <c:pt idx="4">
                  <c:v>1.0593058826004635</c:v>
                </c:pt>
                <c:pt idx="5">
                  <c:v>1.0639290896601235</c:v>
                </c:pt>
                <c:pt idx="6">
                  <c:v>1.0687870614853707</c:v>
                </c:pt>
                <c:pt idx="7">
                  <c:v>1.0738561361691346</c:v>
                </c:pt>
                <c:pt idx="8">
                  <c:v>1.0791188808427226</c:v>
                </c:pt>
                <c:pt idx="9">
                  <c:v>1.0845618026477171</c:v>
                </c:pt>
                <c:pt idx="10">
                  <c:v>1.0901740672441209</c:v>
                </c:pt>
                <c:pt idx="11">
                  <c:v>1.095946724300451</c:v>
                </c:pt>
                <c:pt idx="12">
                  <c:v>1.1018722113323682</c:v>
                </c:pt>
                <c:pt idx="13">
                  <c:v>1.1079440208742344</c:v>
                </c:pt>
                <c:pt idx="14">
                  <c:v>1.1141564686784151</c:v>
                </c:pt>
                <c:pt idx="15">
                  <c:v>1.1205045271459273</c:v>
                </c:pt>
                <c:pt idx="16">
                  <c:v>1.126983702410342</c:v>
                </c:pt>
                <c:pt idx="17">
                  <c:v>1.133589941535962</c:v>
                </c:pt>
                <c:pt idx="18">
                  <c:v>1.1403195610414849</c:v>
                </c:pt>
                <c:pt idx="19">
                  <c:v>1.147169190874324</c:v>
                </c:pt>
                <c:pt idx="20">
                  <c:v>1.154135729806963</c:v>
                </c:pt>
                <c:pt idx="21">
                  <c:v>1.1612163094298213</c:v>
                </c:pt>
                <c:pt idx="22">
                  <c:v>1.1680450870087848</c:v>
                </c:pt>
                <c:pt idx="23">
                  <c:v>1.1665642257232887</c:v>
                </c:pt>
                <c:pt idx="24">
                  <c:v>1.1652084188936256</c:v>
                </c:pt>
                <c:pt idx="25">
                  <c:v>1.1639624683548071</c:v>
                </c:pt>
                <c:pt idx="26">
                  <c:v>1.1628135427013595</c:v>
                </c:pt>
                <c:pt idx="27">
                  <c:v>1.1617507338617228</c:v>
                </c:pt>
                <c:pt idx="28">
                  <c:v>1.1607647097619027</c:v>
                </c:pt>
                <c:pt idx="29">
                  <c:v>1.1598474396333507</c:v>
                </c:pt>
                <c:pt idx="30">
                  <c:v>1.1589919748372226</c:v>
                </c:pt>
                <c:pt idx="31">
                  <c:v>1.1581922725419025</c:v>
                </c:pt>
                <c:pt idx="32">
                  <c:v>1.1574430527874522</c:v>
                </c:pt>
                <c:pt idx="33">
                  <c:v>1.1567396817873274</c:v>
                </c:pt>
                <c:pt idx="34">
                  <c:v>1.1560780760155072</c:v>
                </c:pt>
                <c:pt idx="35">
                  <c:v>1.1554546228845015</c:v>
                </c:pt>
                <c:pt idx="36">
                  <c:v>1.1548661147599644</c:v>
                </c:pt>
                <c:pt idx="37">
                  <c:v>1.1543096937672426</c:v>
                </c:pt>
                <c:pt idx="38">
                  <c:v>1.1537828053853496</c:v>
                </c:pt>
                <c:pt idx="39">
                  <c:v>1.1532831592383594</c:v>
                </c:pt>
                <c:pt idx="40">
                  <c:v>1.1528086958147137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4.0551515380770509</c:v>
                </c:pt>
                <c:pt idx="1">
                  <c:v>3.8175646883671925</c:v>
                </c:pt>
                <c:pt idx="2">
                  <c:v>3.5080107886436025</c:v>
                </c:pt>
                <c:pt idx="3">
                  <c:v>3.2215193610786121</c:v>
                </c:pt>
                <c:pt idx="4">
                  <c:v>2.9657308254967796</c:v>
                </c:pt>
                <c:pt idx="5">
                  <c:v>2.7400776530353332</c:v>
                </c:pt>
                <c:pt idx="6">
                  <c:v>2.5416167476933524</c:v>
                </c:pt>
                <c:pt idx="7">
                  <c:v>2.3668994871616111</c:v>
                </c:pt>
                <c:pt idx="8">
                  <c:v>2.2126326644893042</c:v>
                </c:pt>
                <c:pt idx="9">
                  <c:v>2.0758933276600549</c:v>
                </c:pt>
                <c:pt idx="10">
                  <c:v>1.9541692903718373</c:v>
                </c:pt>
                <c:pt idx="11">
                  <c:v>1.8453331671884505</c:v>
                </c:pt>
                <c:pt idx="12">
                  <c:v>1.7475946568670444</c:v>
                </c:pt>
                <c:pt idx="13">
                  <c:v>1.6594495871264223</c:v>
                </c:pt>
                <c:pt idx="14">
                  <c:v>1.579632937851853</c:v>
                </c:pt>
                <c:pt idx="15">
                  <c:v>1.5070781492004037</c:v>
                </c:pt>
                <c:pt idx="16">
                  <c:v>1.4408829373217917</c:v>
                </c:pt>
                <c:pt idx="17">
                  <c:v>1.3802810252973989</c:v>
                </c:pt>
                <c:pt idx="18">
                  <c:v>1.3246189471185077</c:v>
                </c:pt>
                <c:pt idx="19">
                  <c:v>1.2733370753847051</c:v>
                </c:pt>
                <c:pt idx="20">
                  <c:v>1.2259541105574951</c:v>
                </c:pt>
                <c:pt idx="21">
                  <c:v>1.1820543839866395</c:v>
                </c:pt>
                <c:pt idx="22">
                  <c:v>1.1412774396377128</c:v>
                </c:pt>
                <c:pt idx="23">
                  <c:v>1.1033094594112465</c:v>
                </c:pt>
                <c:pt idx="24">
                  <c:v>1.0678761812042443</c:v>
                </c:pt>
                <c:pt idx="25">
                  <c:v>1.0347370279692414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1.0162783045416519</c:v>
                </c:pt>
                <c:pt idx="29">
                  <c:v>1.0249185414383268</c:v>
                </c:pt>
                <c:pt idx="30">
                  <c:v>1.0338801376872577</c:v>
                </c:pt>
                <c:pt idx="31">
                  <c:v>1.0431543616272134</c:v>
                </c:pt>
                <c:pt idx="32">
                  <c:v>1.0527330309923051</c:v>
                </c:pt>
                <c:pt idx="33">
                  <c:v>1.0626084527885478</c:v>
                </c:pt>
                <c:pt idx="34">
                  <c:v>1.0727733700033801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1.1277113501541729</c:v>
                </c:pt>
                <c:pt idx="40">
                  <c:v>1.1394798840785829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4.0643296520925034</c:v>
                </c:pt>
                <c:pt idx="1">
                  <c:v>3.8273316323148818</c:v>
                </c:pt>
                <c:pt idx="2">
                  <c:v>3.5183196861194417</c:v>
                </c:pt>
                <c:pt idx="3">
                  <c:v>3.2321033787978686</c:v>
                </c:pt>
                <c:pt idx="4">
                  <c:v>2.9763771926425617</c:v>
                </c:pt>
                <c:pt idx="5">
                  <c:v>2.7506360990448409</c:v>
                </c:pt>
                <c:pt idx="6">
                  <c:v>2.5519877151397554</c:v>
                </c:pt>
                <c:pt idx="7">
                  <c:v>2.3770206058735091</c:v>
                </c:pt>
                <c:pt idx="8">
                  <c:v>2.2224676410771127</c:v>
                </c:pt>
                <c:pt idx="9">
                  <c:v>2.0854236986849619</c:v>
                </c:pt>
                <c:pt idx="10">
                  <c:v>1.9633885583214441</c:v>
                </c:pt>
                <c:pt idx="11">
                  <c:v>1.8542427166472142</c:v>
                </c:pt>
                <c:pt idx="12">
                  <c:v>1.7562009418670541</c:v>
                </c:pt>
                <c:pt idx="13">
                  <c:v>1.6677622073557046</c:v>
                </c:pt>
                <c:pt idx="14">
                  <c:v>1.587663330325386</c:v>
                </c:pt>
                <c:pt idx="15">
                  <c:v>1.514838704278197</c:v>
                </c:pt>
                <c:pt idx="16">
                  <c:v>1.4483864068427723</c:v>
                </c:pt>
                <c:pt idx="17">
                  <c:v>1.3875401316954776</c:v>
                </c:pt>
                <c:pt idx="18">
                  <c:v>1.3316461307427043</c:v>
                </c:pt>
                <c:pt idx="19">
                  <c:v>1.280144336723414</c:v>
                </c:pt>
                <c:pt idx="20">
                  <c:v>1.2325529174407792</c:v>
                </c:pt>
                <c:pt idx="21">
                  <c:v>1.1884556230388301</c:v>
                </c:pt>
                <c:pt idx="22">
                  <c:v>1.1495277516615077</c:v>
                </c:pt>
                <c:pt idx="23">
                  <c:v>1.1587410209159505</c:v>
                </c:pt>
                <c:pt idx="24">
                  <c:v>1.1684263983570704</c:v>
                </c:pt>
                <c:pt idx="25">
                  <c:v>1.1785686010145058</c:v>
                </c:pt>
                <c:pt idx="26">
                  <c:v>1.1891536137244629</c:v>
                </c:pt>
                <c:pt idx="27">
                  <c:v>1.2001685351060807</c:v>
                </c:pt>
                <c:pt idx="28">
                  <c:v>1.2116014444067573</c:v>
                </c:pt>
                <c:pt idx="29">
                  <c:v>1.2234412858211745</c:v>
                </c:pt>
                <c:pt idx="30">
                  <c:v>1.2356777675338271</c:v>
                </c:pt>
                <c:pt idx="31">
                  <c:v>1.248301273240858</c:v>
                </c:pt>
                <c:pt idx="32">
                  <c:v>1.2613027843073201</c:v>
                </c:pt>
                <c:pt idx="33">
                  <c:v>1.2746738110352704</c:v>
                </c:pt>
                <c:pt idx="34">
                  <c:v>1.2884063317746266</c:v>
                </c:pt>
                <c:pt idx="35">
                  <c:v>1.3024927388162875</c:v>
                </c:pt>
                <c:pt idx="36">
                  <c:v>1.3169257901760028</c:v>
                </c:pt>
                <c:pt idx="37">
                  <c:v>1.3316985665159489</c:v>
                </c:pt>
                <c:pt idx="38">
                  <c:v>1.3468044325650128</c:v>
                </c:pt>
                <c:pt idx="39">
                  <c:v>1.3622370024932644</c:v>
                </c:pt>
                <c:pt idx="40">
                  <c:v>1.3779901087747062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Normal="100" workbookViewId="0">
      <selection activeCell="C33" sqref="C33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9.85546875" customWidth="1"/>
    <col min="7" max="7" width="11.7109375" customWidth="1"/>
    <col min="8" max="8" width="12.28515625" customWidth="1"/>
    <col min="9" max="9" width="11.28515625" bestFit="1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7.27с</v>
      </c>
      <c r="H1" s="14" t="s">
        <v>31</v>
      </c>
      <c r="I1" s="18">
        <v>44334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 t="s">
        <v>60</v>
      </c>
      <c r="J2" s="16"/>
      <c r="K2" s="16"/>
      <c r="L2" s="17"/>
    </row>
    <row r="3" spans="1:12" ht="15" x14ac:dyDescent="0.25">
      <c r="A3" s="15" t="s">
        <v>25</v>
      </c>
      <c r="B3" s="62" t="s">
        <v>57</v>
      </c>
      <c r="C3" s="62"/>
      <c r="D3" s="62"/>
      <c r="E3" s="63"/>
      <c r="H3" s="15" t="s">
        <v>25</v>
      </c>
      <c r="I3" s="64" t="s">
        <v>57</v>
      </c>
      <c r="J3" s="64"/>
      <c r="K3" s="64"/>
      <c r="L3" s="64"/>
    </row>
    <row r="4" spans="1:12" ht="15" x14ac:dyDescent="0.25">
      <c r="A4" s="15" t="s">
        <v>28</v>
      </c>
      <c r="B4" s="62" t="s">
        <v>29</v>
      </c>
      <c r="C4" s="62"/>
      <c r="D4" s="62"/>
      <c r="E4" s="63"/>
      <c r="H4" s="15" t="s">
        <v>28</v>
      </c>
      <c r="I4" s="65" t="s">
        <v>29</v>
      </c>
      <c r="J4" s="65"/>
      <c r="K4" s="65"/>
      <c r="L4" s="65"/>
    </row>
    <row r="5" spans="1:12" ht="15" x14ac:dyDescent="0.25">
      <c r="A5" s="15" t="s">
        <v>33</v>
      </c>
      <c r="B5" s="62" t="s">
        <v>27</v>
      </c>
      <c r="C5" s="62"/>
      <c r="D5" s="62"/>
      <c r="E5" s="63"/>
      <c r="H5" s="15" t="s">
        <v>33</v>
      </c>
      <c r="I5" s="65" t="s">
        <v>27</v>
      </c>
      <c r="J5" s="65"/>
      <c r="K5" s="65"/>
      <c r="L5" s="65"/>
    </row>
    <row r="6" spans="1:12" x14ac:dyDescent="0.2">
      <c r="A6" s="48" t="s">
        <v>26</v>
      </c>
      <c r="B6" s="51" t="s">
        <v>30</v>
      </c>
      <c r="C6" s="52"/>
      <c r="D6" s="52"/>
      <c r="E6" s="53"/>
      <c r="H6" s="60" t="s">
        <v>26</v>
      </c>
      <c r="I6" s="61" t="s">
        <v>30</v>
      </c>
      <c r="J6" s="61"/>
      <c r="K6" s="61"/>
      <c r="L6" s="61"/>
    </row>
    <row r="7" spans="1:12" x14ac:dyDescent="0.2">
      <c r="A7" s="49"/>
      <c r="B7" s="54"/>
      <c r="C7" s="55"/>
      <c r="D7" s="55"/>
      <c r="E7" s="56"/>
      <c r="H7" s="60"/>
      <c r="I7" s="61"/>
      <c r="J7" s="61"/>
      <c r="K7" s="61"/>
      <c r="L7" s="61"/>
    </row>
    <row r="8" spans="1:12" x14ac:dyDescent="0.2">
      <c r="A8" s="50"/>
      <c r="B8" s="57"/>
      <c r="C8" s="58"/>
      <c r="D8" s="58"/>
      <c r="E8" s="59"/>
      <c r="H8" s="60"/>
      <c r="I8" s="61"/>
      <c r="J8" s="61"/>
      <c r="K8" s="61"/>
      <c r="L8" s="61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33"/>
      <c r="C24" s="34"/>
      <c r="D24" s="33"/>
    </row>
    <row r="25" spans="2:6" ht="15" x14ac:dyDescent="0.25">
      <c r="B25" s="5" t="s">
        <v>43</v>
      </c>
      <c r="C25" s="2">
        <v>0.2</v>
      </c>
      <c r="D25" s="33"/>
    </row>
    <row r="26" spans="2:6" ht="15" x14ac:dyDescent="0.25">
      <c r="B26" s="5" t="s">
        <v>44</v>
      </c>
      <c r="C26" s="2">
        <v>9</v>
      </c>
      <c r="D26" s="33"/>
    </row>
    <row r="27" spans="2:6" ht="15" x14ac:dyDescent="0.25">
      <c r="B27" s="5" t="s">
        <v>45</v>
      </c>
      <c r="C27" s="2">
        <v>90</v>
      </c>
      <c r="D27" s="33"/>
    </row>
    <row r="29" spans="2:6" x14ac:dyDescent="0.2">
      <c r="B29" s="46" t="s">
        <v>34</v>
      </c>
      <c r="C29" s="47"/>
      <c r="D29" s="28" t="str" cm="1">
        <f t="array" ref="D29">[1]!encode_json(B30:C32)</f>
        <v>{"show_log":1,"gas_goes_into_solution":1,"show_array":0}</v>
      </c>
      <c r="E29" s="12"/>
      <c r="F29" s="12"/>
    </row>
    <row r="30" spans="2:6" x14ac:dyDescent="0.2">
      <c r="B30" s="27" t="s">
        <v>35</v>
      </c>
      <c r="C30" s="27">
        <v>1</v>
      </c>
    </row>
    <row r="31" spans="2:6" x14ac:dyDescent="0.2">
      <c r="B31" s="27" t="s">
        <v>55</v>
      </c>
      <c r="C31" s="27">
        <v>1</v>
      </c>
      <c r="E31" s="27" t="s">
        <v>37</v>
      </c>
      <c r="F31" s="27">
        <v>0</v>
      </c>
    </row>
    <row r="32" spans="2:6" x14ac:dyDescent="0.2">
      <c r="B32" s="27" t="s">
        <v>59</v>
      </c>
      <c r="C32" s="27">
        <v>0</v>
      </c>
    </row>
    <row r="34" spans="2:16" ht="15" customHeight="1" x14ac:dyDescent="0.2">
      <c r="B34" s="29" t="s">
        <v>23</v>
      </c>
      <c r="C34" s="31"/>
      <c r="D34" s="30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">
      <c r="B37" s="36" t="s">
        <v>58</v>
      </c>
      <c r="C37" s="31"/>
      <c r="D37" s="37" t="str" cm="1">
        <f t="array" ref="D37">[1]!feed_mod_separate_gas(Ksep,Psep,Tsep,feed_,param)</f>
        <v>{"gamma_gas":0.9,"gamma_oil":0.9,"gamma_wat":1.1,"rsb_m3m3":64.6388161719286,"pb_atma":109.379372964864,"t_res_C":90,"bob_m3m3":1.16823848362654,"muob_cP":1.14841789750765,"PVT_corr_set":0,"gamma_gas":0.9,"gamma_oil":0.9,"gamma_wat":1.1,"rsb_m3m3":64.6388161719286,"pb_atma":109.379372964864,"t_res_C":90,"bob_m3m3":1.16823848362654,"muob_cP":1.14841789750765,"PVT_corr_set":0,"q_liq_sm3day":15,"fw_perc":1,"rp_m3m3":64.6388161719286,"q_gas_free_sm3day":800}</v>
      </c>
      <c r="E37" s="19"/>
      <c r="F37" s="20"/>
      <c r="H37" t="str" cm="1">
        <f t="array" ref="H37">[1]!feed_mod_separate_gas(Ksep,Psep,Tsep,feed_,param)</f>
        <v>{"gamma_gas":0.9,"gamma_oil":0.9,"gamma_wat":1.1,"rsb_m3m3":64.6388161719286,"pb_atma":109.379372964864,"t_res_C":90,"bob_m3m3":1.16823848362654,"muob_cP":1.14841789750765,"PVT_corr_set":0,"gamma_gas":0.9,"gamma_oil":0.9,"gamma_wat":1.1,"rsb_m3m3":64.6388161719286,"pb_atma":109.379372964864,"t_res_C":90,"bob_m3m3":1.16823848362654,"muob_cP":1.14841789750765,"PVT_corr_set":0,"q_liq_sm3day":15,"fw_perc":1,"rp_m3m3":64.6388161719286,"q_gas_free_sm3day":800}</v>
      </c>
    </row>
    <row r="38" spans="2:16" x14ac:dyDescent="0.2">
      <c r="B38" s="29"/>
      <c r="C38" s="31"/>
      <c r="D38" s="38"/>
      <c r="E38" s="39"/>
      <c r="F38" s="40"/>
    </row>
    <row r="42" spans="2:16" x14ac:dyDescent="0.2">
      <c r="B42" t="s">
        <v>47</v>
      </c>
      <c r="D42" t="s">
        <v>46</v>
      </c>
      <c r="G42" t="s">
        <v>50</v>
      </c>
      <c r="J42" t="s">
        <v>51</v>
      </c>
    </row>
    <row r="44" spans="2:16" x14ac:dyDescent="0.2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42">
        <v>0.9</v>
      </c>
      <c r="G44" t="str" cm="1">
        <f t="array" ref="G44:H56">[1]!decode_json(PVT_mod,,,,0)</f>
        <v>gamma_gas</v>
      </c>
      <c r="H44" s="42">
        <v>0.9</v>
      </c>
      <c r="J44" s="35">
        <f>(H44-E44)/H44</f>
        <v>0</v>
      </c>
    </row>
    <row r="45" spans="2:16" x14ac:dyDescent="0.2">
      <c r="B45" t="str">
        <v>gamma_oil</v>
      </c>
      <c r="C45">
        <v>0.9</v>
      </c>
      <c r="D45" t="str">
        <v>gamma_oil</v>
      </c>
      <c r="E45" s="42">
        <v>0.9</v>
      </c>
      <c r="G45" t="str">
        <v>gamma_oil</v>
      </c>
      <c r="H45" s="42">
        <v>0.9</v>
      </c>
      <c r="J45" s="35">
        <f t="shared" ref="J45:J56" si="0">(H45-E45)/H45</f>
        <v>0</v>
      </c>
    </row>
    <row r="46" spans="2:16" x14ac:dyDescent="0.2">
      <c r="B46" t="str">
        <v>gamma_wat</v>
      </c>
      <c r="C46">
        <v>1.1000000000000001</v>
      </c>
      <c r="D46" t="str">
        <v>gamma_wat</v>
      </c>
      <c r="E46" s="42">
        <v>1.1000000000000001</v>
      </c>
      <c r="G46" t="str">
        <v>gamma_wat</v>
      </c>
      <c r="H46" s="42">
        <v>1.1000000000000001</v>
      </c>
      <c r="J46" s="35">
        <f t="shared" si="0"/>
        <v>0</v>
      </c>
    </row>
    <row r="47" spans="2:16" x14ac:dyDescent="0.2">
      <c r="B47" t="str">
        <v>rsb_m3m3</v>
      </c>
      <c r="C47">
        <v>80</v>
      </c>
      <c r="D47" t="str">
        <v>rsb_m3m3</v>
      </c>
      <c r="E47" s="42">
        <v>80</v>
      </c>
      <c r="G47" t="str">
        <v>rsb_m3m3</v>
      </c>
      <c r="H47" s="45">
        <v>64.638816171928596</v>
      </c>
      <c r="J47" s="35">
        <f t="shared" si="0"/>
        <v>-0.23764642884568288</v>
      </c>
      <c r="L47" s="41">
        <f>H47*1</f>
        <v>64.638816171928596</v>
      </c>
    </row>
    <row r="48" spans="2:16" x14ac:dyDescent="0.2">
      <c r="B48" t="str">
        <v>pb_atma</v>
      </c>
      <c r="C48">
        <v>130</v>
      </c>
      <c r="D48" t="str">
        <v>pb_atma</v>
      </c>
      <c r="E48" s="42">
        <v>130</v>
      </c>
      <c r="G48" t="str">
        <v>pb_atma</v>
      </c>
      <c r="H48" s="43">
        <v>109.379372964864</v>
      </c>
      <c r="J48" s="35">
        <f t="shared" si="0"/>
        <v>-0.18852390972985347</v>
      </c>
    </row>
    <row r="49" spans="2:27" x14ac:dyDescent="0.2">
      <c r="B49" t="str">
        <v>t_res_C</v>
      </c>
      <c r="C49">
        <v>90</v>
      </c>
      <c r="D49" t="str">
        <v>t_res_C</v>
      </c>
      <c r="E49" s="42">
        <v>90</v>
      </c>
      <c r="G49" t="str">
        <v>t_res_C</v>
      </c>
      <c r="H49" s="43">
        <v>90</v>
      </c>
      <c r="J49" s="35">
        <f t="shared" si="0"/>
        <v>0</v>
      </c>
    </row>
    <row r="50" spans="2:27" x14ac:dyDescent="0.2">
      <c r="B50" t="str">
        <v>bob_m3m3</v>
      </c>
      <c r="C50">
        <v>1.2</v>
      </c>
      <c r="D50" t="str">
        <v>bob_m3m3</v>
      </c>
      <c r="E50" s="42">
        <v>1.2</v>
      </c>
      <c r="G50" t="str">
        <v>bob_m3m3</v>
      </c>
      <c r="H50" s="44">
        <v>1.16823848362654</v>
      </c>
      <c r="J50" s="35">
        <f t="shared" si="0"/>
        <v>-2.7187527905144213E-2</v>
      </c>
    </row>
    <row r="51" spans="2:27" x14ac:dyDescent="0.2">
      <c r="B51" t="str">
        <v>muob_cP</v>
      </c>
      <c r="C51">
        <v>1</v>
      </c>
      <c r="D51" t="str">
        <v>muob_cP</v>
      </c>
      <c r="E51" s="42">
        <v>1</v>
      </c>
      <c r="G51" t="str">
        <v>muob_cP</v>
      </c>
      <c r="H51" s="44">
        <v>1.14841789750765</v>
      </c>
      <c r="J51" s="35">
        <f t="shared" si="0"/>
        <v>0.12923683776589814</v>
      </c>
    </row>
    <row r="52" spans="2:27" x14ac:dyDescent="0.2">
      <c r="B52" t="str">
        <v>PVT_corr_set</v>
      </c>
      <c r="C52">
        <v>0</v>
      </c>
      <c r="D52" t="str">
        <v>PVT_corr_set</v>
      </c>
      <c r="E52" s="42">
        <v>0</v>
      </c>
      <c r="G52" t="str">
        <v>PVT_corr_set</v>
      </c>
      <c r="H52" s="42">
        <v>0</v>
      </c>
      <c r="J52" s="35" t="e">
        <f t="shared" si="0"/>
        <v>#DIV/0!</v>
      </c>
    </row>
    <row r="53" spans="2:27" x14ac:dyDescent="0.2">
      <c r="D53" t="str">
        <v>q_liq_sm3day</v>
      </c>
      <c r="E53" s="42">
        <v>15</v>
      </c>
      <c r="G53" t="str">
        <v>q_liq_sm3day</v>
      </c>
      <c r="H53" s="42">
        <v>15</v>
      </c>
      <c r="J53" s="35">
        <f t="shared" si="0"/>
        <v>0</v>
      </c>
    </row>
    <row r="54" spans="2:27" x14ac:dyDescent="0.2">
      <c r="D54" t="str">
        <v>fw_perc</v>
      </c>
      <c r="E54" s="42">
        <v>1</v>
      </c>
      <c r="G54" t="str">
        <v>fw_perc</v>
      </c>
      <c r="H54" s="43">
        <v>1</v>
      </c>
      <c r="J54" s="35">
        <f t="shared" si="0"/>
        <v>0</v>
      </c>
    </row>
    <row r="55" spans="2:27" x14ac:dyDescent="0.2">
      <c r="D55" t="str">
        <v>rp_m3m3</v>
      </c>
      <c r="E55" s="42">
        <v>80</v>
      </c>
      <c r="G55" t="str">
        <v>rp_m3m3</v>
      </c>
      <c r="H55" s="43">
        <v>64.638816171928596</v>
      </c>
      <c r="J55" s="35">
        <f t="shared" si="0"/>
        <v>-0.23764642884568288</v>
      </c>
    </row>
    <row r="56" spans="2:27" x14ac:dyDescent="0.2">
      <c r="D56" t="str">
        <v>q_gas_free_sm3day</v>
      </c>
      <c r="E56" s="42">
        <v>1000</v>
      </c>
      <c r="G56" t="str">
        <v>q_gas_free_sm3day</v>
      </c>
      <c r="H56" s="42">
        <v>800</v>
      </c>
      <c r="J56" s="35">
        <f t="shared" si="0"/>
        <v>-0.25</v>
      </c>
    </row>
    <row r="60" spans="2:27" x14ac:dyDescent="0.2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">
      <c r="B61" t="s">
        <v>36</v>
      </c>
    </row>
    <row r="63" spans="2:27" s="22" customFormat="1" x14ac:dyDescent="0.2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1">J58</f>
        <v>0</v>
      </c>
      <c r="K63" s="23">
        <f t="shared" si="1"/>
        <v>0</v>
      </c>
      <c r="L63" s="23">
        <f t="shared" si="1"/>
        <v>0</v>
      </c>
      <c r="M63" s="23">
        <f t="shared" si="1"/>
        <v>0</v>
      </c>
      <c r="N63" s="23">
        <f t="shared" si="1"/>
        <v>0</v>
      </c>
      <c r="O63" s="23">
        <f t="shared" si="1"/>
        <v>0</v>
      </c>
      <c r="P63" s="23">
        <f t="shared" si="1"/>
        <v>0</v>
      </c>
      <c r="Q63" s="23">
        <f t="shared" si="1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">
      <c r="B64" s="9">
        <v>1</v>
      </c>
      <c r="C64" s="9">
        <v>90</v>
      </c>
      <c r="D64" s="32">
        <f>[1]!PVT_rs_m3m3(B64,C64,PVT_str_)</f>
        <v>0.22669290347940754</v>
      </c>
      <c r="E64" s="32">
        <f>[1]!PVT_rs_m3m3(B64,C64,PVT_mod)</f>
        <v>0.22553494218876222</v>
      </c>
      <c r="F64" s="32">
        <f>[1]!PVT_bo_m3m3(B64,C64,PVT_str_)</f>
        <v>1.0449781318661093</v>
      </c>
      <c r="G64" s="32">
        <f>[1]!PVT_bo_m3m3(B64,C64,PVT_mod)</f>
        <v>1.0449851018710998</v>
      </c>
      <c r="H64" s="32">
        <f>[1]!PVT_mu_oil_cP(B64,C64,PVT_str_)</f>
        <v>4.0551515380770509</v>
      </c>
      <c r="I64" s="32">
        <f>[1]!PVT_mu_oil_cP(B64,C64,PVT_mod)</f>
        <v>4.0643296520925034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">
      <c r="B65" s="9">
        <v>5</v>
      </c>
      <c r="C65" s="9">
        <v>90</v>
      </c>
      <c r="D65" s="32">
        <f>[1]!PVT_rs_m3m3(B65,C65,PVT_str_)</f>
        <v>1.5739749280185453</v>
      </c>
      <c r="E65" s="32">
        <f>[1]!PVT_rs_m3m3(B65,C65,PVT_mod)</f>
        <v>1.5659349673002458</v>
      </c>
      <c r="F65" s="32">
        <f>[1]!PVT_bo_m3m3(B65,C65,PVT_str_)</f>
        <v>1.0473336993287123</v>
      </c>
      <c r="G65" s="32">
        <f>[1]!PVT_bo_m3m3(B65,C65,PVT_mod)</f>
        <v>1.0473290625499803</v>
      </c>
      <c r="H65" s="32">
        <f>[1]!PVT_mu_oil_cP(B65,C65,PVT_str_)</f>
        <v>3.8175646883671925</v>
      </c>
      <c r="I65" s="32">
        <f>[1]!PVT_mu_oil_cP(B65,C65,PVT_mod)</f>
        <v>3.8273316323148818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">
      <c r="B66" s="9">
        <v>10</v>
      </c>
      <c r="C66" s="9">
        <v>90</v>
      </c>
      <c r="D66" s="32">
        <f>[1]!PVT_rs_m3m3(B66,C66,PVT_str_)</f>
        <v>3.6260845379045641</v>
      </c>
      <c r="E66" s="32">
        <f>[1]!PVT_rs_m3m3(B66,C66,PVT_mod)</f>
        <v>3.6075622751117975</v>
      </c>
      <c r="F66" s="32">
        <f>[1]!PVT_bo_m3m3(B66,C66,PVT_str_)</f>
        <v>1.0509454543732326</v>
      </c>
      <c r="G66" s="32">
        <f>[1]!PVT_bo_m3m3(B66,C66,PVT_mod)</f>
        <v>1.0509229041321011</v>
      </c>
      <c r="H66" s="32">
        <f>[1]!PVT_mu_oil_cP(B66,C66,PVT_str_)</f>
        <v>3.5080107886436025</v>
      </c>
      <c r="I66" s="32">
        <f>[1]!PVT_mu_oil_cP(B66,C66,PVT_mod)</f>
        <v>3.5183196861194417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">
      <c r="B67" s="9">
        <v>15</v>
      </c>
      <c r="C67" s="9">
        <v>90</v>
      </c>
      <c r="D67" s="32">
        <f>[1]!PVT_rs_m3m3(B67,C67,PVT_str_)</f>
        <v>5.9081539167700603</v>
      </c>
      <c r="E67" s="32">
        <f>[1]!PVT_rs_m3m3(B67,C67,PVT_mod)</f>
        <v>5.8779747032623213</v>
      </c>
      <c r="F67" s="32">
        <f>[1]!PVT_bo_m3m3(B67,C67,PVT_str_)</f>
        <v>1.0549946661426226</v>
      </c>
      <c r="G67" s="32">
        <f>[1]!PVT_bo_m3m3(B67,C67,PVT_mod)</f>
        <v>1.0549518788134786</v>
      </c>
      <c r="H67" s="32">
        <f>[1]!PVT_mu_oil_cP(B67,C67,PVT_str_)</f>
        <v>3.2215193610786121</v>
      </c>
      <c r="I67" s="32">
        <f>[1]!PVT_mu_oil_cP(B67,C67,PVT_mod)</f>
        <v>3.2321033787978686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">
      <c r="B68" s="9">
        <v>20</v>
      </c>
      <c r="C68" s="9">
        <v>90</v>
      </c>
      <c r="D68" s="32">
        <f>[1]!PVT_rs_m3m3(B68,C68,PVT_str_)</f>
        <v>8.3536839386526971</v>
      </c>
      <c r="E68" s="32">
        <f>[1]!PVT_rs_m3m3(B68,C68,PVT_mod)</f>
        <v>8.311012807414027</v>
      </c>
      <c r="F68" s="32">
        <f>[1]!PVT_bo_m3m3(B68,C68,PVT_str_)</f>
        <v>1.0593707055889123</v>
      </c>
      <c r="G68" s="32">
        <f>[1]!PVT_bo_m3m3(B68,C68,PVT_mod)</f>
        <v>1.0593058826004635</v>
      </c>
      <c r="H68" s="32">
        <f>[1]!PVT_mu_oil_cP(B68,C68,PVT_str_)</f>
        <v>2.9657308254967796</v>
      </c>
      <c r="I68" s="32">
        <f>[1]!PVT_mu_oil_cP(B68,C68,PVT_mod)</f>
        <v>2.9763771926425617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">
      <c r="B69" s="9">
        <v>25</v>
      </c>
      <c r="C69" s="9">
        <v>90</v>
      </c>
      <c r="D69" s="32">
        <f>[1]!PVT_rs_m3m3(B69,C69,PVT_str_)</f>
        <v>10.928428001082219</v>
      </c>
      <c r="E69" s="32">
        <f>[1]!PVT_rs_m3m3(B69,C69,PVT_mod)</f>
        <v>10.872604918847944</v>
      </c>
      <c r="F69" s="32">
        <f>[1]!PVT_bo_m3m3(B69,C69,PVT_str_)</f>
        <v>1.0640174806616243</v>
      </c>
      <c r="G69" s="32">
        <f>[1]!PVT_bo_m3m3(B69,C69,PVT_mod)</f>
        <v>1.0639290896601235</v>
      </c>
      <c r="H69" s="32">
        <f>[1]!PVT_mu_oil_cP(B69,C69,PVT_str_)</f>
        <v>2.7400776530353332</v>
      </c>
      <c r="I69" s="32">
        <f>[1]!PVT_mu_oil_cP(B69,C69,PVT_mod)</f>
        <v>2.7506360990448409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">
      <c r="B70" s="9">
        <v>30</v>
      </c>
      <c r="C70" s="9">
        <v>90</v>
      </c>
      <c r="D70" s="32">
        <f>[1]!PVT_rs_m3m3(B70,C70,PVT_str_)</f>
        <v>13.611058971650774</v>
      </c>
      <c r="E70" s="32">
        <f>[1]!PVT_rs_m3m3(B70,C70,PVT_mod)</f>
        <v>13.541532845460001</v>
      </c>
      <c r="F70" s="32">
        <f>[1]!PVT_bo_m3m3(B70,C70,PVT_str_)</f>
        <v>1.0689003869335227</v>
      </c>
      <c r="G70" s="32">
        <f>[1]!PVT_bo_m3m3(B70,C70,PVT_mod)</f>
        <v>1.0687870614853707</v>
      </c>
      <c r="H70" s="32">
        <f>[1]!PVT_mu_oil_cP(B70,C70,PVT_str_)</f>
        <v>2.5416167476933524</v>
      </c>
      <c r="I70" s="32">
        <f>[1]!PVT_mu_oil_cP(B70,C70,PVT_mod)</f>
        <v>2.5519877151397554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">
      <c r="B71" s="9">
        <v>35</v>
      </c>
      <c r="C71" s="9">
        <v>90</v>
      </c>
      <c r="D71" s="32">
        <f>[1]!PVT_rs_m3m3(B71,C71,PVT_str_)</f>
        <v>16.386864036558723</v>
      </c>
      <c r="E71" s="32">
        <f>[1]!PVT_rs_m3m3(B71,C71,PVT_mod)</f>
        <v>16.303158927408163</v>
      </c>
      <c r="F71" s="32">
        <f>[1]!PVT_bo_m3m3(B71,C71,PVT_str_)</f>
        <v>1.0739956464706797</v>
      </c>
      <c r="G71" s="32">
        <f>[1]!PVT_bo_m3m3(B71,C71,PVT_mod)</f>
        <v>1.0738561361691346</v>
      </c>
      <c r="H71" s="32">
        <f>[1]!PVT_mu_oil_cP(B71,C71,PVT_str_)</f>
        <v>2.3668994871616111</v>
      </c>
      <c r="I71" s="32">
        <f>[1]!PVT_mu_oil_cP(B71,C71,PVT_mod)</f>
        <v>2.3770206058735091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">
      <c r="B72" s="9">
        <v>40</v>
      </c>
      <c r="C72" s="9">
        <v>90</v>
      </c>
      <c r="D72" s="32">
        <f>[1]!PVT_rs_m3m3(B72,C72,PVT_str_)</f>
        <v>19.245010594052701</v>
      </c>
      <c r="E72" s="32">
        <f>[1]!PVT_rs_m3m3(B72,C72,PVT_mod)</f>
        <v>19.146705896534915</v>
      </c>
      <c r="F72" s="32">
        <f>[1]!PVT_bo_m3m3(B72,C72,PVT_str_)</f>
        <v>1.0792857389938615</v>
      </c>
      <c r="G72" s="32">
        <f>[1]!PVT_bo_m3m3(B72,C72,PVT_mod)</f>
        <v>1.0791188808427226</v>
      </c>
      <c r="H72" s="32">
        <f>[1]!PVT_mu_oil_cP(B72,C72,PVT_str_)</f>
        <v>2.2126326644893042</v>
      </c>
      <c r="I72" s="32">
        <f>[1]!PVT_mu_oil_cP(B72,C72,PVT_mod)</f>
        <v>2.2224676410771127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">
      <c r="B73" s="9">
        <v>45</v>
      </c>
      <c r="C73" s="9">
        <v>90</v>
      </c>
      <c r="D73" s="32">
        <f>[1]!PVT_rs_m3m3(B73,C73,PVT_str_)</f>
        <v>22.177152941177035</v>
      </c>
      <c r="E73" s="32">
        <f>[1]!PVT_rs_m3m3(B73,C73,PVT_mod)</f>
        <v>22.063870680248495</v>
      </c>
      <c r="F73" s="32">
        <f>[1]!PVT_bo_m3m3(B73,C73,PVT_str_)</f>
        <v>1.0847571022963822</v>
      </c>
      <c r="G73" s="32">
        <f>[1]!PVT_bo_m3m3(B73,C73,PVT_mod)</f>
        <v>1.0845618026477171</v>
      </c>
      <c r="H73" s="32">
        <f>[1]!PVT_mu_oil_cP(B73,C73,PVT_str_)</f>
        <v>2.0758933276600549</v>
      </c>
      <c r="I73" s="32">
        <f>[1]!PVT_mu_oil_cP(B73,C73,PVT_mod)</f>
        <v>2.0854236986849619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">
      <c r="B74" s="9">
        <v>50</v>
      </c>
      <c r="C74" s="9">
        <v>90</v>
      </c>
      <c r="D74" s="32">
        <f>[1]!PVT_rs_m3m3(B74,C74,PVT_str_)</f>
        <v>25.176642329502599</v>
      </c>
      <c r="E74" s="32">
        <f>[1]!PVT_rs_m3m3(B74,C74,PVT_mod)</f>
        <v>25.048038492335575</v>
      </c>
      <c r="F74" s="32">
        <f>[1]!PVT_bo_m3m3(B74,C74,PVT_str_)</f>
        <v>1.0903988449200401</v>
      </c>
      <c r="G74" s="32">
        <f>[1]!PVT_bo_m3m3(B74,C74,PVT_mod)</f>
        <v>1.0901740672441209</v>
      </c>
      <c r="H74" s="32">
        <f>[1]!PVT_mu_oil_cP(B74,C74,PVT_str_)</f>
        <v>1.9541692903718373</v>
      </c>
      <c r="I74" s="32">
        <f>[1]!PVT_mu_oil_cP(B74,C74,PVT_mod)</f>
        <v>1.9633885583214441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">
      <c r="B75" s="9">
        <v>55</v>
      </c>
      <c r="C75" s="9">
        <v>90</v>
      </c>
      <c r="D75" s="32">
        <f>[1]!PVT_rs_m3m3(B75,C75,PVT_str_)</f>
        <v>28.23804351192037</v>
      </c>
      <c r="E75" s="32">
        <f>[1]!PVT_rs_m3m3(B75,C75,PVT_mod)</f>
        <v>28.093801849263599</v>
      </c>
      <c r="F75" s="32">
        <f>[1]!PVT_bo_m3m3(B75,C75,PVT_str_)</f>
        <v>1.0962019681569279</v>
      </c>
      <c r="G75" s="32">
        <f>[1]!PVT_bo_m3m3(B75,C75,PVT_mod)</f>
        <v>1.095946724300451</v>
      </c>
      <c r="H75" s="32">
        <f>[1]!PVT_mu_oil_cP(B75,C75,PVT_str_)</f>
        <v>1.8453331671884505</v>
      </c>
      <c r="I75" s="32">
        <f>[1]!PVT_mu_oil_cP(B75,C75,PVT_mod)</f>
        <v>1.8542427166472142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">
      <c r="B76" s="9">
        <v>60</v>
      </c>
      <c r="C76" s="9">
        <v>90</v>
      </c>
      <c r="D76" s="32">
        <f>[1]!PVT_rs_m3m3(B76,C76,PVT_str_)</f>
        <v>31.356821257465761</v>
      </c>
      <c r="E76" s="32">
        <f>[1]!PVT_rs_m3m3(B76,C76,PVT_mod)</f>
        <v>31.196648686306613</v>
      </c>
      <c r="F76" s="32">
        <f>[1]!PVT_bo_m3m3(B76,C76,PVT_str_)</f>
        <v>1.1021588676694387</v>
      </c>
      <c r="G76" s="32">
        <f>[1]!PVT_bo_m3m3(B76,C76,PVT_mod)</f>
        <v>1.1018722113323682</v>
      </c>
      <c r="H76" s="32">
        <f>[1]!PVT_mu_oil_cP(B76,C76,PVT_str_)</f>
        <v>1.7475946568670444</v>
      </c>
      <c r="I76" s="32">
        <f>[1]!PVT_mu_oil_cP(B76,C76,PVT_mod)</f>
        <v>1.7562009418670541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">
      <c r="B77" s="9">
        <v>65</v>
      </c>
      <c r="C77" s="9">
        <v>90</v>
      </c>
      <c r="D77" s="32">
        <f>[1]!PVT_rs_m3m3(B77,C77,PVT_str_)</f>
        <v>34.52912764572833</v>
      </c>
      <c r="E77" s="32">
        <f>[1]!PVT_rs_m3m3(B77,C77,PVT_mod)</f>
        <v>34.352750738468259</v>
      </c>
      <c r="F77" s="32">
        <f>[1]!PVT_bo_m3m3(B77,C77,PVT_str_)</f>
        <v>1.108262999178844</v>
      </c>
      <c r="G77" s="32">
        <f>[1]!PVT_bo_m3m3(B77,C77,PVT_mod)</f>
        <v>1.1079440208742344</v>
      </c>
      <c r="H77" s="32">
        <f>[1]!PVT_mu_oil_cP(B77,C77,PVT_str_)</f>
        <v>1.6594495871264223</v>
      </c>
      <c r="I77" s="32">
        <f>[1]!PVT_mu_oil_cP(B77,C77,PVT_mod)</f>
        <v>1.6677622073557046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">
      <c r="B78" s="9">
        <v>70</v>
      </c>
      <c r="C78" s="9">
        <v>90</v>
      </c>
      <c r="D78" s="32">
        <f>[1]!PVT_rs_m3m3(B78,C78,PVT_str_)</f>
        <v>37.751652361142213</v>
      </c>
      <c r="E78" s="32">
        <f>[1]!PVT_rs_m3m3(B78,C78,PVT_mod)</f>
        <v>37.55881459947814</v>
      </c>
      <c r="F78" s="32">
        <f>[1]!PVT_bo_m3m3(B78,C78,PVT_str_)</f>
        <v>1.1145086456315607</v>
      </c>
      <c r="G78" s="32">
        <f>[1]!PVT_bo_m3m3(B78,C78,PVT_mod)</f>
        <v>1.1141564686784151</v>
      </c>
      <c r="H78" s="32">
        <f>[1]!PVT_mu_oil_cP(B78,C78,PVT_str_)</f>
        <v>1.579632937851853</v>
      </c>
      <c r="I78" s="32">
        <f>[1]!PVT_mu_oil_cP(B78,C78,PVT_mod)</f>
        <v>1.587663330325386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">
      <c r="B79" s="9">
        <v>75</v>
      </c>
      <c r="C79" s="9">
        <v>90</v>
      </c>
      <c r="D79" s="32">
        <f>[1]!PVT_rs_m3m3(B79,C79,PVT_str_)</f>
        <v>41.021514097442306</v>
      </c>
      <c r="E79" s="32">
        <f>[1]!PVT_rs_m3m3(B79,C79,PVT_mod)</f>
        <v>40.811973680960712</v>
      </c>
      <c r="F79" s="32">
        <f>[1]!PVT_bo_m3m3(B79,C79,PVT_str_)</f>
        <v>1.1208907498846015</v>
      </c>
      <c r="G79" s="32">
        <f>[1]!PVT_bo_m3m3(B79,C79,PVT_mod)</f>
        <v>1.1205045271459273</v>
      </c>
      <c r="H79" s="32">
        <f>[1]!PVT_mu_oil_cP(B79,C79,PVT_str_)</f>
        <v>1.5070781492004037</v>
      </c>
      <c r="I79" s="32">
        <f>[1]!PVT_mu_oil_cP(B79,C79,PVT_mod)</f>
        <v>1.514838704278197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">
      <c r="B80" s="9">
        <v>80</v>
      </c>
      <c r="C80" s="9">
        <v>90</v>
      </c>
      <c r="D80" s="32">
        <f>[1]!PVT_rs_m3m3(B80,C80,PVT_str_)</f>
        <v>44.336179760343548</v>
      </c>
      <c r="E80" s="32">
        <f>[1]!PVT_rs_m3m3(B80,C80,PVT_mod)</f>
        <v>44.109707827832295</v>
      </c>
      <c r="F80" s="32">
        <f>[1]!PVT_bo_m3m3(B80,C80,PVT_str_)</f>
        <v>1.12740479123557</v>
      </c>
      <c r="G80" s="32">
        <f>[1]!PVT_bo_m3m3(B80,C80,PVT_mod)</f>
        <v>1.126983702410342</v>
      </c>
      <c r="H80" s="32">
        <f>[1]!PVT_mu_oil_cP(B80,C80,PVT_str_)</f>
        <v>1.4408829373217917</v>
      </c>
      <c r="I80" s="32">
        <f>[1]!PVT_mu_oil_cP(B80,C80,PVT_mod)</f>
        <v>1.4483864068427723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">
      <c r="B81" s="9">
        <v>85</v>
      </c>
      <c r="C81" s="9">
        <v>90</v>
      </c>
      <c r="D81" s="32">
        <f>[1]!PVT_rs_m3m3(B81,C81,PVT_str_)</f>
        <v>47.693403039928306</v>
      </c>
      <c r="E81" s="32">
        <f>[1]!PVT_rs_m3m3(B81,C81,PVT_mod)</f>
        <v>47.449782204464441</v>
      </c>
      <c r="F81" s="32">
        <f>[1]!PVT_bo_m3m3(B81,C81,PVT_str_)</f>
        <v>1.1340466921983325</v>
      </c>
      <c r="G81" s="32">
        <f>[1]!PVT_bo_m3m3(B81,C81,PVT_mod)</f>
        <v>1.133589941535962</v>
      </c>
      <c r="H81" s="32">
        <f>[1]!PVT_mu_oil_cP(B81,C81,PVT_str_)</f>
        <v>1.3802810252973989</v>
      </c>
      <c r="I81" s="32">
        <f>[1]!PVT_mu_oil_cP(B81,C81,PVT_mod)</f>
        <v>1.3875401316954776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">
      <c r="B82" s="9">
        <v>90</v>
      </c>
      <c r="C82" s="9">
        <v>90</v>
      </c>
      <c r="D82" s="32">
        <f>[1]!PVT_rs_m3m3(B82,C82,PVT_str_)</f>
        <v>51.09117683086707</v>
      </c>
      <c r="E82" s="32">
        <f>[1]!PVT_rs_m3m3(B82,C82,PVT_mod)</f>
        <v>50.830199957945112</v>
      </c>
      <c r="F82" s="32">
        <f>[1]!PVT_bo_m3m3(B82,C82,PVT_str_)</f>
        <v>1.1408127466970734</v>
      </c>
      <c r="G82" s="32">
        <f>[1]!PVT_bo_m3m3(B82,C82,PVT_mod)</f>
        <v>1.1403195610414849</v>
      </c>
      <c r="H82" s="32">
        <f>[1]!PVT_mu_oil_cP(B82,C82,PVT_str_)</f>
        <v>1.3246189471185077</v>
      </c>
      <c r="I82" s="32">
        <f>[1]!PVT_mu_oil_cP(B82,C82,PVT_mod)</f>
        <v>1.3316461307427043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">
      <c r="B83" s="9">
        <v>95</v>
      </c>
      <c r="C83" s="9">
        <v>90</v>
      </c>
      <c r="D83" s="32">
        <f>[1]!PVT_rs_m3m3(B83,C83,PVT_str_)</f>
        <v>54.527695775284499</v>
      </c>
      <c r="E83" s="32">
        <f>[1]!PVT_rs_m3m3(B83,C83,PVT_mod)</f>
        <v>54.249164952277951</v>
      </c>
      <c r="F83" s="32">
        <f>[1]!PVT_bo_m3m3(B83,C83,PVT_str_)</f>
        <v>1.1476995637784009</v>
      </c>
      <c r="G83" s="32">
        <f>[1]!PVT_bo_m3m3(B83,C83,PVT_mod)</f>
        <v>1.147169190874324</v>
      </c>
      <c r="H83" s="32">
        <f>[1]!PVT_mu_oil_cP(B83,C83,PVT_str_)</f>
        <v>1.2733370753847051</v>
      </c>
      <c r="I83" s="32">
        <f>[1]!PVT_mu_oil_cP(B83,C83,PVT_mod)</f>
        <v>1.280144336723414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">
      <c r="B84" s="9">
        <v>100</v>
      </c>
      <c r="C84" s="9">
        <v>90</v>
      </c>
      <c r="D84" s="32">
        <f>[1]!PVT_rs_m3m3(B84,C84,PVT_str_)</f>
        <v>58.001326350407581</v>
      </c>
      <c r="E84" s="32">
        <f>[1]!PVT_rs_m3m3(B84,C84,PVT_mod)</f>
        <v>57.705052008824765</v>
      </c>
      <c r="F84" s="32">
        <f>[1]!PVT_bo_m3m3(B84,C84,PVT_str_)</f>
        <v>1.1547040227954879</v>
      </c>
      <c r="G84" s="32">
        <f>[1]!PVT_bo_m3m3(B84,C84,PVT_mod)</f>
        <v>1.154135729806963</v>
      </c>
      <c r="H84" s="32">
        <f>[1]!PVT_mu_oil_cP(B84,C84,PVT_str_)</f>
        <v>1.2259541105574951</v>
      </c>
      <c r="I84" s="32">
        <f>[1]!PVT_mu_oil_cP(B84,C84,PVT_mod)</f>
        <v>1.2325529174407792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">
      <c r="B85" s="9">
        <v>105</v>
      </c>
      <c r="C85" s="9">
        <v>90</v>
      </c>
      <c r="D85" s="32">
        <f>[1]!PVT_rs_m3m3(B85,C85,PVT_str_)</f>
        <v>61.510582676849417</v>
      </c>
      <c r="E85" s="32">
        <f>[1]!PVT_rs_m3m3(B85,C85,PVT_mod)</f>
        <v>61.196382838161938</v>
      </c>
      <c r="F85" s="32">
        <f>[1]!PVT_bo_m3m3(B85,C85,PVT_str_)</f>
        <v>1.1618232372266026</v>
      </c>
      <c r="G85" s="32">
        <f>[1]!PVT_bo_m3m3(B85,C85,PVT_mod)</f>
        <v>1.1612163094298213</v>
      </c>
      <c r="H85" s="32">
        <f>[1]!PVT_mu_oil_cP(B85,C85,PVT_str_)</f>
        <v>1.1820543839866395</v>
      </c>
      <c r="I85" s="32">
        <f>[1]!PVT_mu_oil_cP(B85,C85,PVT_mod)</f>
        <v>1.1884556230388301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">
      <c r="B86" s="9">
        <v>110</v>
      </c>
      <c r="C86" s="9">
        <v>90</v>
      </c>
      <c r="D86" s="32">
        <f>[1]!PVT_rs_m3m3(B86,C86,PVT_str_)</f>
        <v>65.054106731009071</v>
      </c>
      <c r="E86" s="32">
        <f>[1]!PVT_rs_m3m3(B86,C86,PVT_mod)</f>
        <v>64.638816171928596</v>
      </c>
      <c r="F86" s="32">
        <f>[1]!PVT_bo_m3m3(B86,C86,PVT_str_)</f>
        <v>1.1690545250975639</v>
      </c>
      <c r="G86" s="32">
        <f>[1]!PVT_bo_m3m3(B86,C86,PVT_mod)</f>
        <v>1.1680450870087848</v>
      </c>
      <c r="H86" s="32">
        <f>[1]!PVT_mu_oil_cP(B86,C86,PVT_str_)</f>
        <v>1.1412774396377128</v>
      </c>
      <c r="I86" s="32">
        <f>[1]!PVT_mu_oil_cP(B86,C86,PVT_mod)</f>
        <v>1.1495277516615077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">
      <c r="B87" s="9">
        <v>115</v>
      </c>
      <c r="C87" s="9">
        <v>90</v>
      </c>
      <c r="D87" s="32">
        <f>[1]!PVT_rs_m3m3(B87,C87,PVT_str_)</f>
        <v>68.63065199458741</v>
      </c>
      <c r="E87" s="32">
        <f>[1]!PVT_rs_m3m3(B87,C87,PVT_mod)</f>
        <v>64.638816171928596</v>
      </c>
      <c r="F87" s="32">
        <f>[1]!PVT_bo_m3m3(B87,C87,PVT_str_)</f>
        <v>1.1763953845289106</v>
      </c>
      <c r="G87" s="32">
        <f>[1]!PVT_bo_m3m3(B87,C87,PVT_mod)</f>
        <v>1.1665642257232887</v>
      </c>
      <c r="H87" s="32">
        <f>[1]!PVT_mu_oil_cP(B87,C87,PVT_str_)</f>
        <v>1.1033094594112465</v>
      </c>
      <c r="I87" s="32">
        <f>[1]!PVT_mu_oil_cP(B87,C87,PVT_mod)</f>
        <v>1.1587410209159505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">
      <c r="B88" s="9">
        <v>120</v>
      </c>
      <c r="C88" s="9">
        <v>90</v>
      </c>
      <c r="D88" s="32">
        <f>[1]!PVT_rs_m3m3(B88,C88,PVT_str_)</f>
        <v>72.23906981966492</v>
      </c>
      <c r="E88" s="32">
        <f>[1]!PVT_rs_m3m3(B88,C88,PVT_mod)</f>
        <v>64.638816171928596</v>
      </c>
      <c r="F88" s="32">
        <f>[1]!PVT_bo_m3m3(B88,C88,PVT_str_)</f>
        <v>1.1838434733125451</v>
      </c>
      <c r="G88" s="32">
        <f>[1]!PVT_bo_m3m3(B88,C88,PVT_mod)</f>
        <v>1.1652084188936256</v>
      </c>
      <c r="H88" s="32">
        <f>[1]!PVT_mu_oil_cP(B88,C88,PVT_str_)</f>
        <v>1.0678761812042443</v>
      </c>
      <c r="I88" s="32">
        <f>[1]!PVT_mu_oil_cP(B88,C88,PVT_mod)</f>
        <v>1.1684263983570704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">
      <c r="B89" s="9">
        <v>125</v>
      </c>
      <c r="C89" s="9">
        <v>90</v>
      </c>
      <c r="D89" s="32">
        <f>[1]!PVT_rs_m3m3(B89,C89,PVT_str_)</f>
        <v>75.878297963225663</v>
      </c>
      <c r="E89" s="32">
        <f>[1]!PVT_rs_m3m3(B89,C89,PVT_mod)</f>
        <v>64.638816171928596</v>
      </c>
      <c r="F89" s="32">
        <f>[1]!PVT_bo_m3m3(B89,C89,PVT_str_)</f>
        <v>1.1913965916948832</v>
      </c>
      <c r="G89" s="32">
        <f>[1]!PVT_bo_m3m3(B89,C89,PVT_mod)</f>
        <v>1.1639624683548071</v>
      </c>
      <c r="H89" s="32">
        <f>[1]!PVT_mu_oil_cP(B89,C89,PVT_str_)</f>
        <v>1.0347370279692414</v>
      </c>
      <c r="I89" s="32">
        <f>[1]!PVT_mu_oil_cP(B89,C89,PVT_mod)</f>
        <v>1.1785686010145058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64.638816171928596</v>
      </c>
      <c r="F90" s="32">
        <f>[1]!PVT_bo_m3m3(B90,C90,PVT_str_)</f>
        <v>1.2</v>
      </c>
      <c r="G90" s="32">
        <f>[1]!PVT_bo_m3m3(B90,C90,PVT_mod)</f>
        <v>1.1628135427013595</v>
      </c>
      <c r="H90" s="32">
        <f>[1]!PVT_mu_oil_cP(B90,C90,PVT_str_)</f>
        <v>1</v>
      </c>
      <c r="I90" s="32">
        <f>[1]!PVT_mu_oil_cP(B90,C90,PVT_mod)</f>
        <v>1.1891536137244629</v>
      </c>
    </row>
    <row r="91" spans="2:17" x14ac:dyDescent="0.2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64.638816171928596</v>
      </c>
      <c r="F91" s="32">
        <f>[1]!PVT_bo_m3m3(B91,C91,PVT_str_)</f>
        <v>1.1985049222550408</v>
      </c>
      <c r="G91" s="32">
        <f>[1]!PVT_bo_m3m3(B91,C91,PVT_mod)</f>
        <v>1.1617507338617228</v>
      </c>
      <c r="H91" s="32">
        <f>[1]!PVT_mu_oil_cP(B91,C91,PVT_str_)</f>
        <v>1.0079687761079306</v>
      </c>
      <c r="I91" s="32">
        <f>[1]!PVT_mu_oil_cP(B91,C91,PVT_mod)</f>
        <v>1.2001685351060807</v>
      </c>
    </row>
    <row r="92" spans="2:17" x14ac:dyDescent="0.2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64.638816171928596</v>
      </c>
      <c r="F92" s="32">
        <f>[1]!PVT_bo_m3m3(B92,C92,PVT_str_)</f>
        <v>1.1971183037168887</v>
      </c>
      <c r="G92" s="32">
        <f>[1]!PVT_bo_m3m3(B92,C92,PVT_mod)</f>
        <v>1.1607647097619027</v>
      </c>
      <c r="H92" s="32">
        <f>[1]!PVT_mu_oil_cP(B92,C92,PVT_str_)</f>
        <v>1.0162783045416519</v>
      </c>
      <c r="I92" s="32">
        <f>[1]!PVT_mu_oil_cP(B92,C92,PVT_mod)</f>
        <v>1.2116014444067573</v>
      </c>
    </row>
    <row r="93" spans="2:17" x14ac:dyDescent="0.2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64.638816171928596</v>
      </c>
      <c r="F93" s="32">
        <f>[1]!PVT_bo_m3m3(B93,C93,PVT_str_)</f>
        <v>1.1958287561970955</v>
      </c>
      <c r="G93" s="32">
        <f>[1]!PVT_bo_m3m3(B93,C93,PVT_mod)</f>
        <v>1.1598474396333507</v>
      </c>
      <c r="H93" s="32">
        <f>[1]!PVT_mu_oil_cP(B93,C93,PVT_str_)</f>
        <v>1.0249185414383268</v>
      </c>
      <c r="I93" s="32">
        <f>[1]!PVT_mu_oil_cP(B93,C93,PVT_mod)</f>
        <v>1.2234412858211745</v>
      </c>
    </row>
    <row r="94" spans="2:17" x14ac:dyDescent="0.2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64.638816171928596</v>
      </c>
      <c r="F94" s="32">
        <f>[1]!PVT_bo_m3m3(B94,C94,PVT_str_)</f>
        <v>1.1946264318307394</v>
      </c>
      <c r="G94" s="32">
        <f>[1]!PVT_bo_m3m3(B94,C94,PVT_mod)</f>
        <v>1.1589919748372226</v>
      </c>
      <c r="H94" s="32">
        <f>[1]!PVT_mu_oil_cP(B94,C94,PVT_str_)</f>
        <v>1.0338801376872577</v>
      </c>
      <c r="I94" s="32">
        <f>[1]!PVT_mu_oil_cP(B94,C94,PVT_mod)</f>
        <v>1.2356777675338271</v>
      </c>
    </row>
    <row r="95" spans="2:17" x14ac:dyDescent="0.2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64.638816171928596</v>
      </c>
      <c r="F95" s="32">
        <f>[1]!PVT_bo_m3m3(B95,C95,PVT_str_)</f>
        <v>1.1935027711871058</v>
      </c>
      <c r="G95" s="32">
        <f>[1]!PVT_bo_m3m3(B95,C95,PVT_mod)</f>
        <v>1.1581922725419025</v>
      </c>
      <c r="H95" s="32">
        <f>[1]!PVT_mu_oil_cP(B95,C95,PVT_str_)</f>
        <v>1.0431543616272134</v>
      </c>
      <c r="I95" s="32">
        <f>[1]!PVT_mu_oil_cP(B95,C95,PVT_mod)</f>
        <v>1.248301273240858</v>
      </c>
    </row>
    <row r="96" spans="2:17" x14ac:dyDescent="0.2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64.638816171928596</v>
      </c>
      <c r="F96" s="32">
        <f>[1]!PVT_bo_m3m3(B96,C96,PVT_str_)</f>
        <v>1.1924502992419499</v>
      </c>
      <c r="G96" s="32">
        <f>[1]!PVT_bo_m3m3(B96,C96,PVT_mod)</f>
        <v>1.1574430527874522</v>
      </c>
      <c r="H96" s="32">
        <f>[1]!PVT_mu_oil_cP(B96,C96,PVT_str_)</f>
        <v>1.0527330309923051</v>
      </c>
      <c r="I96" s="32">
        <f>[1]!PVT_mu_oil_cP(B96,C96,PVT_mod)</f>
        <v>1.2613027843073201</v>
      </c>
    </row>
    <row r="97" spans="2:9" x14ac:dyDescent="0.2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64.638816171928596</v>
      </c>
      <c r="F97" s="32">
        <f>[1]!PVT_bo_m3m3(B97,C97,PVT_str_)</f>
        <v>1.191462458927677</v>
      </c>
      <c r="G97" s="32">
        <f>[1]!PVT_bo_m3m3(B97,C97,PVT_mod)</f>
        <v>1.1567396817873274</v>
      </c>
      <c r="H97" s="32">
        <f>[1]!PVT_mu_oil_cP(B97,C97,PVT_str_)</f>
        <v>1.0626084527885478</v>
      </c>
      <c r="I97" s="32">
        <f>[1]!PVT_mu_oil_cP(B97,C97,PVT_mod)</f>
        <v>1.2746738110352704</v>
      </c>
    </row>
    <row r="98" spans="2:9" x14ac:dyDescent="0.2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64.638816171928596</v>
      </c>
      <c r="F98" s="32">
        <f>[1]!PVT_bo_m3m3(B98,C98,PVT_str_)</f>
        <v>1.1905334744276832</v>
      </c>
      <c r="G98" s="32">
        <f>[1]!PVT_bo_m3m3(B98,C98,PVT_mod)</f>
        <v>1.1560780760155072</v>
      </c>
      <c r="H98" s="32">
        <f>[1]!PVT_mu_oil_cP(B98,C98,PVT_str_)</f>
        <v>1.0727733700033801</v>
      </c>
      <c r="I98" s="32">
        <f>[1]!PVT_mu_oil_cP(B98,C98,PVT_mod)</f>
        <v>1.2884063317746266</v>
      </c>
    </row>
    <row r="99" spans="2:9" x14ac:dyDescent="0.2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64.638816171928596</v>
      </c>
      <c r="F99" s="32">
        <f>[1]!PVT_bo_m3m3(B99,C99,PVT_str_)</f>
        <v>1.1896582381934191</v>
      </c>
      <c r="G99" s="32">
        <f>[1]!PVT_bo_m3m3(B99,C99,PVT_mod)</f>
        <v>1.1554546228845015</v>
      </c>
      <c r="H99" s="32">
        <f>[1]!PVT_mu_oil_cP(B99,C99,PVT_str_)</f>
        <v>1.0832209142287645</v>
      </c>
      <c r="I99" s="32">
        <f>[1]!PVT_mu_oil_cP(B99,C99,PVT_mod)</f>
        <v>1.3024927388162875</v>
      </c>
    </row>
    <row r="100" spans="2:9" x14ac:dyDescent="0.2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64.638816171928596</v>
      </c>
      <c r="F100" s="32">
        <f>[1]!PVT_bo_m3m3(B100,C100,PVT_str_)</f>
        <v>1.1888322170166392</v>
      </c>
      <c r="G100" s="32">
        <f>[1]!PVT_bo_m3m3(B100,C100,PVT_mod)</f>
        <v>1.1548661147599644</v>
      </c>
      <c r="H100" s="32">
        <f>[1]!PVT_mu_oil_cP(B100,C100,PVT_str_)</f>
        <v>1.0939445634238931</v>
      </c>
      <c r="I100" s="32">
        <f>[1]!PVT_mu_oil_cP(B100,C100,PVT_mod)</f>
        <v>1.3169257901760028</v>
      </c>
    </row>
    <row r="101" spans="2:9" x14ac:dyDescent="0.2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64.638816171928596</v>
      </c>
      <c r="F101" s="32">
        <f>[1]!PVT_bo_m3m3(B101,C101,PVT_str_)</f>
        <v>1.1880513735101232</v>
      </c>
      <c r="G101" s="32">
        <f>[1]!PVT_bo_m3m3(B101,C101,PVT_mod)</f>
        <v>1.1543096937672426</v>
      </c>
      <c r="H101" s="32">
        <f>[1]!PVT_mu_oil_cP(B101,C101,PVT_str_)</f>
        <v>1.1049381041628186</v>
      </c>
      <c r="I101" s="32">
        <f>[1]!PVT_mu_oil_cP(B101,C101,PVT_mod)</f>
        <v>1.3316985665159489</v>
      </c>
    </row>
    <row r="102" spans="2:9" x14ac:dyDescent="0.2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64.638816171928596</v>
      </c>
      <c r="F102" s="32">
        <f>[1]!PVT_bo_m3m3(B102,C102,PVT_str_)</f>
        <v>1.187312100126485</v>
      </c>
      <c r="G102" s="32">
        <f>[1]!PVT_bo_m3m3(B102,C102,PVT_mod)</f>
        <v>1.1537828053853496</v>
      </c>
      <c r="H102" s="32">
        <f>[1]!PVT_mu_oil_cP(B102,C102,PVT_str_)</f>
        <v>1.1161955978107274</v>
      </c>
      <c r="I102" s="32">
        <f>[1]!PVT_mu_oil_cP(B102,C102,PVT_mod)</f>
        <v>1.3468044325650128</v>
      </c>
    </row>
    <row r="103" spans="2:9" x14ac:dyDescent="0.2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64.638816171928596</v>
      </c>
      <c r="F103" s="32">
        <f>[1]!PVT_bo_m3m3(B103,C103,PVT_str_)</f>
        <v>1.1866111634399235</v>
      </c>
      <c r="G103" s="32">
        <f>[1]!PVT_bo_m3m3(B103,C103,PVT_mod)</f>
        <v>1.1532831592383594</v>
      </c>
      <c r="H103" s="32">
        <f>[1]!PVT_mu_oil_cP(B103,C103,PVT_str_)</f>
        <v>1.1277113501541729</v>
      </c>
      <c r="I103" s="32">
        <f>[1]!PVT_mu_oil_cP(B103,C103,PVT_mod)</f>
        <v>1.3622370024932644</v>
      </c>
    </row>
    <row r="104" spans="2:9" x14ac:dyDescent="0.2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64.638816171928596</v>
      </c>
      <c r="F104" s="32">
        <f>[1]!PVT_bo_m3m3(B104,C104,PVT_str_)</f>
        <v>1.1859456568756555</v>
      </c>
      <c r="G104" s="32">
        <f>[1]!PVT_bo_m3m3(B104,C104,PVT_mod)</f>
        <v>1.1528086958147137</v>
      </c>
      <c r="H104" s="32">
        <f>[1]!PVT_mu_oil_cP(B104,C104,PVT_str_)</f>
        <v>1.1394798840785829</v>
      </c>
      <c r="I104" s="32">
        <f>[1]!PVT_mu_oil_cP(B104,C104,PVT_mod)</f>
        <v>1.3779901087747062</v>
      </c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2021-05-18T15:54:46Z</dcterms:modified>
</cp:coreProperties>
</file>