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AC73A9A0-0289-4EB9-B0CA-93A7E01225F9}" xr6:coauthVersionLast="47" xr6:coauthVersionMax="47" xr10:uidLastSave="{00000000-0000-0000-0000-000000000000}"/>
  <bookViews>
    <workbookView xWindow="-98" yWindow="-98" windowWidth="20715" windowHeight="13276" tabRatio="591" xr2:uid="{00000000-000D-0000-FFFF-FFFF00000000}"/>
  </bookViews>
  <sheets>
    <sheet name="exercise_separation" sheetId="113" r:id="rId1"/>
  </sheets>
  <externalReferences>
    <externalReference r:id="rId2"/>
  </externalReferences>
  <definedNames>
    <definedName name="Bob_" localSheetId="0">exercise_separation!$C$17</definedName>
    <definedName name="Course" localSheetId="0">exercise_separation!$B$3</definedName>
    <definedName name="feed_">exercise_separation!$D$35</definedName>
    <definedName name="fw">exercise_separation!$C$21</definedName>
    <definedName name="gamma_gas_" localSheetId="0">exercise_separation!$C$13</definedName>
    <definedName name="gamma_oil_" localSheetId="0">exercise_separation!$C$11</definedName>
    <definedName name="gamma_wat_" localSheetId="0">exercise_separation!$C$12</definedName>
    <definedName name="Group" localSheetId="0">exercise_separation!$B$4</definedName>
    <definedName name="input_0" localSheetId="0">exercise_separation!$C$11:$C$18</definedName>
    <definedName name="input_1" localSheetId="0">exercise_separation!#REF!</definedName>
    <definedName name="input_Course" localSheetId="0">exercise_separation!$I$3</definedName>
    <definedName name="input_Date" localSheetId="0">exercise_separation!$I$1</definedName>
    <definedName name="input_Group" localSheetId="0">exercise_separation!$I$4</definedName>
    <definedName name="input_Notes" localSheetId="0">exercise_separation!$I$6</definedName>
    <definedName name="input_Student_Name" localSheetId="0">exercise_separation!$I$5</definedName>
    <definedName name="input_Version" localSheetId="0">exercise_separation!$I$2</definedName>
    <definedName name="Ksep">exercise_separation!$C$25</definedName>
    <definedName name="muob_" localSheetId="0">exercise_separation!$C$18</definedName>
    <definedName name="Notes" localSheetId="0">exercise_separation!$B$6</definedName>
    <definedName name="output_0" localSheetId="0">exercise_separation!#REF!</definedName>
    <definedName name="param">exercise_separation!$D$29</definedName>
    <definedName name="Pb_" localSheetId="0">exercise_separation!$C$15</definedName>
    <definedName name="Psep">exercise_separation!$C$26</definedName>
    <definedName name="PVT_mod">exercise_separation!$D$37</definedName>
    <definedName name="PVT_str_" localSheetId="0">exercise_separation!$D$34</definedName>
    <definedName name="Qgas">exercise_separation!$C$23</definedName>
    <definedName name="Qliq">exercise_separation!$C$20</definedName>
    <definedName name="rp">exercise_separation!$C$22</definedName>
    <definedName name="Rp_" localSheetId="0">exercise_separation!#REF!</definedName>
    <definedName name="Rsb_" localSheetId="0">exercise_separation!$C$14</definedName>
    <definedName name="Student_Name" localSheetId="0">exercise_separation!$B$5</definedName>
    <definedName name="Tres_" localSheetId="0">exercise_separation!$C$16</definedName>
    <definedName name="Tsep">exercise_separation!$C$27</definedName>
    <definedName name="unf_version" localSheetId="0">exercise_separation!$G$1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13" l="1"/>
  <c r="E15" i="113"/>
  <c r="E14" i="113"/>
  <c r="E13" i="113"/>
  <c r="E12" i="113"/>
  <c r="E11" i="113"/>
  <c r="G1" i="113"/>
  <c r="D34" i="113"/>
  <c r="F76" i="113"/>
  <c r="F68" i="113"/>
  <c r="F82" i="113"/>
  <c r="H92" i="113"/>
  <c r="D92" i="113"/>
  <c r="F100" i="113"/>
  <c r="F74" i="113"/>
  <c r="D104" i="113"/>
  <c r="H88" i="113"/>
  <c r="F86" i="113"/>
  <c r="D91" i="113"/>
  <c r="F85" i="113"/>
  <c r="H69" i="113"/>
  <c r="H87" i="113"/>
  <c r="F90" i="113"/>
  <c r="D70" i="113"/>
  <c r="D103" i="113"/>
  <c r="D73" i="113"/>
  <c r="D87" i="113"/>
  <c r="H79" i="113"/>
  <c r="D100" i="113"/>
  <c r="H97" i="113"/>
  <c r="D67" i="113"/>
  <c r="H64" i="113"/>
  <c r="D75" i="113"/>
  <c r="H86" i="113"/>
  <c r="D98" i="113"/>
  <c r="F97" i="113"/>
  <c r="F89" i="113"/>
  <c r="D97" i="113"/>
  <c r="F98" i="113"/>
  <c r="H71" i="113"/>
  <c r="D69" i="113"/>
  <c r="F84" i="113"/>
  <c r="H95" i="113"/>
  <c r="F80" i="113"/>
  <c r="F73" i="113"/>
  <c r="H74" i="113"/>
  <c r="H78" i="113"/>
  <c r="F91" i="113"/>
  <c r="F72" i="113"/>
  <c r="D74" i="113"/>
  <c r="H89" i="113"/>
  <c r="D29" i="113" a="1"/>
  <c r="D76" i="113"/>
  <c r="D35" i="113" a="1"/>
  <c r="F102" i="113"/>
  <c r="H75" i="113"/>
  <c r="H100" i="113"/>
  <c r="H104" i="113"/>
  <c r="H70" i="113"/>
  <c r="H102" i="113"/>
  <c r="F99" i="113"/>
  <c r="F93" i="113"/>
  <c r="H72" i="113"/>
  <c r="F67" i="113"/>
  <c r="D112" i="113" a="1"/>
  <c r="H90" i="113"/>
  <c r="D88" i="113"/>
  <c r="H101" i="113"/>
  <c r="F83" i="113"/>
  <c r="D93" i="113"/>
  <c r="F78" i="113"/>
  <c r="F71" i="113"/>
  <c r="D66" i="113"/>
  <c r="F87" i="113"/>
  <c r="H93" i="113"/>
  <c r="D84" i="113"/>
  <c r="F75" i="113"/>
  <c r="D79" i="113"/>
  <c r="D83" i="113"/>
  <c r="H96" i="113"/>
  <c r="B44" i="113" a="1"/>
  <c r="D68" i="113"/>
  <c r="H77" i="113"/>
  <c r="H80" i="113"/>
  <c r="F96" i="113"/>
  <c r="F64" i="113"/>
  <c r="D102" i="113"/>
  <c r="H94" i="113"/>
  <c r="F104" i="113"/>
  <c r="D96" i="113"/>
  <c r="F79" i="113"/>
  <c r="F94" i="113"/>
  <c r="D81" i="113"/>
  <c r="H82" i="113"/>
  <c r="D77" i="113"/>
  <c r="D71" i="113"/>
  <c r="D111" i="113" a="1"/>
  <c r="H84" i="113"/>
  <c r="F81" i="113"/>
  <c r="H83" i="113"/>
  <c r="D90" i="113"/>
  <c r="F77" i="113"/>
  <c r="H99" i="113"/>
  <c r="H67" i="113"/>
  <c r="F65" i="113"/>
  <c r="H103" i="113"/>
  <c r="D86" i="113"/>
  <c r="D72" i="113"/>
  <c r="D89" i="113"/>
  <c r="D82" i="113"/>
  <c r="H91" i="113"/>
  <c r="H85" i="113"/>
  <c r="H66" i="113"/>
  <c r="D85" i="113"/>
  <c r="H81" i="113"/>
  <c r="F95" i="113"/>
  <c r="D78" i="113"/>
  <c r="F92" i="113"/>
  <c r="H98" i="113"/>
  <c r="D94" i="113"/>
  <c r="F88" i="113"/>
  <c r="H68" i="113"/>
  <c r="H76" i="113"/>
  <c r="D99" i="113"/>
  <c r="F103" i="113"/>
  <c r="F69" i="113"/>
  <c r="F70" i="113"/>
  <c r="D65" i="113"/>
  <c r="F101" i="113"/>
  <c r="H65" i="113"/>
  <c r="D101" i="113"/>
  <c r="H73" i="113"/>
  <c r="D80" i="113"/>
  <c r="D95" i="113"/>
  <c r="F66" i="113"/>
  <c r="D111" i="113" l="1"/>
  <c r="D112" i="113"/>
  <c r="D29" i="113"/>
  <c r="B44" i="113"/>
  <c r="D35" i="113"/>
  <c r="D114" i="113" a="1"/>
  <c r="D37" i="113" a="1"/>
  <c r="H37" i="113" a="1"/>
  <c r="Q39" i="113" a="1"/>
  <c r="D64" i="113"/>
  <c r="D44" i="113" a="1"/>
  <c r="Q39" i="113" l="1"/>
  <c r="D114" i="113"/>
  <c r="D37" i="113"/>
  <c r="H37" i="113"/>
  <c r="D44" i="113"/>
  <c r="G93" i="113"/>
  <c r="G79" i="113"/>
  <c r="I86" i="113"/>
  <c r="G101" i="113"/>
  <c r="E100" i="113"/>
  <c r="G84" i="113"/>
  <c r="I70" i="113"/>
  <c r="G94" i="113"/>
  <c r="I67" i="113"/>
  <c r="G80" i="113"/>
  <c r="I64" i="113"/>
  <c r="E77" i="113"/>
  <c r="I72" i="113"/>
  <c r="I77" i="113"/>
  <c r="G97" i="113"/>
  <c r="E89" i="113"/>
  <c r="I79" i="113"/>
  <c r="E94" i="113"/>
  <c r="G69" i="113"/>
  <c r="G88" i="113"/>
  <c r="G74" i="113"/>
  <c r="E87" i="113"/>
  <c r="I99" i="113"/>
  <c r="G72" i="113"/>
  <c r="E65" i="113"/>
  <c r="I97" i="113"/>
  <c r="I82" i="113"/>
  <c r="G67" i="113"/>
  <c r="E83" i="113"/>
  <c r="I66" i="113"/>
  <c r="I98" i="113"/>
  <c r="G98" i="113"/>
  <c r="I93" i="113"/>
  <c r="E78" i="113"/>
  <c r="E84" i="113"/>
  <c r="G66" i="113"/>
  <c r="E91" i="113"/>
  <c r="I92" i="113"/>
  <c r="I69" i="113"/>
  <c r="I78" i="113"/>
  <c r="Q41" i="113" a="1"/>
  <c r="E75" i="113"/>
  <c r="E98" i="113"/>
  <c r="I71" i="113"/>
  <c r="G68" i="113"/>
  <c r="E73" i="113"/>
  <c r="E72" i="113"/>
  <c r="I76" i="113"/>
  <c r="E66" i="113"/>
  <c r="I95" i="113"/>
  <c r="G95" i="113"/>
  <c r="E80" i="113"/>
  <c r="I91" i="113"/>
  <c r="G76" i="113"/>
  <c r="G104" i="113"/>
  <c r="G102" i="113"/>
  <c r="E101" i="113"/>
  <c r="I100" i="113"/>
  <c r="E92" i="113"/>
  <c r="E102" i="113"/>
  <c r="I75" i="113"/>
  <c r="E96" i="113"/>
  <c r="E79" i="113"/>
  <c r="I103" i="113"/>
  <c r="O44" i="113" a="1"/>
  <c r="G96" i="113"/>
  <c r="G91" i="113"/>
  <c r="G71" i="113"/>
  <c r="I68" i="113"/>
  <c r="D127" i="113" a="1"/>
  <c r="I94" i="113"/>
  <c r="E93" i="113"/>
  <c r="I65" i="113"/>
  <c r="I73" i="113"/>
  <c r="E76" i="113"/>
  <c r="Q44" i="113" a="1"/>
  <c r="E81" i="113"/>
  <c r="E82" i="113"/>
  <c r="G81" i="113"/>
  <c r="G87" i="113"/>
  <c r="E64" i="113"/>
  <c r="G65" i="113"/>
  <c r="G77" i="113"/>
  <c r="E74" i="113"/>
  <c r="G44" i="113" a="1"/>
  <c r="G70" i="113"/>
  <c r="I88" i="113"/>
  <c r="E86" i="113"/>
  <c r="G82" i="113"/>
  <c r="I96" i="113"/>
  <c r="G99" i="113"/>
  <c r="I83" i="113"/>
  <c r="E104" i="113"/>
  <c r="G78" i="113"/>
  <c r="G89" i="113"/>
  <c r="G75" i="113"/>
  <c r="I85" i="113"/>
  <c r="D117" i="113" a="1"/>
  <c r="E69" i="113"/>
  <c r="G64" i="113"/>
  <c r="E71" i="113"/>
  <c r="G92" i="113"/>
  <c r="I102" i="113"/>
  <c r="I74" i="113"/>
  <c r="I104" i="113"/>
  <c r="G86" i="113"/>
  <c r="I90" i="113"/>
  <c r="E95" i="113"/>
  <c r="E90" i="113"/>
  <c r="D126" i="113" a="1"/>
  <c r="I87" i="113"/>
  <c r="I80" i="113"/>
  <c r="I81" i="113"/>
  <c r="E99" i="113"/>
  <c r="G90" i="113"/>
  <c r="E85" i="113"/>
  <c r="E67" i="113"/>
  <c r="E68" i="113"/>
  <c r="E103" i="113"/>
  <c r="G85" i="113"/>
  <c r="E97" i="113"/>
  <c r="E70" i="113"/>
  <c r="I101" i="113"/>
  <c r="G73" i="113"/>
  <c r="E88" i="113"/>
  <c r="G83" i="113"/>
  <c r="I89" i="113"/>
  <c r="G100" i="113"/>
  <c r="G103" i="113"/>
  <c r="I84" i="113"/>
  <c r="T53" i="113" l="1"/>
  <c r="R59" i="113"/>
  <c r="Q44" i="113"/>
  <c r="P59" i="113"/>
  <c r="P60" i="113" s="1"/>
  <c r="O44" i="113"/>
  <c r="Q41" i="113"/>
  <c r="D127" i="113"/>
  <c r="D126" i="113"/>
  <c r="D117" i="113"/>
  <c r="L47" i="113"/>
  <c r="J56" i="113"/>
  <c r="J45" i="113"/>
  <c r="J48" i="113"/>
  <c r="J51" i="113"/>
  <c r="J53" i="113"/>
  <c r="J54" i="113"/>
  <c r="J55" i="113"/>
  <c r="J46" i="113"/>
  <c r="J47" i="113"/>
  <c r="J49" i="113"/>
  <c r="J50" i="113"/>
  <c r="J44" i="113"/>
  <c r="G44" i="113"/>
  <c r="R60" i="113" l="1"/>
  <c r="T60" i="113" s="1"/>
  <c r="T59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<sst xmlns="http://schemas.openxmlformats.org/spreadsheetml/2006/main" count="75" uniqueCount="65">
  <si>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</si>
  <si>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</si>
  <si>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</si>
  <si>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</si>
  <si>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</si>
  <si>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</si>
  <si>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</si>
  <si>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</si>
  <si>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</si>
  <si>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</si>
  <si>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</si>
  <si>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</si>
  <si>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</si>
  <si>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</si>
  <si>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</si>
  <si>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</si>
  <si>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</si>
  <si>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</si>
  <si>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</si>
  <si>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</si>
  <si>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</si>
  <si>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</si>
  <si>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</si>
  <si>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</si>
  <si>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</si>
  <si>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</si>
  <si>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</si>
  <si>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</si>
  <si>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</si>
  <si>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</si>
  <si>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</si>
  <si>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</si>
  <si>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</si>
  <si>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</si>
  <si>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</si>
  <si>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</si>
  <si>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параметров флюида с использованием функции PVT_calc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</si>
  <si>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</si>
  <si>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</si>
  <si>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</si>
  <si>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</si>
  <si>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</si>
  <si>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</si>
  <si>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Ksep</t>
  </si>
  <si>
    <t>Psep</t>
  </si>
  <si>
    <t>Tsep</t>
  </si>
  <si>
    <t>Исходные свойства потока</t>
  </si>
  <si>
    <t xml:space="preserve"> Исходные свойства флюида</t>
  </si>
  <si>
    <t>rs</t>
  </si>
  <si>
    <t>rs_mod</t>
  </si>
  <si>
    <t>Модифицированные свойства</t>
  </si>
  <si>
    <t>Сравнение</t>
  </si>
  <si>
    <t>bo</t>
  </si>
  <si>
    <t>bo_mod</t>
  </si>
  <si>
    <t>muo</t>
  </si>
  <si>
    <t>gas_goes_into_solution</t>
  </si>
  <si>
    <t>muo_mod</t>
  </si>
  <si>
    <t>РГУ ИРДН 2021</t>
  </si>
  <si>
    <t>Расчет сепарации</t>
  </si>
  <si>
    <t>show_array</t>
  </si>
  <si>
    <t>Пример проведения расчета по исходным данным заданным в виде списка.</t>
  </si>
  <si>
    <t>Ksep gas</t>
  </si>
  <si>
    <t>Ksep oil</t>
  </si>
  <si>
    <t>Ksep wat</t>
  </si>
  <si>
    <t>Пример разделения потока на две части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</si>
</sst>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000"/>
    <numFmt numFmtId="166" formatCode="0.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63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2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1" fontId="12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0" fontId="0" fillId="2" borderId="2" xfId="0" applyFill="1" applyBorder="1"/>
    <xf numFmtId="1" fontId="12" fillId="4" borderId="2" xfId="0" applyNumberFormat="1" applyFont="1" applyFill="1" applyBorder="1" applyAlignment="1">
      <alignment horizontal="left"/>
    </xf>
    <xf numFmtId="0" fontId="13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165" fontId="0" fillId="7" borderId="2" xfId="0" applyNumberForma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9" fontId="0" fillId="0" borderId="0" xfId="8" applyFont="1"/>
    <xf numFmtId="0" fontId="13" fillId="3" borderId="0" xfId="0" applyFont="1" applyFill="1" applyAlignment="1"/>
    <xf numFmtId="0" fontId="0" fillId="4" borderId="8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166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13" fillId="3" borderId="14" xfId="0" applyFont="1" applyFill="1" applyBorder="1" applyAlignment="1">
      <alignment horizontal="left" wrapText="1"/>
    </xf>
    <xf numFmtId="0" fontId="13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9">
    <cellStyle name="Iau?iue_AA_1" xfId="1" xr:uid="{00000000-0005-0000-0000-000000000000}"/>
    <cellStyle name="Normal" xfId="0" builtinId="0"/>
    <cellStyle name="Percent" xfId="8" builtinId="5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exercise_separation!$D$64:$D$104</c:f>
              <c:numCache>
                <c:formatCode>0.0000</c:formatCode>
                <c:ptCount val="41"/>
                <c:pt idx="0">
                  <c:v>0.22669290347940754</c:v>
                </c:pt>
                <c:pt idx="1">
                  <c:v>1.5739749280185453</c:v>
                </c:pt>
                <c:pt idx="2">
                  <c:v>3.6260845379045641</c:v>
                </c:pt>
                <c:pt idx="3">
                  <c:v>5.9081539167700603</c:v>
                </c:pt>
                <c:pt idx="4">
                  <c:v>8.3536839386526971</c:v>
                </c:pt>
                <c:pt idx="5">
                  <c:v>10.928428001082219</c:v>
                </c:pt>
                <c:pt idx="6">
                  <c:v>13.611058971650774</c:v>
                </c:pt>
                <c:pt idx="7">
                  <c:v>16.386864036558723</c:v>
                </c:pt>
                <c:pt idx="8">
                  <c:v>19.245010594052701</c:v>
                </c:pt>
                <c:pt idx="9">
                  <c:v>22.177152941177035</c:v>
                </c:pt>
                <c:pt idx="10">
                  <c:v>25.176642329502599</c:v>
                </c:pt>
                <c:pt idx="11">
                  <c:v>28.23804351192037</c:v>
                </c:pt>
                <c:pt idx="12">
                  <c:v>31.356821257465761</c:v>
                </c:pt>
                <c:pt idx="13">
                  <c:v>34.52912764572833</c:v>
                </c:pt>
                <c:pt idx="14">
                  <c:v>37.751652361142213</c:v>
                </c:pt>
                <c:pt idx="15">
                  <c:v>41.021514097442306</c:v>
                </c:pt>
                <c:pt idx="16">
                  <c:v>44.336179760343548</c:v>
                </c:pt>
                <c:pt idx="17">
                  <c:v>47.693403039928306</c:v>
                </c:pt>
                <c:pt idx="18">
                  <c:v>51.09117683086707</c:v>
                </c:pt>
                <c:pt idx="19">
                  <c:v>54.527695775284499</c:v>
                </c:pt>
                <c:pt idx="20">
                  <c:v>58.001326350407581</c:v>
                </c:pt>
                <c:pt idx="21">
                  <c:v>61.510582676849417</c:v>
                </c:pt>
                <c:pt idx="22">
                  <c:v>65.054106731009071</c:v>
                </c:pt>
                <c:pt idx="23">
                  <c:v>68.63065199458741</c:v>
                </c:pt>
                <c:pt idx="24">
                  <c:v>72.23906981966492</c:v>
                </c:pt>
                <c:pt idx="25">
                  <c:v>75.878297963225663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48B-B1CF-9C352FBFEA2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exercise_separation!$E$64:$E$104</c:f>
              <c:numCache>
                <c:formatCode>0.0000</c:formatCode>
                <c:ptCount val="41"/>
                <c:pt idx="0">
                  <c:v>0.22553650908223033</c:v>
                </c:pt>
                <c:pt idx="1">
                  <c:v>1.5659458465602309</c:v>
                </c:pt>
                <c:pt idx="2">
                  <c:v>3.6075873384820669</c:v>
                </c:pt>
                <c:pt idx="3">
                  <c:v>5.8780155402168033</c:v>
                </c:pt>
                <c:pt idx="4">
                  <c:v>8.3110705477870042</c:v>
                </c:pt>
                <c:pt idx="5">
                  <c:v>10.872680455762373</c:v>
                </c:pt>
                <c:pt idx="6">
                  <c:v>13.54162692462644</c:v>
                </c:pt>
                <c:pt idx="7">
                  <c:v>16.303272192842709</c:v>
                </c:pt>
                <c:pt idx="8">
                  <c:v>19.14683891737911</c:v>
                </c:pt>
                <c:pt idx="9">
                  <c:v>22.064023967958658</c:v>
                </c:pt>
                <c:pt idx="10">
                  <c:v>25.048212512412121</c:v>
                </c:pt>
                <c:pt idx="11">
                  <c:v>28.093997029638686</c:v>
                </c:pt>
                <c:pt idx="12">
                  <c:v>31.196865423565065</c:v>
                </c:pt>
                <c:pt idx="13">
                  <c:v>34.352989402598176</c:v>
                </c:pt>
                <c:pt idx="14">
                  <c:v>37.55907553758685</c:v>
                </c:pt>
                <c:pt idx="15">
                  <c:v>40.812257220240085</c:v>
                </c:pt>
                <c:pt idx="16">
                  <c:v>44.110014277965504</c:v>
                </c:pt>
                <c:pt idx="17">
                  <c:v>47.450111859608242</c:v>
                </c:pt>
                <c:pt idx="18">
                  <c:v>50.830553098383234</c:v>
                </c:pt>
                <c:pt idx="19">
                  <c:v>54.249541845815571</c:v>
                </c:pt>
                <c:pt idx="20">
                  <c:v>57.705452911976153</c:v>
                </c:pt>
                <c:pt idx="21">
                  <c:v>61.196807997171049</c:v>
                </c:pt>
                <c:pt idx="22">
                  <c:v>64.638999999999996</c:v>
                </c:pt>
                <c:pt idx="23">
                  <c:v>64.638999999999996</c:v>
                </c:pt>
                <c:pt idx="24">
                  <c:v>64.638999999999996</c:v>
                </c:pt>
                <c:pt idx="25">
                  <c:v>64.638999999999996</c:v>
                </c:pt>
                <c:pt idx="26">
                  <c:v>64.638999999999996</c:v>
                </c:pt>
                <c:pt idx="27">
                  <c:v>64.638999999999996</c:v>
                </c:pt>
                <c:pt idx="28">
                  <c:v>64.638999999999996</c:v>
                </c:pt>
                <c:pt idx="29">
                  <c:v>64.638999999999996</c:v>
                </c:pt>
                <c:pt idx="30">
                  <c:v>64.638999999999996</c:v>
                </c:pt>
                <c:pt idx="31">
                  <c:v>64.638999999999996</c:v>
                </c:pt>
                <c:pt idx="32">
                  <c:v>64.638999999999996</c:v>
                </c:pt>
                <c:pt idx="33">
                  <c:v>64.638999999999996</c:v>
                </c:pt>
                <c:pt idx="34">
                  <c:v>64.638999999999996</c:v>
                </c:pt>
                <c:pt idx="35">
                  <c:v>64.638999999999996</c:v>
                </c:pt>
                <c:pt idx="36">
                  <c:v>64.638999999999996</c:v>
                </c:pt>
                <c:pt idx="37">
                  <c:v>64.638999999999996</c:v>
                </c:pt>
                <c:pt idx="38">
                  <c:v>64.638999999999996</c:v>
                </c:pt>
                <c:pt idx="39">
                  <c:v>64.638999999999996</c:v>
                </c:pt>
                <c:pt idx="40">
                  <c:v>64.638999999999996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48B-B1CF-9C352FBFE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exercise_separation!$F$64:$F$104</c:f>
              <c:numCache>
                <c:formatCode>0.0000</c:formatCode>
                <c:ptCount val="41"/>
                <c:pt idx="0">
                  <c:v>1.0449781318661093</c:v>
                </c:pt>
                <c:pt idx="1">
                  <c:v>1.0473336993287123</c:v>
                </c:pt>
                <c:pt idx="2">
                  <c:v>1.0509454543732326</c:v>
                </c:pt>
                <c:pt idx="3">
                  <c:v>1.0549946661426226</c:v>
                </c:pt>
                <c:pt idx="4">
                  <c:v>1.0593707055889123</c:v>
                </c:pt>
                <c:pt idx="5">
                  <c:v>1.0640174806616243</c:v>
                </c:pt>
                <c:pt idx="6">
                  <c:v>1.0689003869335227</c:v>
                </c:pt>
                <c:pt idx="7">
                  <c:v>1.0739956464706797</c:v>
                </c:pt>
                <c:pt idx="8">
                  <c:v>1.0792857389938615</c:v>
                </c:pt>
                <c:pt idx="9">
                  <c:v>1.0847571022963822</c:v>
                </c:pt>
                <c:pt idx="10">
                  <c:v>1.0903988449200401</c:v>
                </c:pt>
                <c:pt idx="11">
                  <c:v>1.0962019681569279</c:v>
                </c:pt>
                <c:pt idx="12">
                  <c:v>1.1021588676694387</c:v>
                </c:pt>
                <c:pt idx="13">
                  <c:v>1.108262999178844</c:v>
                </c:pt>
                <c:pt idx="14">
                  <c:v>1.1145086456315607</c:v>
                </c:pt>
                <c:pt idx="15">
                  <c:v>1.1208907498846015</c:v>
                </c:pt>
                <c:pt idx="16">
                  <c:v>1.12740479123557</c:v>
                </c:pt>
                <c:pt idx="17">
                  <c:v>1.1340466921983325</c:v>
                </c:pt>
                <c:pt idx="18">
                  <c:v>1.1408127466970734</c:v>
                </c:pt>
                <c:pt idx="19">
                  <c:v>1.1476995637784009</c:v>
                </c:pt>
                <c:pt idx="20">
                  <c:v>1.1547040227954879</c:v>
                </c:pt>
                <c:pt idx="21">
                  <c:v>1.1618232372266026</c:v>
                </c:pt>
                <c:pt idx="22">
                  <c:v>1.1690545250975639</c:v>
                </c:pt>
                <c:pt idx="23">
                  <c:v>1.1763953845289106</c:v>
                </c:pt>
                <c:pt idx="24">
                  <c:v>1.1838434733125451</c:v>
                </c:pt>
                <c:pt idx="25">
                  <c:v>1.1913965916948832</c:v>
                </c:pt>
                <c:pt idx="26">
                  <c:v>1.2</c:v>
                </c:pt>
                <c:pt idx="27">
                  <c:v>1.1985049222550408</c:v>
                </c:pt>
                <c:pt idx="28">
                  <c:v>1.1971183037168887</c:v>
                </c:pt>
                <c:pt idx="29">
                  <c:v>1.1958287561970955</c:v>
                </c:pt>
                <c:pt idx="30">
                  <c:v>1.1946264318307394</c:v>
                </c:pt>
                <c:pt idx="31">
                  <c:v>1.1935027711871058</c:v>
                </c:pt>
                <c:pt idx="32">
                  <c:v>1.1924502992419499</c:v>
                </c:pt>
                <c:pt idx="33">
                  <c:v>1.191462458927677</c:v>
                </c:pt>
                <c:pt idx="34">
                  <c:v>1.1905334744276832</c:v>
                </c:pt>
                <c:pt idx="35">
                  <c:v>1.1896582381934191</c:v>
                </c:pt>
                <c:pt idx="36">
                  <c:v>1.1888322170166392</c:v>
                </c:pt>
                <c:pt idx="37">
                  <c:v>1.1880513735101232</c:v>
                </c:pt>
                <c:pt idx="38">
                  <c:v>1.187312100126485</c:v>
                </c:pt>
                <c:pt idx="39">
                  <c:v>1.1866111634399235</c:v>
                </c:pt>
                <c:pt idx="40">
                  <c:v>1.1859456568756555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04-4AC7-9DAC-4799B3A8DF1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exercise_separation!$G$64:$G$104</c:f>
              <c:numCache>
                <c:formatCode>0.0000</c:formatCode>
                <c:ptCount val="41"/>
                <c:pt idx="0">
                  <c:v>1.0449212363182956</c:v>
                </c:pt>
                <c:pt idx="1">
                  <c:v>1.0472618854426599</c:v>
                </c:pt>
                <c:pt idx="2">
                  <c:v>1.0508506497929331</c:v>
                </c:pt>
                <c:pt idx="3">
                  <c:v>1.0548739327123755</c:v>
                </c:pt>
                <c:pt idx="4">
                  <c:v>1.0592217857897355</c:v>
                </c:pt>
                <c:pt idx="5">
                  <c:v>1.0638384620767705</c:v>
                </c:pt>
                <c:pt idx="6">
                  <c:v>1.068689571727462</c:v>
                </c:pt>
                <c:pt idx="7">
                  <c:v>1.0737514862659259</c:v>
                </c:pt>
                <c:pt idx="8">
                  <c:v>1.0790067974512489</c:v>
                </c:pt>
                <c:pt idx="9">
                  <c:v>1.0844420314843837</c:v>
                </c:pt>
                <c:pt idx="10">
                  <c:v>1.0900463693274787</c:v>
                </c:pt>
                <c:pt idx="11">
                  <c:v>1.09581087328867</c:v>
                </c:pt>
                <c:pt idx="12">
                  <c:v>1.1017279915620097</c:v>
                </c:pt>
                <c:pt idx="13">
                  <c:v>1.107791225869466</c:v>
                </c:pt>
                <c:pt idx="14">
                  <c:v>1.1139948999878704</c:v>
                </c:pt>
                <c:pt idx="15">
                  <c:v>1.1203339934150025</c:v>
                </c:pt>
                <c:pt idx="16">
                  <c:v>1.1268040186272219</c:v>
                </c:pt>
                <c:pt idx="17">
                  <c:v>1.1334009284088078</c:v>
                </c:pt>
                <c:pt idx="18">
                  <c:v>1.1401210444766361</c:v>
                </c:pt>
                <c:pt idx="19">
                  <c:v>1.1469610015336758</c:v>
                </c:pt>
                <c:pt idx="20">
                  <c:v>1.1539177027283691</c:v>
                </c:pt>
                <c:pt idx="21">
                  <c:v>1.1609882836983756</c:v>
                </c:pt>
                <c:pt idx="22">
                  <c:v>1.1678065263335282</c:v>
                </c:pt>
                <c:pt idx="23">
                  <c:v>1.1663259699386459</c:v>
                </c:pt>
                <c:pt idx="24">
                  <c:v>1.1649704422497471</c:v>
                </c:pt>
                <c:pt idx="25">
                  <c:v>1.1637247482315978</c:v>
                </c:pt>
                <c:pt idx="26">
                  <c:v>1.1625760591210468</c:v>
                </c:pt>
                <c:pt idx="27">
                  <c:v>1.1615134690927538</c:v>
                </c:pt>
                <c:pt idx="28">
                  <c:v>1.1605276479943829</c:v>
                </c:pt>
                <c:pt idx="29">
                  <c:v>1.159610566711055</c:v>
                </c:pt>
                <c:pt idx="30">
                  <c:v>1.1587552780347494</c:v>
                </c:pt>
                <c:pt idx="31">
                  <c:v>1.15795574037814</c:v>
                </c:pt>
                <c:pt idx="32">
                  <c:v>1.1572066748684808</c:v>
                </c:pt>
                <c:pt idx="33">
                  <c:v>1.1565034486733579</c:v>
                </c:pt>
                <c:pt idx="34">
                  <c:v>1.155841979107568</c:v>
                </c:pt>
                <c:pt idx="35">
                  <c:v>1.1552186543274654</c:v>
                </c:pt>
                <c:pt idx="36">
                  <c:v>1.1546302673591597</c:v>
                </c:pt>
                <c:pt idx="37">
                  <c:v>1.1540739609164332</c:v>
                </c:pt>
                <c:pt idx="38">
                  <c:v>1.1535471810042703</c:v>
                </c:pt>
                <c:pt idx="39">
                  <c:v>1.153047637718325</c:v>
                </c:pt>
                <c:pt idx="40">
                  <c:v>1.1525732719710822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04-4AC7-9DAC-4799B3A8D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exercise_separation!$H$64:$H$104</c:f>
              <c:numCache>
                <c:formatCode>0.0000</c:formatCode>
                <c:ptCount val="41"/>
                <c:pt idx="0">
                  <c:v>4.0490857411760421</c:v>
                </c:pt>
                <c:pt idx="1">
                  <c:v>3.8121051955233352</c:v>
                </c:pt>
                <c:pt idx="2">
                  <c:v>3.5033183374876642</c:v>
                </c:pt>
                <c:pt idx="3">
                  <c:v>3.2175112644124089</c:v>
                </c:pt>
                <c:pt idx="4">
                  <c:v>2.9623106461132691</c:v>
                </c:pt>
                <c:pt idx="5">
                  <c:v>2.737156093235467</c:v>
                </c:pt>
                <c:pt idx="6">
                  <c:v>2.5391166461134889</c:v>
                </c:pt>
                <c:pt idx="7">
                  <c:v>2.3647559671748182</c:v>
                </c:pt>
                <c:pt idx="8">
                  <c:v>2.2107917729489381</c:v>
                </c:pt>
                <c:pt idx="9">
                  <c:v>2.074310342172208</c:v>
                </c:pt>
                <c:pt idx="10">
                  <c:v>1.9528071143977421</c:v>
                </c:pt>
                <c:pt idx="11">
                  <c:v>1.8441609428049683</c:v>
                </c:pt>
                <c:pt idx="12">
                  <c:v>1.7465866135022006</c:v>
                </c:pt>
                <c:pt idx="13">
                  <c:v>1.6585841043912686</c:v>
                </c:pt>
                <c:pt idx="14">
                  <c:v>1.5788917893228054</c:v>
                </c:pt>
                <c:pt idx="15">
                  <c:v>1.5064458940906118</c:v>
                </c:pt>
                <c:pt idx="16">
                  <c:v>1.4403464310249634</c:v>
                </c:pt>
                <c:pt idx="17">
                  <c:v>1.3798290247331508</c:v>
                </c:pt>
                <c:pt idx="18">
                  <c:v>1.3242417914648865</c:v>
                </c:pt>
                <c:pt idx="19">
                  <c:v>1.2730264267639217</c:v>
                </c:pt>
                <c:pt idx="20">
                  <c:v>1.2257027424908871</c:v>
                </c:pt>
                <c:pt idx="21">
                  <c:v>1.1818560080259286</c:v>
                </c:pt>
                <c:pt idx="22">
                  <c:v>1.1411265626195068</c:v>
                </c:pt>
                <c:pt idx="23">
                  <c:v>1.1032012653777108</c:v>
                </c:pt>
                <c:pt idx="24">
                  <c:v>1.0678064332785557</c:v>
                </c:pt>
                <c:pt idx="25">
                  <c:v>1.0347019864467153</c:v>
                </c:pt>
                <c:pt idx="26">
                  <c:v>1</c:v>
                </c:pt>
                <c:pt idx="27">
                  <c:v>1.0079687761079306</c:v>
                </c:pt>
                <c:pt idx="28">
                  <c:v>1.0162783045416515</c:v>
                </c:pt>
                <c:pt idx="29">
                  <c:v>1.0249185414383268</c:v>
                </c:pt>
                <c:pt idx="30">
                  <c:v>1.0338801376872575</c:v>
                </c:pt>
                <c:pt idx="31">
                  <c:v>1.0431543616272132</c:v>
                </c:pt>
                <c:pt idx="32">
                  <c:v>1.0527330309923049</c:v>
                </c:pt>
                <c:pt idx="33">
                  <c:v>1.0626084527885478</c:v>
                </c:pt>
                <c:pt idx="34">
                  <c:v>1.0727733700033799</c:v>
                </c:pt>
                <c:pt idx="35">
                  <c:v>1.0832209142287645</c:v>
                </c:pt>
                <c:pt idx="36">
                  <c:v>1.0939445634238931</c:v>
                </c:pt>
                <c:pt idx="37">
                  <c:v>1.1049381041628186</c:v>
                </c:pt>
                <c:pt idx="38">
                  <c:v>1.1161955978107274</c:v>
                </c:pt>
                <c:pt idx="39">
                  <c:v>1.1277113501541727</c:v>
                </c:pt>
                <c:pt idx="40">
                  <c:v>1.1394798840785827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0F-4676-A6D7-AB4CECB80AA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exercise_separation!$I$64:$I$104</c:f>
              <c:numCache>
                <c:formatCode>0.0000</c:formatCode>
                <c:ptCount val="41"/>
                <c:pt idx="0">
                  <c:v>4.0573330177287996</c:v>
                </c:pt>
                <c:pt idx="1">
                  <c:v>3.8209917339765038</c:v>
                </c:pt>
                <c:pt idx="2">
                  <c:v>3.512813619790613</c:v>
                </c:pt>
                <c:pt idx="3">
                  <c:v>3.2273445426284439</c:v>
                </c:pt>
                <c:pt idx="4">
                  <c:v>2.9722632435623901</c:v>
                </c:pt>
                <c:pt idx="5">
                  <c:v>2.7470716539741242</c:v>
                </c:pt>
                <c:pt idx="6">
                  <c:v>2.5488899451736553</c:v>
                </c:pt>
                <c:pt idx="7">
                  <c:v>2.3743195672745485</c:v>
                </c:pt>
                <c:pt idx="8">
                  <c:v>2.2201049342132562</c:v>
                </c:pt>
                <c:pt idx="9">
                  <c:v>2.0833507320664784</c:v>
                </c:pt>
                <c:pt idx="10">
                  <c:v>1.9615648791757785</c:v>
                </c:pt>
                <c:pt idx="11">
                  <c:v>1.8526345561036865</c:v>
                </c:pt>
                <c:pt idx="12">
                  <c:v>1.7547800006353951</c:v>
                </c:pt>
                <c:pt idx="13">
                  <c:v>1.666504662705973</c:v>
                </c:pt>
                <c:pt idx="14">
                  <c:v>1.5865490316988164</c:v>
                </c:pt>
                <c:pt idx="15">
                  <c:v>1.5138505239929443</c:v>
                </c:pt>
                <c:pt idx="16">
                  <c:v>1.4475097160514705</c:v>
                </c:pt>
                <c:pt idx="17">
                  <c:v>1.3867623766238981</c:v>
                </c:pt>
                <c:pt idx="18">
                  <c:v>1.330956488944923</c:v>
                </c:pt>
                <c:pt idx="19">
                  <c:v>1.2795334371659641</c:v>
                </c:pt>
                <c:pt idx="20">
                  <c:v>1.232012611586049</c:v>
                </c:pt>
                <c:pt idx="21">
                  <c:v>1.1879787967917352</c:v>
                </c:pt>
                <c:pt idx="22">
                  <c:v>1.1491101257417364</c:v>
                </c:pt>
                <c:pt idx="23">
                  <c:v>1.1583201326344101</c:v>
                </c:pt>
                <c:pt idx="24">
                  <c:v>1.1680020788546224</c:v>
                </c:pt>
                <c:pt idx="25">
                  <c:v>1.1781406869042361</c:v>
                </c:pt>
                <c:pt idx="26">
                  <c:v>1.1887219466370866</c:v>
                </c:pt>
                <c:pt idx="27">
                  <c:v>1.1997329612901833</c:v>
                </c:pt>
                <c:pt idx="28">
                  <c:v>1.2111618143764513</c:v>
                </c:pt>
                <c:pt idx="29">
                  <c:v>1.2229974540449606</c:v>
                </c:pt>
                <c:pt idx="30">
                  <c:v>1.2352295921594314</c:v>
                </c:pt>
                <c:pt idx="31">
                  <c:v>1.247848615851598</c:v>
                </c:pt>
                <c:pt idx="32">
                  <c:v>1.2608455097062277</c:v>
                </c:pt>
                <c:pt idx="33">
                  <c:v>1.2742117870537233</c:v>
                </c:pt>
                <c:pt idx="34">
                  <c:v>1.2879394291027035</c:v>
                </c:pt>
                <c:pt idx="35">
                  <c:v>1.3020208308524357</c:v>
                </c:pt>
                <c:pt idx="36">
                  <c:v>1.316448752893919</c:v>
                </c:pt>
                <c:pt idx="37">
                  <c:v>1.3312162783468466</c:v>
                </c:pt>
                <c:pt idx="38">
                  <c:v>1.3463167742936795</c:v>
                </c:pt>
                <c:pt idx="39">
                  <c:v>1.3617438571664975</c:v>
                </c:pt>
                <c:pt idx="40">
                  <c:v>1.3774913616208915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0F-4676-A6D7-AB4CECB8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548408</xdr:colOff>
      <xdr:row>0</xdr:row>
      <xdr:rowOff>7036</xdr:rowOff>
    </xdr:from>
    <xdr:to>
      <xdr:col>16</xdr:col>
      <xdr:colOff>107576</xdr:colOff>
      <xdr:row>19</xdr:row>
      <xdr:rowOff>35858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496926" y="7036"/>
              <a:ext cx="6721968" cy="3578846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496926" y="7036"/>
              <a:ext cx="6721968" cy="3578846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24</xdr:col>
      <xdr:colOff>83415</xdr:colOff>
      <xdr:row>62</xdr:row>
      <xdr:rowOff>42356</xdr:rowOff>
    </xdr:from>
    <xdr:to>
      <xdr:col>29</xdr:col>
      <xdr:colOff>468262</xdr:colOff>
      <xdr:row>75</xdr:row>
      <xdr:rowOff>128931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7959039" y="11095838"/>
          <a:ext cx="3522494" cy="2300858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9</xdr:col>
      <xdr:colOff>623363</xdr:colOff>
      <xdr:row>62</xdr:row>
      <xdr:rowOff>131456</xdr:rowOff>
    </xdr:from>
    <xdr:to>
      <xdr:col>16</xdr:col>
      <xdr:colOff>447559</xdr:colOff>
      <xdr:row>79</xdr:row>
      <xdr:rowOff>98800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7084C91-E660-4743-BE88-0BA52F07E2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646340</xdr:colOff>
      <xdr:row>75</xdr:row>
      <xdr:rowOff>107497</xdr:rowOff>
    </xdr:from>
    <xdr:to>
      <xdr:col>16</xdr:col>
      <xdr:colOff>466726</xdr:colOff>
      <xdr:row>92</xdr:row>
      <xdr:rowOff>74840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2852E61-EE9A-4CD4-9D21-FB9FBC9709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700768</xdr:colOff>
      <xdr:row>92</xdr:row>
      <xdr:rowOff>146958</xdr:rowOff>
    </xdr:from>
    <xdr:to>
      <xdr:col>16</xdr:col>
      <xdr:colOff>521154</xdr:colOff>
      <xdr:row>109</xdr:row>
      <xdr:rowOff>114300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6C0D013-E71F-4889-BAC0-4A30DD0DC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p_atma"/>
      <definedName name="decode_json_q_liq_sm3day"/>
      <definedName name="encode_arange"/>
      <definedName name="encode_feed"/>
      <definedName name="encode_json"/>
      <definedName name="encode_PVT"/>
      <definedName name="feed_mod_separate_gas"/>
      <definedName name="feed_mod_split"/>
      <definedName name="PVT_bo_m3m3"/>
      <definedName name="PVT_mu_oil_cP"/>
      <definedName name="PVT_rs_m3m3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56"/>
  <sheetViews>
    <sheetView tabSelected="1" zoomScale="70" zoomScaleNormal="70" workbookViewId="0">
      <selection activeCell="F22" sqref="F22:G23"/>
    </sheetView>
  </sheetViews>
  <sheetFormatPr defaultRowHeight="12.75" x14ac:dyDescent="0.35"/>
  <cols>
    <col min="1" max="1" width="12.33203125" customWidth="1"/>
    <col min="2" max="2" width="15.6640625" customWidth="1"/>
    <col min="3" max="3" width="10.53125" customWidth="1"/>
    <col min="4" max="4" width="9.86328125" customWidth="1"/>
    <col min="5" max="5" width="13.6640625" customWidth="1"/>
    <col min="6" max="6" width="9.86328125" customWidth="1"/>
    <col min="7" max="7" width="11.6640625" customWidth="1"/>
    <col min="8" max="8" width="12.33203125" customWidth="1"/>
    <col min="9" max="9" width="11.33203125" bestFit="1" customWidth="1"/>
    <col min="10" max="10" width="11.33203125" customWidth="1"/>
    <col min="11" max="11" width="10.1328125" customWidth="1"/>
    <col min="12" max="13" width="9" bestFit="1" customWidth="1"/>
    <col min="14" max="14" width="9.33203125" customWidth="1"/>
    <col min="15" max="15" width="9" bestFit="1" customWidth="1"/>
    <col min="16" max="17" width="11.33203125" customWidth="1"/>
    <col min="18" max="18" width="12.33203125" bestFit="1" customWidth="1"/>
    <col min="19" max="19" width="12.6640625" bestFit="1" customWidth="1"/>
    <col min="20" max="21" width="10.53125" bestFit="1" customWidth="1"/>
    <col min="22" max="32" width="9.1328125" customWidth="1"/>
  </cols>
  <sheetData>
    <row r="1" spans="1:12" ht="13.15" x14ac:dyDescent="0.4">
      <c r="A1" s="1" t="s">
        <v>20</v>
      </c>
      <c r="F1" t="s">
        <v>22</v>
      </c>
      <c r="G1" t="str">
        <f>[1]!unf_version()</f>
        <v>7.38</v>
      </c>
      <c r="H1" s="14" t="s">
        <v>31</v>
      </c>
      <c r="I1" s="18">
        <v>44706</v>
      </c>
      <c r="J1" s="19"/>
      <c r="K1" s="19"/>
      <c r="L1" s="20"/>
    </row>
    <row r="2" spans="1:12" x14ac:dyDescent="0.35">
      <c r="A2" t="s">
        <v>21</v>
      </c>
      <c r="H2" s="14" t="s">
        <v>32</v>
      </c>
      <c r="I2" s="21">
        <v>7.38</v>
      </c>
      <c r="J2" s="16"/>
      <c r="K2" s="16"/>
      <c r="L2" s="17"/>
    </row>
    <row r="3" spans="1:12" ht="14.25" x14ac:dyDescent="0.45">
      <c r="A3" s="15" t="s">
        <v>25</v>
      </c>
      <c r="B3" s="59" t="s">
        <v>57</v>
      </c>
      <c r="C3" s="59"/>
      <c r="D3" s="59"/>
      <c r="E3" s="60"/>
      <c r="H3" s="15" t="s">
        <v>25</v>
      </c>
      <c r="I3" s="61" t="s">
        <v>57</v>
      </c>
      <c r="J3" s="61"/>
      <c r="K3" s="61"/>
      <c r="L3" s="61"/>
    </row>
    <row r="4" spans="1:12" ht="14.25" x14ac:dyDescent="0.45">
      <c r="A4" s="15" t="s">
        <v>28</v>
      </c>
      <c r="B4" s="59" t="s">
        <v>29</v>
      </c>
      <c r="C4" s="59"/>
      <c r="D4" s="59"/>
      <c r="E4" s="60"/>
      <c r="H4" s="15" t="s">
        <v>28</v>
      </c>
      <c r="I4" s="62" t="s">
        <v>29</v>
      </c>
      <c r="J4" s="62"/>
      <c r="K4" s="62"/>
      <c r="L4" s="62"/>
    </row>
    <row r="5" spans="1:12" ht="14.25" x14ac:dyDescent="0.45">
      <c r="A5" s="15" t="s">
        <v>33</v>
      </c>
      <c r="B5" s="59" t="s">
        <v>27</v>
      </c>
      <c r="C5" s="59"/>
      <c r="D5" s="59"/>
      <c r="E5" s="60"/>
      <c r="H5" s="15" t="s">
        <v>33</v>
      </c>
      <c r="I5" s="62" t="s">
        <v>27</v>
      </c>
      <c r="J5" s="62"/>
      <c r="K5" s="62"/>
      <c r="L5" s="62"/>
    </row>
    <row r="6" spans="1:12" x14ac:dyDescent="0.35">
      <c r="A6" s="45" t="s">
        <v>26</v>
      </c>
      <c r="B6" s="48" t="s">
        <v>30</v>
      </c>
      <c r="C6" s="49"/>
      <c r="D6" s="49"/>
      <c r="E6" s="50"/>
      <c r="H6" s="57" t="s">
        <v>26</v>
      </c>
      <c r="I6" s="58" t="s">
        <v>30</v>
      </c>
      <c r="J6" s="58"/>
      <c r="K6" s="58"/>
      <c r="L6" s="58"/>
    </row>
    <row r="7" spans="1:12" x14ac:dyDescent="0.35">
      <c r="A7" s="46"/>
      <c r="B7" s="51"/>
      <c r="C7" s="52"/>
      <c r="D7" s="52"/>
      <c r="E7" s="53"/>
      <c r="H7" s="57"/>
      <c r="I7" s="58"/>
      <c r="J7" s="58"/>
      <c r="K7" s="58"/>
      <c r="L7" s="58"/>
    </row>
    <row r="8" spans="1:12" x14ac:dyDescent="0.35">
      <c r="A8" s="47"/>
      <c r="B8" s="54"/>
      <c r="C8" s="55"/>
      <c r="D8" s="55"/>
      <c r="E8" s="56"/>
      <c r="H8" s="57"/>
      <c r="I8" s="58"/>
      <c r="J8" s="58"/>
      <c r="K8" s="58"/>
      <c r="L8" s="58"/>
    </row>
    <row r="10" spans="1:12" ht="13.15" x14ac:dyDescent="0.4">
      <c r="A10" s="1" t="s">
        <v>1</v>
      </c>
    </row>
    <row r="11" spans="1:12" ht="16.5" x14ac:dyDescent="0.55000000000000004">
      <c r="B11" s="5" t="s">
        <v>10</v>
      </c>
      <c r="C11" s="2">
        <v>0.9</v>
      </c>
      <c r="D11" s="6"/>
      <c r="E11" s="10">
        <f>gamma_oil_*1000</f>
        <v>900</v>
      </c>
      <c r="F11" s="11" t="s">
        <v>19</v>
      </c>
    </row>
    <row r="12" spans="1:12" ht="16.5" x14ac:dyDescent="0.55000000000000004">
      <c r="B12" s="4" t="s">
        <v>12</v>
      </c>
      <c r="C12" s="2">
        <v>1.1000000000000001</v>
      </c>
      <c r="D12" s="6"/>
      <c r="E12" s="10">
        <f>gamma_wat_*1000</f>
        <v>1100</v>
      </c>
      <c r="F12" s="11" t="s">
        <v>19</v>
      </c>
    </row>
    <row r="13" spans="1:12" ht="16.5" x14ac:dyDescent="0.55000000000000004">
      <c r="B13" s="4" t="s">
        <v>11</v>
      </c>
      <c r="C13" s="2">
        <v>0.9</v>
      </c>
      <c r="D13" s="6"/>
      <c r="E13" s="10">
        <f>gamma_gas_*1.22</f>
        <v>1.0980000000000001</v>
      </c>
      <c r="F13" s="11" t="s">
        <v>19</v>
      </c>
    </row>
    <row r="14" spans="1:12" ht="16.5" x14ac:dyDescent="0.55000000000000004">
      <c r="B14" s="7" t="s">
        <v>13</v>
      </c>
      <c r="C14" s="2">
        <v>80</v>
      </c>
      <c r="D14" s="4" t="s">
        <v>14</v>
      </c>
      <c r="E14" s="12">
        <f>Rsb_/gamma_oil_</f>
        <v>88.888888888888886</v>
      </c>
      <c r="F14" s="11" t="s">
        <v>24</v>
      </c>
    </row>
    <row r="15" spans="1:12" ht="15.75" x14ac:dyDescent="0.55000000000000004">
      <c r="B15" s="4" t="s">
        <v>16</v>
      </c>
      <c r="C15" s="2">
        <v>130</v>
      </c>
      <c r="D15" s="4" t="s">
        <v>7</v>
      </c>
      <c r="E15" s="12">
        <f>Pb_*1.01325/10</f>
        <v>13.17225</v>
      </c>
      <c r="F15" s="11" t="s">
        <v>8</v>
      </c>
    </row>
    <row r="16" spans="1:12" ht="15.75" x14ac:dyDescent="0.55000000000000004">
      <c r="B16" s="4" t="s">
        <v>15</v>
      </c>
      <c r="C16" s="2">
        <v>90</v>
      </c>
      <c r="D16" s="4" t="s">
        <v>3</v>
      </c>
      <c r="E16" s="12">
        <f>Tres_*9/5+32</f>
        <v>194</v>
      </c>
      <c r="F16" s="11" t="s">
        <v>9</v>
      </c>
    </row>
    <row r="17" spans="2:6" ht="15.75" x14ac:dyDescent="0.55000000000000004">
      <c r="B17" s="7" t="s">
        <v>17</v>
      </c>
      <c r="C17" s="2">
        <v>1.2</v>
      </c>
      <c r="D17" s="4" t="s">
        <v>2</v>
      </c>
      <c r="E17" s="13"/>
      <c r="F17" s="6"/>
    </row>
    <row r="18" spans="2:6" ht="15.75" x14ac:dyDescent="0.55000000000000004">
      <c r="B18" s="8" t="s">
        <v>18</v>
      </c>
      <c r="C18" s="2">
        <v>1</v>
      </c>
      <c r="D18" s="4" t="s">
        <v>6</v>
      </c>
      <c r="E18" s="13"/>
      <c r="F18" s="6"/>
    </row>
    <row r="20" spans="2:6" ht="15.75" x14ac:dyDescent="0.55000000000000004">
      <c r="B20" s="5" t="s">
        <v>38</v>
      </c>
      <c r="C20" s="2">
        <v>15</v>
      </c>
      <c r="D20" s="5"/>
    </row>
    <row r="21" spans="2:6" ht="15.75" x14ac:dyDescent="0.55000000000000004">
      <c r="B21" s="5" t="s">
        <v>39</v>
      </c>
      <c r="C21" s="2">
        <v>1</v>
      </c>
      <c r="D21" s="5"/>
    </row>
    <row r="22" spans="2:6" ht="15.75" x14ac:dyDescent="0.55000000000000004">
      <c r="B22" s="5" t="s">
        <v>40</v>
      </c>
      <c r="C22" s="2">
        <v>80</v>
      </c>
      <c r="D22" s="5"/>
    </row>
    <row r="23" spans="2:6" ht="15.75" x14ac:dyDescent="0.55000000000000004">
      <c r="B23" s="5" t="s">
        <v>41</v>
      </c>
      <c r="C23" s="2">
        <v>1000</v>
      </c>
      <c r="D23" s="5"/>
    </row>
    <row r="24" spans="2:6" ht="14.25" x14ac:dyDescent="0.45">
      <c r="B24" s="30"/>
      <c r="C24" s="31"/>
      <c r="D24" s="30"/>
    </row>
    <row r="25" spans="2:6" ht="14.25" x14ac:dyDescent="0.45">
      <c r="B25" s="5" t="s">
        <v>43</v>
      </c>
      <c r="C25" s="2">
        <v>0.2</v>
      </c>
      <c r="D25" s="30"/>
    </row>
    <row r="26" spans="2:6" ht="14.25" x14ac:dyDescent="0.45">
      <c r="B26" s="5" t="s">
        <v>44</v>
      </c>
      <c r="C26" s="2">
        <v>9</v>
      </c>
      <c r="D26" s="30"/>
    </row>
    <row r="27" spans="2:6" ht="14.25" x14ac:dyDescent="0.45">
      <c r="B27" s="5" t="s">
        <v>45</v>
      </c>
      <c r="C27" s="2">
        <v>90</v>
      </c>
      <c r="D27" s="30"/>
    </row>
    <row r="29" spans="2:6" ht="13.15" x14ac:dyDescent="0.4">
      <c r="B29" s="43" t="s">
        <v>34</v>
      </c>
      <c r="C29" s="44"/>
      <c r="D29" s="25" t="str" cm="1">
        <f t="array" ref="D29">[1]!encode_json(B30:C32)</f>
        <v>{"show_log":1,"gas_goes_into_solution":1,"show_array":1}</v>
      </c>
      <c r="E29" s="12"/>
      <c r="F29" s="12"/>
    </row>
    <row r="30" spans="2:6" x14ac:dyDescent="0.35">
      <c r="B30" s="24" t="s">
        <v>35</v>
      </c>
      <c r="C30" s="24">
        <v>1</v>
      </c>
    </row>
    <row r="31" spans="2:6" x14ac:dyDescent="0.35">
      <c r="B31" s="24" t="s">
        <v>55</v>
      </c>
      <c r="C31" s="24">
        <v>1</v>
      </c>
      <c r="E31" s="24" t="s">
        <v>37</v>
      </c>
      <c r="F31" s="24">
        <v>0</v>
      </c>
    </row>
    <row r="32" spans="2:6" x14ac:dyDescent="0.35">
      <c r="B32" s="24" t="s">
        <v>59</v>
      </c>
      <c r="C32" s="24">
        <v>1</v>
      </c>
    </row>
    <row r="34" spans="2:18" ht="15" customHeight="1" x14ac:dyDescent="0.4">
      <c r="B34" s="26" t="s">
        <v>23</v>
      </c>
      <c r="C34" s="28"/>
      <c r="D34" s="27" t="str">
        <f>[1]!encode_PVT(gamma_gas_,gamma_oil_,gamma_wat_,Rsb_,Pb_,Tres_,Bob_,muob_,F31)</f>
        <v>{"gamma_gas":0.9,"gamma_oil":0.9,"gamma_wat":1.1,"rsb_m3m3":80,"pb_atma":130,"t_res_C":90,"bob_m3m3":1.2,"muob_cP":1,"PVT_corr_set":0}</v>
      </c>
      <c r="E34" s="16"/>
      <c r="F34" s="16"/>
      <c r="G34" s="16"/>
      <c r="H34" s="16"/>
      <c r="I34" s="16"/>
      <c r="J34" s="16"/>
      <c r="K34" s="16"/>
      <c r="L34" s="17"/>
      <c r="M34" s="16"/>
      <c r="N34" s="16"/>
      <c r="O34" s="16"/>
      <c r="P34" s="17"/>
    </row>
    <row r="35" spans="2:18" ht="15" customHeight="1" x14ac:dyDescent="0.4">
      <c r="B35" s="26" t="s">
        <v>42</v>
      </c>
      <c r="C35" s="28"/>
      <c r="D35" s="27" t="str" cm="1">
        <f t="array" ref="D35">[1]!encode_feed(Qliq,fw,rp,Qgas,PVT_str_)</f>
        <v>{"gamma_gas":0.9,"gamma_oil":0.9,"gamma_wat":1.1,"rsb_m3m3":80,"pb_atma":130,"t_res_C":90,"bob_m3m3":1.2,"muob_cP":1,"PVT_corr_set":0,"q_liq_sm3day":15,"fw_perc":1,"rp_m3m3":80,"q_gas_free_sm3day":1000}</v>
      </c>
      <c r="E35" s="16"/>
      <c r="F35" s="16"/>
      <c r="G35" s="16"/>
      <c r="H35" s="16"/>
      <c r="I35" s="16"/>
      <c r="J35" s="16"/>
      <c r="K35" s="16"/>
      <c r="L35" s="17"/>
      <c r="M35" s="16"/>
      <c r="N35" s="16"/>
      <c r="O35" s="16"/>
      <c r="P35" s="17"/>
    </row>
    <row r="37" spans="2:18" ht="13.15" x14ac:dyDescent="0.4">
      <c r="B37" s="33" t="s">
        <v>58</v>
      </c>
      <c r="C37" s="28"/>
      <c r="D37" s="34" t="str" cm="1">
        <f t="array" ref="D37:E38">[1]!feed_mod_separate_gas(Ksep,Psep,Tsep,feed_,param)</f>
        <v>{"gamma_gas":0.9,"gamma_oil":0.9,"gamma_wat":1.1,"rsb_m3m3":64.639,"pb_atma":109.379,"t_res_C":90,"bob_m3m3":1.168,"muob_cP":1.148,"PVT_corr_set":0,"q_liq_sm3day":15,"fw_perc":1,"rp_m3m3":64.639,"q_gas_free_sm3day":800}</v>
      </c>
      <c r="E37" s="19" t="str">
        <v>["CPVT object created "]</v>
      </c>
      <c r="F37" s="20"/>
      <c r="H37" t="str" cm="1">
        <f t="array" ref="H37:I38">[1]!feed_mod_separate_gas(Ksep,Psep,Tsep,feed_,param)</f>
        <v>{"gamma_gas":0.9,"gamma_oil":0.9,"gamma_wat":1.1,"rsb_m3m3":64.639,"pb_atma":109.379,"t_res_C":90,"bob_m3m3":1.168,"muob_cP":1.148,"PVT_corr_set":0,"q_liq_sm3day":15,"fw_perc":1,"rp_m3m3":64.639,"q_gas_free_sm3day":800}</v>
      </c>
      <c r="I37" t="str">
        <v>["CPVT object created "]</v>
      </c>
    </row>
    <row r="38" spans="2:18" ht="13.15" x14ac:dyDescent="0.4">
      <c r="B38" s="26"/>
      <c r="C38" s="28"/>
      <c r="D38" s="35" t="str">
        <v>fluid after separation</v>
      </c>
      <c r="E38" s="36" t="str">
        <v>log</v>
      </c>
      <c r="F38" s="37"/>
      <c r="H38" t="str">
        <v>fluid after separation</v>
      </c>
      <c r="I38" t="str">
        <v>log</v>
      </c>
      <c r="N38" s="1" t="s">
        <v>64</v>
      </c>
    </row>
    <row r="39" spans="2:18" x14ac:dyDescent="0.35">
      <c r="N39" t="s">
        <v>61</v>
      </c>
      <c r="O39">
        <v>0.9</v>
      </c>
      <c r="Q39" t="str" cm="1">
        <f t="array" ref="Q39">[1]!feed_mod_split(O39,O40,O41,Psep,Tsep,feed_)</f>
        <v>{"feed1":{"gamma_gas":0.9,"gamma_oil":0.9,"gamma_wat":1.1,"rsb_m3m3":3.194,"pb_atma":8.413,"t_res_C":90,"bob_m3m3":1.05,"muob_cP":3.606,"PVT_corr_set":0,"q_liq_sm3day":7.5,"fw_perc":1,"rp_m3m3":10.875,"q_gas_free_sm3day":100},"feed2":{"gamma_gas":0.9,"gamma_oil":0.9,"gamma_wat":1.1,"rsb_m3m3":3.194,"pb_atma":8.413,"t_res_C":90,"bob_m3m3":1.05,"muob_cP":3.606,"PVT_corr_set":0,"q_liq_sm3day":7.5,"fw_perc":1,"rp_m3m3":10.875,"q_gas_free_sm3day":1926.506}}</v>
      </c>
    </row>
    <row r="40" spans="2:18" x14ac:dyDescent="0.35">
      <c r="N40" t="s">
        <v>62</v>
      </c>
      <c r="O40">
        <v>0.5</v>
      </c>
    </row>
    <row r="41" spans="2:18" x14ac:dyDescent="0.35">
      <c r="N41" t="s">
        <v>63</v>
      </c>
      <c r="O41">
        <v>0.5</v>
      </c>
      <c r="Q41" t="str" cm="1">
        <f t="array" ref="Q41:R42">[1]!decode_json(Q39)</f>
        <v>feed1</v>
      </c>
      <c r="R41" t="str">
        <v>{"gamma_gas":0.9,"gamma_oil":0.9,"gamma_wat":1.1,"rsb_m3m3":3.194,"pb_atma":8.413,"t_res_C":90,"bob_m3m3":1.05,"muob_cP":3.606,"PVT_corr_set":0,"q_liq_sm3day":7.5,"fw_perc":1,"rp_m3m3":10.875,"q_gas_free_sm3day":100}</v>
      </c>
    </row>
    <row r="42" spans="2:18" x14ac:dyDescent="0.35">
      <c r="B42" t="s">
        <v>47</v>
      </c>
      <c r="D42" t="s">
        <v>46</v>
      </c>
      <c r="G42" t="s">
        <v>50</v>
      </c>
      <c r="J42" t="s">
        <v>51</v>
      </c>
      <c r="Q42" t="str">
        <v>feed2</v>
      </c>
      <c r="R42" t="str">
        <v>{"gamma_gas":0.9,"gamma_oil":0.9,"gamma_wat":1.1,"rsb_m3m3":3.194,"pb_atma":8.413,"t_res_C":90,"bob_m3m3":1.05,"muob_cP":3.606,"PVT_corr_set":0,"q_liq_sm3day":7.5,"fw_perc":1,"rp_m3m3":10.875,"q_gas_free_sm3day":1926.506}</v>
      </c>
    </row>
    <row r="44" spans="2:18" x14ac:dyDescent="0.35">
      <c r="B44" t="str" cm="1">
        <f t="array" ref="B44:C52">[1]!decode_json(PVT_str_)</f>
        <v>gamma_gas</v>
      </c>
      <c r="C44">
        <v>0.9</v>
      </c>
      <c r="D44" t="str" cm="1">
        <f t="array" ref="D44:E56">[1]!decode_json(feed_)</f>
        <v>gamma_gas</v>
      </c>
      <c r="E44" s="39">
        <v>0.9</v>
      </c>
      <c r="G44" t="str" cm="1">
        <f t="array" ref="G44:H56">[1]!decode_json(PVT_mod,,,,0)</f>
        <v>gamma_gas</v>
      </c>
      <c r="H44" s="39">
        <v>0.9</v>
      </c>
      <c r="J44" s="32">
        <f>(H44-E44)/H44</f>
        <v>0</v>
      </c>
      <c r="O44" t="str" cm="1">
        <f t="array" ref="O44:P56">[1]!decode_json(R41)</f>
        <v>gamma_gas</v>
      </c>
      <c r="P44">
        <v>0.9</v>
      </c>
      <c r="Q44" t="str" cm="1">
        <f t="array" ref="Q44:R56">[1]!decode_json(R42)</f>
        <v>gamma_gas</v>
      </c>
      <c r="R44">
        <v>0.9</v>
      </c>
    </row>
    <row r="45" spans="2:18" x14ac:dyDescent="0.35">
      <c r="B45" t="str">
        <v>gamma_oil</v>
      </c>
      <c r="C45">
        <v>0.9</v>
      </c>
      <c r="D45" t="str">
        <v>gamma_oil</v>
      </c>
      <c r="E45" s="39">
        <v>0.9</v>
      </c>
      <c r="G45" t="str">
        <v>gamma_oil</v>
      </c>
      <c r="H45" s="39">
        <v>0.9</v>
      </c>
      <c r="J45" s="32">
        <f t="shared" ref="J45:J56" si="0">(H45-E45)/H45</f>
        <v>0</v>
      </c>
      <c r="O45" t="str">
        <v>gamma_oil</v>
      </c>
      <c r="P45">
        <v>0.9</v>
      </c>
      <c r="Q45" t="str">
        <v>gamma_oil</v>
      </c>
      <c r="R45">
        <v>0.9</v>
      </c>
    </row>
    <row r="46" spans="2:18" x14ac:dyDescent="0.35">
      <c r="B46" t="str">
        <v>gamma_wat</v>
      </c>
      <c r="C46">
        <v>1.1000000000000001</v>
      </c>
      <c r="D46" t="str">
        <v>gamma_wat</v>
      </c>
      <c r="E46" s="39">
        <v>1.1000000000000001</v>
      </c>
      <c r="G46" t="str">
        <v>gamma_wat</v>
      </c>
      <c r="H46" s="39">
        <v>1.1000000000000001</v>
      </c>
      <c r="J46" s="32">
        <f t="shared" si="0"/>
        <v>0</v>
      </c>
      <c r="O46" t="str">
        <v>gamma_wat</v>
      </c>
      <c r="P46">
        <v>1.1000000000000001</v>
      </c>
      <c r="Q46" t="str">
        <v>gamma_wat</v>
      </c>
      <c r="R46">
        <v>1.1000000000000001</v>
      </c>
    </row>
    <row r="47" spans="2:18" x14ac:dyDescent="0.35">
      <c r="B47" t="str">
        <v>rsb_m3m3</v>
      </c>
      <c r="C47">
        <v>80</v>
      </c>
      <c r="D47" t="str">
        <v>rsb_m3m3</v>
      </c>
      <c r="E47" s="39">
        <v>80</v>
      </c>
      <c r="G47" t="str">
        <v>rsb_m3m3</v>
      </c>
      <c r="H47" s="42">
        <v>64.638999999999996</v>
      </c>
      <c r="J47" s="32">
        <f t="shared" si="0"/>
        <v>-0.23764290907965788</v>
      </c>
      <c r="L47" s="38">
        <f>H47*1</f>
        <v>64.638999999999996</v>
      </c>
      <c r="O47" t="str">
        <v>rsb_m3m3</v>
      </c>
      <c r="P47">
        <v>3.194</v>
      </c>
      <c r="Q47" t="str">
        <v>rsb_m3m3</v>
      </c>
      <c r="R47">
        <v>3.194</v>
      </c>
    </row>
    <row r="48" spans="2:18" x14ac:dyDescent="0.35">
      <c r="B48" t="str">
        <v>pb_atma</v>
      </c>
      <c r="C48">
        <v>130</v>
      </c>
      <c r="D48" t="str">
        <v>pb_atma</v>
      </c>
      <c r="E48" s="39">
        <v>130</v>
      </c>
      <c r="G48" t="str">
        <v>pb_atma</v>
      </c>
      <c r="H48" s="40">
        <v>109.379</v>
      </c>
      <c r="J48" s="32">
        <f t="shared" si="0"/>
        <v>-0.18852796240594624</v>
      </c>
      <c r="O48" t="str">
        <v>pb_atma</v>
      </c>
      <c r="P48">
        <v>8.4130000000000003</v>
      </c>
      <c r="Q48" t="str">
        <v>pb_atma</v>
      </c>
      <c r="R48">
        <v>8.4130000000000003</v>
      </c>
    </row>
    <row r="49" spans="2:27" x14ac:dyDescent="0.35">
      <c r="B49" t="str">
        <v>t_res_C</v>
      </c>
      <c r="C49">
        <v>90</v>
      </c>
      <c r="D49" t="str">
        <v>t_res_C</v>
      </c>
      <c r="E49" s="39">
        <v>90</v>
      </c>
      <c r="G49" t="str">
        <v>t_res_C</v>
      </c>
      <c r="H49" s="40">
        <v>90</v>
      </c>
      <c r="J49" s="32">
        <f t="shared" si="0"/>
        <v>0</v>
      </c>
      <c r="O49" t="str">
        <v>t_res_C</v>
      </c>
      <c r="P49">
        <v>90</v>
      </c>
      <c r="Q49" t="str">
        <v>t_res_C</v>
      </c>
      <c r="R49">
        <v>90</v>
      </c>
    </row>
    <row r="50" spans="2:27" x14ac:dyDescent="0.35">
      <c r="B50" t="str">
        <v>bob_m3m3</v>
      </c>
      <c r="C50">
        <v>1.2</v>
      </c>
      <c r="D50" t="str">
        <v>bob_m3m3</v>
      </c>
      <c r="E50" s="39">
        <v>1.2</v>
      </c>
      <c r="G50" t="str">
        <v>bob_m3m3</v>
      </c>
      <c r="H50" s="41">
        <v>1.1679999999999999</v>
      </c>
      <c r="J50" s="32">
        <f t="shared" si="0"/>
        <v>-2.7397260273972629E-2</v>
      </c>
      <c r="O50" t="str">
        <v>bob_m3m3</v>
      </c>
      <c r="P50">
        <v>1.05</v>
      </c>
      <c r="Q50" t="str">
        <v>bob_m3m3</v>
      </c>
      <c r="R50">
        <v>1.05</v>
      </c>
    </row>
    <row r="51" spans="2:27" x14ac:dyDescent="0.35">
      <c r="B51" t="str">
        <v>muob_cP</v>
      </c>
      <c r="C51">
        <v>1</v>
      </c>
      <c r="D51" t="str">
        <v>muob_cP</v>
      </c>
      <c r="E51" s="39">
        <v>1</v>
      </c>
      <c r="G51" t="str">
        <v>muob_cP</v>
      </c>
      <c r="H51" s="41">
        <v>1.1479999999999999</v>
      </c>
      <c r="J51" s="32">
        <f t="shared" si="0"/>
        <v>0.12891986062717764</v>
      </c>
      <c r="O51" t="str">
        <v>muob_cP</v>
      </c>
      <c r="P51">
        <v>3.6059999999999999</v>
      </c>
      <c r="Q51" t="str">
        <v>muob_cP</v>
      </c>
      <c r="R51">
        <v>3.6059999999999999</v>
      </c>
    </row>
    <row r="52" spans="2:27" x14ac:dyDescent="0.35">
      <c r="B52" t="str">
        <v>PVT_corr_set</v>
      </c>
      <c r="C52">
        <v>0</v>
      </c>
      <c r="D52" t="str">
        <v>PVT_corr_set</v>
      </c>
      <c r="E52" s="39">
        <v>0</v>
      </c>
      <c r="G52" t="str">
        <v>PVT_corr_set</v>
      </c>
      <c r="H52" s="39">
        <v>0</v>
      </c>
      <c r="J52" s="32"/>
      <c r="O52" t="str">
        <v>PVT_corr_set</v>
      </c>
      <c r="P52">
        <v>0</v>
      </c>
      <c r="Q52" t="str">
        <v>PVT_corr_set</v>
      </c>
      <c r="R52">
        <v>0</v>
      </c>
    </row>
    <row r="53" spans="2:27" x14ac:dyDescent="0.35">
      <c r="D53" t="str">
        <v>q_liq_sm3day</v>
      </c>
      <c r="E53" s="39">
        <v>15</v>
      </c>
      <c r="G53" t="str">
        <v>q_liq_sm3day</v>
      </c>
      <c r="H53" s="39">
        <v>15</v>
      </c>
      <c r="J53" s="32">
        <f t="shared" si="0"/>
        <v>0</v>
      </c>
      <c r="O53" t="str">
        <v>q_liq_sm3day</v>
      </c>
      <c r="P53">
        <v>7.5</v>
      </c>
      <c r="Q53" t="str">
        <v>q_liq_sm3day</v>
      </c>
      <c r="R53">
        <v>7.5</v>
      </c>
      <c r="T53">
        <f>R53+P53</f>
        <v>15</v>
      </c>
    </row>
    <row r="54" spans="2:27" x14ac:dyDescent="0.35">
      <c r="D54" t="str">
        <v>fw_perc</v>
      </c>
      <c r="E54" s="39">
        <v>1</v>
      </c>
      <c r="G54" t="str">
        <v>fw_perc</v>
      </c>
      <c r="H54" s="40">
        <v>1</v>
      </c>
      <c r="J54" s="32">
        <f t="shared" si="0"/>
        <v>0</v>
      </c>
      <c r="O54" t="str">
        <v>fw_perc</v>
      </c>
      <c r="P54">
        <v>1</v>
      </c>
      <c r="Q54" t="str">
        <v>fw_perc</v>
      </c>
      <c r="R54">
        <v>1</v>
      </c>
    </row>
    <row r="55" spans="2:27" x14ac:dyDescent="0.35">
      <c r="D55" t="str">
        <v>rp_m3m3</v>
      </c>
      <c r="E55" s="39">
        <v>80</v>
      </c>
      <c r="G55" t="str">
        <v>rp_m3m3</v>
      </c>
      <c r="H55" s="40">
        <v>64.638999999999996</v>
      </c>
      <c r="J55" s="32">
        <f t="shared" si="0"/>
        <v>-0.23764290907965788</v>
      </c>
      <c r="O55" t="str">
        <v>rp_m3m3</v>
      </c>
      <c r="P55">
        <v>10.875</v>
      </c>
      <c r="Q55" t="str">
        <v>rp_m3m3</v>
      </c>
      <c r="R55">
        <v>10.875</v>
      </c>
    </row>
    <row r="56" spans="2:27" x14ac:dyDescent="0.35">
      <c r="D56" t="str">
        <v>q_gas_free_sm3day</v>
      </c>
      <c r="E56" s="39">
        <v>1000</v>
      </c>
      <c r="G56" t="str">
        <v>q_gas_free_sm3day</v>
      </c>
      <c r="H56" s="39">
        <v>800</v>
      </c>
      <c r="J56" s="32">
        <f t="shared" si="0"/>
        <v>-0.25</v>
      </c>
      <c r="O56" t="str">
        <v>q_gas_free_sm3day</v>
      </c>
      <c r="P56">
        <v>100</v>
      </c>
      <c r="Q56" t="str">
        <v>q_gas_free_sm3day</v>
      </c>
      <c r="R56">
        <v>1926.5060000000001</v>
      </c>
    </row>
    <row r="59" spans="2:27" x14ac:dyDescent="0.35">
      <c r="P59">
        <f>P53*(1-P54/100)</f>
        <v>7.4249999999999998</v>
      </c>
      <c r="R59">
        <f>R53*(1-R54/100)</f>
        <v>7.4249999999999998</v>
      </c>
      <c r="T59">
        <f>R59+P59</f>
        <v>14.85</v>
      </c>
    </row>
    <row r="60" spans="2:27" x14ac:dyDescent="0.35">
      <c r="P60">
        <f>P59*P55+P56</f>
        <v>180.74687499999999</v>
      </c>
      <c r="R60">
        <f>R59*R55+R56</f>
        <v>2007.2528750000001</v>
      </c>
      <c r="T60">
        <f>R60+P60</f>
        <v>2187.9997499999999</v>
      </c>
    </row>
    <row r="61" spans="2:27" x14ac:dyDescent="0.35">
      <c r="B61" t="s">
        <v>36</v>
      </c>
    </row>
    <row r="63" spans="2:27" s="22" customFormat="1" x14ac:dyDescent="0.35">
      <c r="B63" s="23" t="s">
        <v>0</v>
      </c>
      <c r="C63" s="23" t="s">
        <v>4</v>
      </c>
      <c r="D63" s="23" t="s">
        <v>48</v>
      </c>
      <c r="E63" s="23" t="s">
        <v>49</v>
      </c>
      <c r="F63" s="23" t="s">
        <v>52</v>
      </c>
      <c r="G63" s="23" t="s">
        <v>53</v>
      </c>
      <c r="H63" s="23" t="s">
        <v>54</v>
      </c>
      <c r="I63" s="23" t="s">
        <v>56</v>
      </c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2:27" x14ac:dyDescent="0.35">
      <c r="B64" s="9">
        <v>1</v>
      </c>
      <c r="C64" s="9">
        <v>90</v>
      </c>
      <c r="D64" s="29">
        <f>[1]!PVT_rs_m3m3(B64,C64,PVT_str_)</f>
        <v>0.22669290347940754</v>
      </c>
      <c r="E64" s="29">
        <f>[1]!PVT_rs_m3m3(B64,C64,PVT_mod)</f>
        <v>0.22553650908223033</v>
      </c>
      <c r="F64" s="29">
        <f>[1]!PVT_bo_m3m3(B64,C64,PVT_str_)</f>
        <v>1.0449781318661093</v>
      </c>
      <c r="G64" s="29">
        <f>[1]!PVT_bo_m3m3(B64,C64,PVT_mod)</f>
        <v>1.0449212363182956</v>
      </c>
      <c r="H64" s="29">
        <f>[1]!PVT_mu_oil_cP(B64,C64,PVT_str_)</f>
        <v>4.0490857411760421</v>
      </c>
      <c r="I64" s="29">
        <f>[1]!PVT_mu_oil_cP(B64,C64,PVT_mod)</f>
        <v>4.0573330177287996</v>
      </c>
    </row>
    <row r="65" spans="2:9" x14ac:dyDescent="0.35">
      <c r="B65" s="9">
        <v>5</v>
      </c>
      <c r="C65" s="9">
        <v>90</v>
      </c>
      <c r="D65" s="29">
        <f>[1]!PVT_rs_m3m3(B65,C65,PVT_str_)</f>
        <v>1.5739749280185453</v>
      </c>
      <c r="E65" s="29">
        <f>[1]!PVT_rs_m3m3(B65,C65,PVT_mod)</f>
        <v>1.5659458465602309</v>
      </c>
      <c r="F65" s="29">
        <f>[1]!PVT_bo_m3m3(B65,C65,PVT_str_)</f>
        <v>1.0473336993287123</v>
      </c>
      <c r="G65" s="29">
        <f>[1]!PVT_bo_m3m3(B65,C65,PVT_mod)</f>
        <v>1.0472618854426599</v>
      </c>
      <c r="H65" s="29">
        <f>[1]!PVT_mu_oil_cP(B65,C65,PVT_str_)</f>
        <v>3.8121051955233352</v>
      </c>
      <c r="I65" s="29">
        <f>[1]!PVT_mu_oil_cP(B65,C65,PVT_mod)</f>
        <v>3.8209917339765038</v>
      </c>
    </row>
    <row r="66" spans="2:9" x14ac:dyDescent="0.35">
      <c r="B66" s="9">
        <v>10</v>
      </c>
      <c r="C66" s="9">
        <v>90</v>
      </c>
      <c r="D66" s="29">
        <f>[1]!PVT_rs_m3m3(B66,C66,PVT_str_)</f>
        <v>3.6260845379045641</v>
      </c>
      <c r="E66" s="29">
        <f>[1]!PVT_rs_m3m3(B66,C66,PVT_mod)</f>
        <v>3.6075873384820669</v>
      </c>
      <c r="F66" s="29">
        <f>[1]!PVT_bo_m3m3(B66,C66,PVT_str_)</f>
        <v>1.0509454543732326</v>
      </c>
      <c r="G66" s="29">
        <f>[1]!PVT_bo_m3m3(B66,C66,PVT_mod)</f>
        <v>1.0508506497929331</v>
      </c>
      <c r="H66" s="29">
        <f>[1]!PVT_mu_oil_cP(B66,C66,PVT_str_)</f>
        <v>3.5033183374876642</v>
      </c>
      <c r="I66" s="29">
        <f>[1]!PVT_mu_oil_cP(B66,C66,PVT_mod)</f>
        <v>3.512813619790613</v>
      </c>
    </row>
    <row r="67" spans="2:9" x14ac:dyDescent="0.35">
      <c r="B67" s="9">
        <v>15</v>
      </c>
      <c r="C67" s="9">
        <v>90</v>
      </c>
      <c r="D67" s="29">
        <f>[1]!PVT_rs_m3m3(B67,C67,PVT_str_)</f>
        <v>5.9081539167700603</v>
      </c>
      <c r="E67" s="29">
        <f>[1]!PVT_rs_m3m3(B67,C67,PVT_mod)</f>
        <v>5.8780155402168033</v>
      </c>
      <c r="F67" s="29">
        <f>[1]!PVT_bo_m3m3(B67,C67,PVT_str_)</f>
        <v>1.0549946661426226</v>
      </c>
      <c r="G67" s="29">
        <f>[1]!PVT_bo_m3m3(B67,C67,PVT_mod)</f>
        <v>1.0548739327123755</v>
      </c>
      <c r="H67" s="29">
        <f>[1]!PVT_mu_oil_cP(B67,C67,PVT_str_)</f>
        <v>3.2175112644124089</v>
      </c>
      <c r="I67" s="29">
        <f>[1]!PVT_mu_oil_cP(B67,C67,PVT_mod)</f>
        <v>3.2273445426284439</v>
      </c>
    </row>
    <row r="68" spans="2:9" x14ac:dyDescent="0.35">
      <c r="B68" s="9">
        <v>20</v>
      </c>
      <c r="C68" s="9">
        <v>90</v>
      </c>
      <c r="D68" s="29">
        <f>[1]!PVT_rs_m3m3(B68,C68,PVT_str_)</f>
        <v>8.3536839386526971</v>
      </c>
      <c r="E68" s="29">
        <f>[1]!PVT_rs_m3m3(B68,C68,PVT_mod)</f>
        <v>8.3110705477870042</v>
      </c>
      <c r="F68" s="29">
        <f>[1]!PVT_bo_m3m3(B68,C68,PVT_str_)</f>
        <v>1.0593707055889123</v>
      </c>
      <c r="G68" s="29">
        <f>[1]!PVT_bo_m3m3(B68,C68,PVT_mod)</f>
        <v>1.0592217857897355</v>
      </c>
      <c r="H68" s="29">
        <f>[1]!PVT_mu_oil_cP(B68,C68,PVT_str_)</f>
        <v>2.9623106461132691</v>
      </c>
      <c r="I68" s="29">
        <f>[1]!PVT_mu_oil_cP(B68,C68,PVT_mod)</f>
        <v>2.9722632435623901</v>
      </c>
    </row>
    <row r="69" spans="2:9" x14ac:dyDescent="0.35">
      <c r="B69" s="9">
        <v>25</v>
      </c>
      <c r="C69" s="9">
        <v>90</v>
      </c>
      <c r="D69" s="29">
        <f>[1]!PVT_rs_m3m3(B69,C69,PVT_str_)</f>
        <v>10.928428001082219</v>
      </c>
      <c r="E69" s="29">
        <f>[1]!PVT_rs_m3m3(B69,C69,PVT_mod)</f>
        <v>10.872680455762373</v>
      </c>
      <c r="F69" s="29">
        <f>[1]!PVT_bo_m3m3(B69,C69,PVT_str_)</f>
        <v>1.0640174806616243</v>
      </c>
      <c r="G69" s="29">
        <f>[1]!PVT_bo_m3m3(B69,C69,PVT_mod)</f>
        <v>1.0638384620767705</v>
      </c>
      <c r="H69" s="29">
        <f>[1]!PVT_mu_oil_cP(B69,C69,PVT_str_)</f>
        <v>2.737156093235467</v>
      </c>
      <c r="I69" s="29">
        <f>[1]!PVT_mu_oil_cP(B69,C69,PVT_mod)</f>
        <v>2.7470716539741242</v>
      </c>
    </row>
    <row r="70" spans="2:9" x14ac:dyDescent="0.35">
      <c r="B70" s="9">
        <v>30</v>
      </c>
      <c r="C70" s="9">
        <v>90</v>
      </c>
      <c r="D70" s="29">
        <f>[1]!PVT_rs_m3m3(B70,C70,PVT_str_)</f>
        <v>13.611058971650774</v>
      </c>
      <c r="E70" s="29">
        <f>[1]!PVT_rs_m3m3(B70,C70,PVT_mod)</f>
        <v>13.54162692462644</v>
      </c>
      <c r="F70" s="29">
        <f>[1]!PVT_bo_m3m3(B70,C70,PVT_str_)</f>
        <v>1.0689003869335227</v>
      </c>
      <c r="G70" s="29">
        <f>[1]!PVT_bo_m3m3(B70,C70,PVT_mod)</f>
        <v>1.068689571727462</v>
      </c>
      <c r="H70" s="29">
        <f>[1]!PVT_mu_oil_cP(B70,C70,PVT_str_)</f>
        <v>2.5391166461134889</v>
      </c>
      <c r="I70" s="29">
        <f>[1]!PVT_mu_oil_cP(B70,C70,PVT_mod)</f>
        <v>2.5488899451736553</v>
      </c>
    </row>
    <row r="71" spans="2:9" x14ac:dyDescent="0.35">
      <c r="B71" s="9">
        <v>35</v>
      </c>
      <c r="C71" s="9">
        <v>90</v>
      </c>
      <c r="D71" s="29">
        <f>[1]!PVT_rs_m3m3(B71,C71,PVT_str_)</f>
        <v>16.386864036558723</v>
      </c>
      <c r="E71" s="29">
        <f>[1]!PVT_rs_m3m3(B71,C71,PVT_mod)</f>
        <v>16.303272192842709</v>
      </c>
      <c r="F71" s="29">
        <f>[1]!PVT_bo_m3m3(B71,C71,PVT_str_)</f>
        <v>1.0739956464706797</v>
      </c>
      <c r="G71" s="29">
        <f>[1]!PVT_bo_m3m3(B71,C71,PVT_mod)</f>
        <v>1.0737514862659259</v>
      </c>
      <c r="H71" s="29">
        <f>[1]!PVT_mu_oil_cP(B71,C71,PVT_str_)</f>
        <v>2.3647559671748182</v>
      </c>
      <c r="I71" s="29">
        <f>[1]!PVT_mu_oil_cP(B71,C71,PVT_mod)</f>
        <v>2.3743195672745485</v>
      </c>
    </row>
    <row r="72" spans="2:9" x14ac:dyDescent="0.35">
      <c r="B72" s="9">
        <v>40</v>
      </c>
      <c r="C72" s="9">
        <v>90</v>
      </c>
      <c r="D72" s="29">
        <f>[1]!PVT_rs_m3m3(B72,C72,PVT_str_)</f>
        <v>19.245010594052701</v>
      </c>
      <c r="E72" s="29">
        <f>[1]!PVT_rs_m3m3(B72,C72,PVT_mod)</f>
        <v>19.14683891737911</v>
      </c>
      <c r="F72" s="29">
        <f>[1]!PVT_bo_m3m3(B72,C72,PVT_str_)</f>
        <v>1.0792857389938615</v>
      </c>
      <c r="G72" s="29">
        <f>[1]!PVT_bo_m3m3(B72,C72,PVT_mod)</f>
        <v>1.0790067974512489</v>
      </c>
      <c r="H72" s="29">
        <f>[1]!PVT_mu_oil_cP(B72,C72,PVT_str_)</f>
        <v>2.2107917729489381</v>
      </c>
      <c r="I72" s="29">
        <f>[1]!PVT_mu_oil_cP(B72,C72,PVT_mod)</f>
        <v>2.2201049342132562</v>
      </c>
    </row>
    <row r="73" spans="2:9" x14ac:dyDescent="0.35">
      <c r="B73" s="9">
        <v>45</v>
      </c>
      <c r="C73" s="9">
        <v>90</v>
      </c>
      <c r="D73" s="29">
        <f>[1]!PVT_rs_m3m3(B73,C73,PVT_str_)</f>
        <v>22.177152941177035</v>
      </c>
      <c r="E73" s="29">
        <f>[1]!PVT_rs_m3m3(B73,C73,PVT_mod)</f>
        <v>22.064023967958658</v>
      </c>
      <c r="F73" s="29">
        <f>[1]!PVT_bo_m3m3(B73,C73,PVT_str_)</f>
        <v>1.0847571022963822</v>
      </c>
      <c r="G73" s="29">
        <f>[1]!PVT_bo_m3m3(B73,C73,PVT_mod)</f>
        <v>1.0844420314843837</v>
      </c>
      <c r="H73" s="29">
        <f>[1]!PVT_mu_oil_cP(B73,C73,PVT_str_)</f>
        <v>2.074310342172208</v>
      </c>
      <c r="I73" s="29">
        <f>[1]!PVT_mu_oil_cP(B73,C73,PVT_mod)</f>
        <v>2.0833507320664784</v>
      </c>
    </row>
    <row r="74" spans="2:9" x14ac:dyDescent="0.35">
      <c r="B74" s="9">
        <v>50</v>
      </c>
      <c r="C74" s="9">
        <v>90</v>
      </c>
      <c r="D74" s="29">
        <f>[1]!PVT_rs_m3m3(B74,C74,PVT_str_)</f>
        <v>25.176642329502599</v>
      </c>
      <c r="E74" s="29">
        <f>[1]!PVT_rs_m3m3(B74,C74,PVT_mod)</f>
        <v>25.048212512412121</v>
      </c>
      <c r="F74" s="29">
        <f>[1]!PVT_bo_m3m3(B74,C74,PVT_str_)</f>
        <v>1.0903988449200401</v>
      </c>
      <c r="G74" s="29">
        <f>[1]!PVT_bo_m3m3(B74,C74,PVT_mod)</f>
        <v>1.0900463693274787</v>
      </c>
      <c r="H74" s="29">
        <f>[1]!PVT_mu_oil_cP(B74,C74,PVT_str_)</f>
        <v>1.9528071143977421</v>
      </c>
      <c r="I74" s="29">
        <f>[1]!PVT_mu_oil_cP(B74,C74,PVT_mod)</f>
        <v>1.9615648791757785</v>
      </c>
    </row>
    <row r="75" spans="2:9" x14ac:dyDescent="0.35">
      <c r="B75" s="9">
        <v>55</v>
      </c>
      <c r="C75" s="9">
        <v>90</v>
      </c>
      <c r="D75" s="29">
        <f>[1]!PVT_rs_m3m3(B75,C75,PVT_str_)</f>
        <v>28.23804351192037</v>
      </c>
      <c r="E75" s="29">
        <f>[1]!PVT_rs_m3m3(B75,C75,PVT_mod)</f>
        <v>28.093997029638686</v>
      </c>
      <c r="F75" s="29">
        <f>[1]!PVT_bo_m3m3(B75,C75,PVT_str_)</f>
        <v>1.0962019681569279</v>
      </c>
      <c r="G75" s="29">
        <f>[1]!PVT_bo_m3m3(B75,C75,PVT_mod)</f>
        <v>1.09581087328867</v>
      </c>
      <c r="H75" s="29">
        <f>[1]!PVT_mu_oil_cP(B75,C75,PVT_str_)</f>
        <v>1.8441609428049683</v>
      </c>
      <c r="I75" s="29">
        <f>[1]!PVT_mu_oil_cP(B75,C75,PVT_mod)</f>
        <v>1.8526345561036865</v>
      </c>
    </row>
    <row r="76" spans="2:9" x14ac:dyDescent="0.35">
      <c r="B76" s="9">
        <v>60</v>
      </c>
      <c r="C76" s="9">
        <v>90</v>
      </c>
      <c r="D76" s="29">
        <f>[1]!PVT_rs_m3m3(B76,C76,PVT_str_)</f>
        <v>31.356821257465761</v>
      </c>
      <c r="E76" s="29">
        <f>[1]!PVT_rs_m3m3(B76,C76,PVT_mod)</f>
        <v>31.196865423565065</v>
      </c>
      <c r="F76" s="29">
        <f>[1]!PVT_bo_m3m3(B76,C76,PVT_str_)</f>
        <v>1.1021588676694387</v>
      </c>
      <c r="G76" s="29">
        <f>[1]!PVT_bo_m3m3(B76,C76,PVT_mod)</f>
        <v>1.1017279915620097</v>
      </c>
      <c r="H76" s="29">
        <f>[1]!PVT_mu_oil_cP(B76,C76,PVT_str_)</f>
        <v>1.7465866135022006</v>
      </c>
      <c r="I76" s="29">
        <f>[1]!PVT_mu_oil_cP(B76,C76,PVT_mod)</f>
        <v>1.7547800006353951</v>
      </c>
    </row>
    <row r="77" spans="2:9" x14ac:dyDescent="0.35">
      <c r="B77" s="9">
        <v>65</v>
      </c>
      <c r="C77" s="9">
        <v>90</v>
      </c>
      <c r="D77" s="29">
        <f>[1]!PVT_rs_m3m3(B77,C77,PVT_str_)</f>
        <v>34.52912764572833</v>
      </c>
      <c r="E77" s="29">
        <f>[1]!PVT_rs_m3m3(B77,C77,PVT_mod)</f>
        <v>34.352989402598176</v>
      </c>
      <c r="F77" s="29">
        <f>[1]!PVT_bo_m3m3(B77,C77,PVT_str_)</f>
        <v>1.108262999178844</v>
      </c>
      <c r="G77" s="29">
        <f>[1]!PVT_bo_m3m3(B77,C77,PVT_mod)</f>
        <v>1.107791225869466</v>
      </c>
      <c r="H77" s="29">
        <f>[1]!PVT_mu_oil_cP(B77,C77,PVT_str_)</f>
        <v>1.6585841043912686</v>
      </c>
      <c r="I77" s="29">
        <f>[1]!PVT_mu_oil_cP(B77,C77,PVT_mod)</f>
        <v>1.666504662705973</v>
      </c>
    </row>
    <row r="78" spans="2:9" x14ac:dyDescent="0.35">
      <c r="B78" s="9">
        <v>70</v>
      </c>
      <c r="C78" s="9">
        <v>90</v>
      </c>
      <c r="D78" s="29">
        <f>[1]!PVT_rs_m3m3(B78,C78,PVT_str_)</f>
        <v>37.751652361142213</v>
      </c>
      <c r="E78" s="29">
        <f>[1]!PVT_rs_m3m3(B78,C78,PVT_mod)</f>
        <v>37.55907553758685</v>
      </c>
      <c r="F78" s="29">
        <f>[1]!PVT_bo_m3m3(B78,C78,PVT_str_)</f>
        <v>1.1145086456315607</v>
      </c>
      <c r="G78" s="29">
        <f>[1]!PVT_bo_m3m3(B78,C78,PVT_mod)</f>
        <v>1.1139948999878704</v>
      </c>
      <c r="H78" s="29">
        <f>[1]!PVT_mu_oil_cP(B78,C78,PVT_str_)</f>
        <v>1.5788917893228054</v>
      </c>
      <c r="I78" s="29">
        <f>[1]!PVT_mu_oil_cP(B78,C78,PVT_mod)</f>
        <v>1.5865490316988164</v>
      </c>
    </row>
    <row r="79" spans="2:9" x14ac:dyDescent="0.35">
      <c r="B79" s="9">
        <v>75</v>
      </c>
      <c r="C79" s="9">
        <v>90</v>
      </c>
      <c r="D79" s="29">
        <f>[1]!PVT_rs_m3m3(B79,C79,PVT_str_)</f>
        <v>41.021514097442306</v>
      </c>
      <c r="E79" s="29">
        <f>[1]!PVT_rs_m3m3(B79,C79,PVT_mod)</f>
        <v>40.812257220240085</v>
      </c>
      <c r="F79" s="29">
        <f>[1]!PVT_bo_m3m3(B79,C79,PVT_str_)</f>
        <v>1.1208907498846015</v>
      </c>
      <c r="G79" s="29">
        <f>[1]!PVT_bo_m3m3(B79,C79,PVT_mod)</f>
        <v>1.1203339934150025</v>
      </c>
      <c r="H79" s="29">
        <f>[1]!PVT_mu_oil_cP(B79,C79,PVT_str_)</f>
        <v>1.5064458940906118</v>
      </c>
      <c r="I79" s="29">
        <f>[1]!PVT_mu_oil_cP(B79,C79,PVT_mod)</f>
        <v>1.5138505239929443</v>
      </c>
    </row>
    <row r="80" spans="2:9" x14ac:dyDescent="0.35">
      <c r="B80" s="9">
        <v>80</v>
      </c>
      <c r="C80" s="9">
        <v>90</v>
      </c>
      <c r="D80" s="29">
        <f>[1]!PVT_rs_m3m3(B80,C80,PVT_str_)</f>
        <v>44.336179760343548</v>
      </c>
      <c r="E80" s="29">
        <f>[1]!PVT_rs_m3m3(B80,C80,PVT_mod)</f>
        <v>44.110014277965504</v>
      </c>
      <c r="F80" s="29">
        <f>[1]!PVT_bo_m3m3(B80,C80,PVT_str_)</f>
        <v>1.12740479123557</v>
      </c>
      <c r="G80" s="29">
        <f>[1]!PVT_bo_m3m3(B80,C80,PVT_mod)</f>
        <v>1.1268040186272219</v>
      </c>
      <c r="H80" s="29">
        <f>[1]!PVT_mu_oil_cP(B80,C80,PVT_str_)</f>
        <v>1.4403464310249634</v>
      </c>
      <c r="I80" s="29">
        <f>[1]!PVT_mu_oil_cP(B80,C80,PVT_mod)</f>
        <v>1.4475097160514705</v>
      </c>
    </row>
    <row r="81" spans="2:9" x14ac:dyDescent="0.35">
      <c r="B81" s="9">
        <v>85</v>
      </c>
      <c r="C81" s="9">
        <v>90</v>
      </c>
      <c r="D81" s="29">
        <f>[1]!PVT_rs_m3m3(B81,C81,PVT_str_)</f>
        <v>47.693403039928306</v>
      </c>
      <c r="E81" s="29">
        <f>[1]!PVT_rs_m3m3(B81,C81,PVT_mod)</f>
        <v>47.450111859608242</v>
      </c>
      <c r="F81" s="29">
        <f>[1]!PVT_bo_m3m3(B81,C81,PVT_str_)</f>
        <v>1.1340466921983325</v>
      </c>
      <c r="G81" s="29">
        <f>[1]!PVT_bo_m3m3(B81,C81,PVT_mod)</f>
        <v>1.1334009284088078</v>
      </c>
      <c r="H81" s="29">
        <f>[1]!PVT_mu_oil_cP(B81,C81,PVT_str_)</f>
        <v>1.3798290247331508</v>
      </c>
      <c r="I81" s="29">
        <f>[1]!PVT_mu_oil_cP(B81,C81,PVT_mod)</f>
        <v>1.3867623766238981</v>
      </c>
    </row>
    <row r="82" spans="2:9" x14ac:dyDescent="0.35">
      <c r="B82" s="9">
        <v>90</v>
      </c>
      <c r="C82" s="9">
        <v>90</v>
      </c>
      <c r="D82" s="29">
        <f>[1]!PVT_rs_m3m3(B82,C82,PVT_str_)</f>
        <v>51.09117683086707</v>
      </c>
      <c r="E82" s="29">
        <f>[1]!PVT_rs_m3m3(B82,C82,PVT_mod)</f>
        <v>50.830553098383234</v>
      </c>
      <c r="F82" s="29">
        <f>[1]!PVT_bo_m3m3(B82,C82,PVT_str_)</f>
        <v>1.1408127466970734</v>
      </c>
      <c r="G82" s="29">
        <f>[1]!PVT_bo_m3m3(B82,C82,PVT_mod)</f>
        <v>1.1401210444766361</v>
      </c>
      <c r="H82" s="29">
        <f>[1]!PVT_mu_oil_cP(B82,C82,PVT_str_)</f>
        <v>1.3242417914648865</v>
      </c>
      <c r="I82" s="29">
        <f>[1]!PVT_mu_oil_cP(B82,C82,PVT_mod)</f>
        <v>1.330956488944923</v>
      </c>
    </row>
    <row r="83" spans="2:9" x14ac:dyDescent="0.35">
      <c r="B83" s="9">
        <v>95</v>
      </c>
      <c r="C83" s="9">
        <v>90</v>
      </c>
      <c r="D83" s="29">
        <f>[1]!PVT_rs_m3m3(B83,C83,PVT_str_)</f>
        <v>54.527695775284499</v>
      </c>
      <c r="E83" s="29">
        <f>[1]!PVT_rs_m3m3(B83,C83,PVT_mod)</f>
        <v>54.249541845815571</v>
      </c>
      <c r="F83" s="29">
        <f>[1]!PVT_bo_m3m3(B83,C83,PVT_str_)</f>
        <v>1.1476995637784009</v>
      </c>
      <c r="G83" s="29">
        <f>[1]!PVT_bo_m3m3(B83,C83,PVT_mod)</f>
        <v>1.1469610015336758</v>
      </c>
      <c r="H83" s="29">
        <f>[1]!PVT_mu_oil_cP(B83,C83,PVT_str_)</f>
        <v>1.2730264267639217</v>
      </c>
      <c r="I83" s="29">
        <f>[1]!PVT_mu_oil_cP(B83,C83,PVT_mod)</f>
        <v>1.2795334371659641</v>
      </c>
    </row>
    <row r="84" spans="2:9" x14ac:dyDescent="0.35">
      <c r="B84" s="9">
        <v>100</v>
      </c>
      <c r="C84" s="9">
        <v>90</v>
      </c>
      <c r="D84" s="29">
        <f>[1]!PVT_rs_m3m3(B84,C84,PVT_str_)</f>
        <v>58.001326350407581</v>
      </c>
      <c r="E84" s="29">
        <f>[1]!PVT_rs_m3m3(B84,C84,PVT_mod)</f>
        <v>57.705452911976153</v>
      </c>
      <c r="F84" s="29">
        <f>[1]!PVT_bo_m3m3(B84,C84,PVT_str_)</f>
        <v>1.1547040227954879</v>
      </c>
      <c r="G84" s="29">
        <f>[1]!PVT_bo_m3m3(B84,C84,PVT_mod)</f>
        <v>1.1539177027283691</v>
      </c>
      <c r="H84" s="29">
        <f>[1]!PVT_mu_oil_cP(B84,C84,PVT_str_)</f>
        <v>1.2257027424908871</v>
      </c>
      <c r="I84" s="29">
        <f>[1]!PVT_mu_oil_cP(B84,C84,PVT_mod)</f>
        <v>1.232012611586049</v>
      </c>
    </row>
    <row r="85" spans="2:9" x14ac:dyDescent="0.35">
      <c r="B85" s="9">
        <v>105</v>
      </c>
      <c r="C85" s="9">
        <v>90</v>
      </c>
      <c r="D85" s="29">
        <f>[1]!PVT_rs_m3m3(B85,C85,PVT_str_)</f>
        <v>61.510582676849417</v>
      </c>
      <c r="E85" s="29">
        <f>[1]!PVT_rs_m3m3(B85,C85,PVT_mod)</f>
        <v>61.196807997171049</v>
      </c>
      <c r="F85" s="29">
        <f>[1]!PVT_bo_m3m3(B85,C85,PVT_str_)</f>
        <v>1.1618232372266026</v>
      </c>
      <c r="G85" s="29">
        <f>[1]!PVT_bo_m3m3(B85,C85,PVT_mod)</f>
        <v>1.1609882836983756</v>
      </c>
      <c r="H85" s="29">
        <f>[1]!PVT_mu_oil_cP(B85,C85,PVT_str_)</f>
        <v>1.1818560080259286</v>
      </c>
      <c r="I85" s="29">
        <f>[1]!PVT_mu_oil_cP(B85,C85,PVT_mod)</f>
        <v>1.1879787967917352</v>
      </c>
    </row>
    <row r="86" spans="2:9" x14ac:dyDescent="0.35">
      <c r="B86" s="9">
        <v>110</v>
      </c>
      <c r="C86" s="9">
        <v>90</v>
      </c>
      <c r="D86" s="29">
        <f>[1]!PVT_rs_m3m3(B86,C86,PVT_str_)</f>
        <v>65.054106731009071</v>
      </c>
      <c r="E86" s="29">
        <f>[1]!PVT_rs_m3m3(B86,C86,PVT_mod)</f>
        <v>64.638999999999996</v>
      </c>
      <c r="F86" s="29">
        <f>[1]!PVT_bo_m3m3(B86,C86,PVT_str_)</f>
        <v>1.1690545250975639</v>
      </c>
      <c r="G86" s="29">
        <f>[1]!PVT_bo_m3m3(B86,C86,PVT_mod)</f>
        <v>1.1678065263335282</v>
      </c>
      <c r="H86" s="29">
        <f>[1]!PVT_mu_oil_cP(B86,C86,PVT_str_)</f>
        <v>1.1411265626195068</v>
      </c>
      <c r="I86" s="29">
        <f>[1]!PVT_mu_oil_cP(B86,C86,PVT_mod)</f>
        <v>1.1491101257417364</v>
      </c>
    </row>
    <row r="87" spans="2:9" x14ac:dyDescent="0.35">
      <c r="B87" s="9">
        <v>115</v>
      </c>
      <c r="C87" s="9">
        <v>90</v>
      </c>
      <c r="D87" s="29">
        <f>[1]!PVT_rs_m3m3(B87,C87,PVT_str_)</f>
        <v>68.63065199458741</v>
      </c>
      <c r="E87" s="29">
        <f>[1]!PVT_rs_m3m3(B87,C87,PVT_mod)</f>
        <v>64.638999999999996</v>
      </c>
      <c r="F87" s="29">
        <f>[1]!PVT_bo_m3m3(B87,C87,PVT_str_)</f>
        <v>1.1763953845289106</v>
      </c>
      <c r="G87" s="29">
        <f>[1]!PVT_bo_m3m3(B87,C87,PVT_mod)</f>
        <v>1.1663259699386459</v>
      </c>
      <c r="H87" s="29">
        <f>[1]!PVT_mu_oil_cP(B87,C87,PVT_str_)</f>
        <v>1.1032012653777108</v>
      </c>
      <c r="I87" s="29">
        <f>[1]!PVT_mu_oil_cP(B87,C87,PVT_mod)</f>
        <v>1.1583201326344101</v>
      </c>
    </row>
    <row r="88" spans="2:9" x14ac:dyDescent="0.35">
      <c r="B88" s="9">
        <v>120</v>
      </c>
      <c r="C88" s="9">
        <v>90</v>
      </c>
      <c r="D88" s="29">
        <f>[1]!PVT_rs_m3m3(B88,C88,PVT_str_)</f>
        <v>72.23906981966492</v>
      </c>
      <c r="E88" s="29">
        <f>[1]!PVT_rs_m3m3(B88,C88,PVT_mod)</f>
        <v>64.638999999999996</v>
      </c>
      <c r="F88" s="29">
        <f>[1]!PVT_bo_m3m3(B88,C88,PVT_str_)</f>
        <v>1.1838434733125451</v>
      </c>
      <c r="G88" s="29">
        <f>[1]!PVT_bo_m3m3(B88,C88,PVT_mod)</f>
        <v>1.1649704422497471</v>
      </c>
      <c r="H88" s="29">
        <f>[1]!PVT_mu_oil_cP(B88,C88,PVT_str_)</f>
        <v>1.0678064332785557</v>
      </c>
      <c r="I88" s="29">
        <f>[1]!PVT_mu_oil_cP(B88,C88,PVT_mod)</f>
        <v>1.1680020788546224</v>
      </c>
    </row>
    <row r="89" spans="2:9" x14ac:dyDescent="0.35">
      <c r="B89" s="9">
        <v>125</v>
      </c>
      <c r="C89" s="9">
        <v>90</v>
      </c>
      <c r="D89" s="29">
        <f>[1]!PVT_rs_m3m3(B89,C89,PVT_str_)</f>
        <v>75.878297963225663</v>
      </c>
      <c r="E89" s="29">
        <f>[1]!PVT_rs_m3m3(B89,C89,PVT_mod)</f>
        <v>64.638999999999996</v>
      </c>
      <c r="F89" s="29">
        <f>[1]!PVT_bo_m3m3(B89,C89,PVT_str_)</f>
        <v>1.1913965916948832</v>
      </c>
      <c r="G89" s="29">
        <f>[1]!PVT_bo_m3m3(B89,C89,PVT_mod)</f>
        <v>1.1637247482315978</v>
      </c>
      <c r="H89" s="29">
        <f>[1]!PVT_mu_oil_cP(B89,C89,PVT_str_)</f>
        <v>1.0347019864467153</v>
      </c>
      <c r="I89" s="29">
        <f>[1]!PVT_mu_oil_cP(B89,C89,PVT_mod)</f>
        <v>1.1781406869042361</v>
      </c>
    </row>
    <row r="90" spans="2:9" x14ac:dyDescent="0.35">
      <c r="B90" s="9">
        <v>130</v>
      </c>
      <c r="C90" s="9">
        <v>90</v>
      </c>
      <c r="D90" s="29">
        <f>[1]!PVT_rs_m3m3(B90,C90,PVT_str_)</f>
        <v>80</v>
      </c>
      <c r="E90" s="29">
        <f>[1]!PVT_rs_m3m3(B90,C90,PVT_mod)</f>
        <v>64.638999999999996</v>
      </c>
      <c r="F90" s="29">
        <f>[1]!PVT_bo_m3m3(B90,C90,PVT_str_)</f>
        <v>1.2</v>
      </c>
      <c r="G90" s="29">
        <f>[1]!PVT_bo_m3m3(B90,C90,PVT_mod)</f>
        <v>1.1625760591210468</v>
      </c>
      <c r="H90" s="29">
        <f>[1]!PVT_mu_oil_cP(B90,C90,PVT_str_)</f>
        <v>1</v>
      </c>
      <c r="I90" s="29">
        <f>[1]!PVT_mu_oil_cP(B90,C90,PVT_mod)</f>
        <v>1.1887219466370866</v>
      </c>
    </row>
    <row r="91" spans="2:9" x14ac:dyDescent="0.35">
      <c r="B91" s="9">
        <v>135</v>
      </c>
      <c r="C91" s="9">
        <v>90</v>
      </c>
      <c r="D91" s="29">
        <f>[1]!PVT_rs_m3m3(B91,C91,PVT_str_)</f>
        <v>80</v>
      </c>
      <c r="E91" s="29">
        <f>[1]!PVT_rs_m3m3(B91,C91,PVT_mod)</f>
        <v>64.638999999999996</v>
      </c>
      <c r="F91" s="29">
        <f>[1]!PVT_bo_m3m3(B91,C91,PVT_str_)</f>
        <v>1.1985049222550408</v>
      </c>
      <c r="G91" s="29">
        <f>[1]!PVT_bo_m3m3(B91,C91,PVT_mod)</f>
        <v>1.1615134690927538</v>
      </c>
      <c r="H91" s="29">
        <f>[1]!PVT_mu_oil_cP(B91,C91,PVT_str_)</f>
        <v>1.0079687761079306</v>
      </c>
      <c r="I91" s="29">
        <f>[1]!PVT_mu_oil_cP(B91,C91,PVT_mod)</f>
        <v>1.1997329612901833</v>
      </c>
    </row>
    <row r="92" spans="2:9" x14ac:dyDescent="0.35">
      <c r="B92" s="9">
        <v>140</v>
      </c>
      <c r="C92" s="9">
        <v>90</v>
      </c>
      <c r="D92" s="29">
        <f>[1]!PVT_rs_m3m3(B92,C92,PVT_str_)</f>
        <v>80</v>
      </c>
      <c r="E92" s="29">
        <f>[1]!PVT_rs_m3m3(B92,C92,PVT_mod)</f>
        <v>64.638999999999996</v>
      </c>
      <c r="F92" s="29">
        <f>[1]!PVT_bo_m3m3(B92,C92,PVT_str_)</f>
        <v>1.1971183037168887</v>
      </c>
      <c r="G92" s="29">
        <f>[1]!PVT_bo_m3m3(B92,C92,PVT_mod)</f>
        <v>1.1605276479943829</v>
      </c>
      <c r="H92" s="29">
        <f>[1]!PVT_mu_oil_cP(B92,C92,PVT_str_)</f>
        <v>1.0162783045416515</v>
      </c>
      <c r="I92" s="29">
        <f>[1]!PVT_mu_oil_cP(B92,C92,PVT_mod)</f>
        <v>1.2111618143764513</v>
      </c>
    </row>
    <row r="93" spans="2:9" x14ac:dyDescent="0.35">
      <c r="B93" s="9">
        <v>145</v>
      </c>
      <c r="C93" s="9">
        <v>90</v>
      </c>
      <c r="D93" s="29">
        <f>[1]!PVT_rs_m3m3(B93,C93,PVT_str_)</f>
        <v>80</v>
      </c>
      <c r="E93" s="29">
        <f>[1]!PVT_rs_m3m3(B93,C93,PVT_mod)</f>
        <v>64.638999999999996</v>
      </c>
      <c r="F93" s="29">
        <f>[1]!PVT_bo_m3m3(B93,C93,PVT_str_)</f>
        <v>1.1958287561970955</v>
      </c>
      <c r="G93" s="29">
        <f>[1]!PVT_bo_m3m3(B93,C93,PVT_mod)</f>
        <v>1.159610566711055</v>
      </c>
      <c r="H93" s="29">
        <f>[1]!PVT_mu_oil_cP(B93,C93,PVT_str_)</f>
        <v>1.0249185414383268</v>
      </c>
      <c r="I93" s="29">
        <f>[1]!PVT_mu_oil_cP(B93,C93,PVT_mod)</f>
        <v>1.2229974540449606</v>
      </c>
    </row>
    <row r="94" spans="2:9" x14ac:dyDescent="0.35">
      <c r="B94" s="9">
        <v>150</v>
      </c>
      <c r="C94" s="9">
        <v>90</v>
      </c>
      <c r="D94" s="29">
        <f>[1]!PVT_rs_m3m3(B94,C94,PVT_str_)</f>
        <v>80</v>
      </c>
      <c r="E94" s="29">
        <f>[1]!PVT_rs_m3m3(B94,C94,PVT_mod)</f>
        <v>64.638999999999996</v>
      </c>
      <c r="F94" s="29">
        <f>[1]!PVT_bo_m3m3(B94,C94,PVT_str_)</f>
        <v>1.1946264318307394</v>
      </c>
      <c r="G94" s="29">
        <f>[1]!PVT_bo_m3m3(B94,C94,PVT_mod)</f>
        <v>1.1587552780347494</v>
      </c>
      <c r="H94" s="29">
        <f>[1]!PVT_mu_oil_cP(B94,C94,PVT_str_)</f>
        <v>1.0338801376872575</v>
      </c>
      <c r="I94" s="29">
        <f>[1]!PVT_mu_oil_cP(B94,C94,PVT_mod)</f>
        <v>1.2352295921594314</v>
      </c>
    </row>
    <row r="95" spans="2:9" x14ac:dyDescent="0.35">
      <c r="B95" s="9">
        <v>155</v>
      </c>
      <c r="C95" s="9">
        <v>90</v>
      </c>
      <c r="D95" s="29">
        <f>[1]!PVT_rs_m3m3(B95,C95,PVT_str_)</f>
        <v>80</v>
      </c>
      <c r="E95" s="29">
        <f>[1]!PVT_rs_m3m3(B95,C95,PVT_mod)</f>
        <v>64.638999999999996</v>
      </c>
      <c r="F95" s="29">
        <f>[1]!PVT_bo_m3m3(B95,C95,PVT_str_)</f>
        <v>1.1935027711871058</v>
      </c>
      <c r="G95" s="29">
        <f>[1]!PVT_bo_m3m3(B95,C95,PVT_mod)</f>
        <v>1.15795574037814</v>
      </c>
      <c r="H95" s="29">
        <f>[1]!PVT_mu_oil_cP(B95,C95,PVT_str_)</f>
        <v>1.0431543616272132</v>
      </c>
      <c r="I95" s="29">
        <f>[1]!PVT_mu_oil_cP(B95,C95,PVT_mod)</f>
        <v>1.247848615851598</v>
      </c>
    </row>
    <row r="96" spans="2:9" x14ac:dyDescent="0.35">
      <c r="B96" s="9">
        <v>160</v>
      </c>
      <c r="C96" s="9">
        <v>90</v>
      </c>
      <c r="D96" s="29">
        <f>[1]!PVT_rs_m3m3(B96,C96,PVT_str_)</f>
        <v>80</v>
      </c>
      <c r="E96" s="29">
        <f>[1]!PVT_rs_m3m3(B96,C96,PVT_mod)</f>
        <v>64.638999999999996</v>
      </c>
      <c r="F96" s="29">
        <f>[1]!PVT_bo_m3m3(B96,C96,PVT_str_)</f>
        <v>1.1924502992419499</v>
      </c>
      <c r="G96" s="29">
        <f>[1]!PVT_bo_m3m3(B96,C96,PVT_mod)</f>
        <v>1.1572066748684808</v>
      </c>
      <c r="H96" s="29">
        <f>[1]!PVT_mu_oil_cP(B96,C96,PVT_str_)</f>
        <v>1.0527330309923049</v>
      </c>
      <c r="I96" s="29">
        <f>[1]!PVT_mu_oil_cP(B96,C96,PVT_mod)</f>
        <v>1.2608455097062277</v>
      </c>
    </row>
    <row r="97" spans="2:9" x14ac:dyDescent="0.35">
      <c r="B97" s="9">
        <v>165</v>
      </c>
      <c r="C97" s="9">
        <v>90</v>
      </c>
      <c r="D97" s="29">
        <f>[1]!PVT_rs_m3m3(B97,C97,PVT_str_)</f>
        <v>80</v>
      </c>
      <c r="E97" s="29">
        <f>[1]!PVT_rs_m3m3(B97,C97,PVT_mod)</f>
        <v>64.638999999999996</v>
      </c>
      <c r="F97" s="29">
        <f>[1]!PVT_bo_m3m3(B97,C97,PVT_str_)</f>
        <v>1.191462458927677</v>
      </c>
      <c r="G97" s="29">
        <f>[1]!PVT_bo_m3m3(B97,C97,PVT_mod)</f>
        <v>1.1565034486733579</v>
      </c>
      <c r="H97" s="29">
        <f>[1]!PVT_mu_oil_cP(B97,C97,PVT_str_)</f>
        <v>1.0626084527885478</v>
      </c>
      <c r="I97" s="29">
        <f>[1]!PVT_mu_oil_cP(B97,C97,PVT_mod)</f>
        <v>1.2742117870537233</v>
      </c>
    </row>
    <row r="98" spans="2:9" x14ac:dyDescent="0.35">
      <c r="B98" s="9">
        <v>170</v>
      </c>
      <c r="C98" s="9">
        <v>90</v>
      </c>
      <c r="D98" s="29">
        <f>[1]!PVT_rs_m3m3(B98,C98,PVT_str_)</f>
        <v>80</v>
      </c>
      <c r="E98" s="29">
        <f>[1]!PVT_rs_m3m3(B98,C98,PVT_mod)</f>
        <v>64.638999999999996</v>
      </c>
      <c r="F98" s="29">
        <f>[1]!PVT_bo_m3m3(B98,C98,PVT_str_)</f>
        <v>1.1905334744276832</v>
      </c>
      <c r="G98" s="29">
        <f>[1]!PVT_bo_m3m3(B98,C98,PVT_mod)</f>
        <v>1.155841979107568</v>
      </c>
      <c r="H98" s="29">
        <f>[1]!PVT_mu_oil_cP(B98,C98,PVT_str_)</f>
        <v>1.0727733700033799</v>
      </c>
      <c r="I98" s="29">
        <f>[1]!PVT_mu_oil_cP(B98,C98,PVT_mod)</f>
        <v>1.2879394291027035</v>
      </c>
    </row>
    <row r="99" spans="2:9" x14ac:dyDescent="0.35">
      <c r="B99" s="9">
        <v>175</v>
      </c>
      <c r="C99" s="9">
        <v>90</v>
      </c>
      <c r="D99" s="29">
        <f>[1]!PVT_rs_m3m3(B99,C99,PVT_str_)</f>
        <v>80</v>
      </c>
      <c r="E99" s="29">
        <f>[1]!PVT_rs_m3m3(B99,C99,PVT_mod)</f>
        <v>64.638999999999996</v>
      </c>
      <c r="F99" s="29">
        <f>[1]!PVT_bo_m3m3(B99,C99,PVT_str_)</f>
        <v>1.1896582381934191</v>
      </c>
      <c r="G99" s="29">
        <f>[1]!PVT_bo_m3m3(B99,C99,PVT_mod)</f>
        <v>1.1552186543274654</v>
      </c>
      <c r="H99" s="29">
        <f>[1]!PVT_mu_oil_cP(B99,C99,PVT_str_)</f>
        <v>1.0832209142287645</v>
      </c>
      <c r="I99" s="29">
        <f>[1]!PVT_mu_oil_cP(B99,C99,PVT_mod)</f>
        <v>1.3020208308524357</v>
      </c>
    </row>
    <row r="100" spans="2:9" x14ac:dyDescent="0.35">
      <c r="B100" s="9">
        <v>180</v>
      </c>
      <c r="C100" s="9">
        <v>90</v>
      </c>
      <c r="D100" s="29">
        <f>[1]!PVT_rs_m3m3(B100,C100,PVT_str_)</f>
        <v>80</v>
      </c>
      <c r="E100" s="29">
        <f>[1]!PVT_rs_m3m3(B100,C100,PVT_mod)</f>
        <v>64.638999999999996</v>
      </c>
      <c r="F100" s="29">
        <f>[1]!PVT_bo_m3m3(B100,C100,PVT_str_)</f>
        <v>1.1888322170166392</v>
      </c>
      <c r="G100" s="29">
        <f>[1]!PVT_bo_m3m3(B100,C100,PVT_mod)</f>
        <v>1.1546302673591597</v>
      </c>
      <c r="H100" s="29">
        <f>[1]!PVT_mu_oil_cP(B100,C100,PVT_str_)</f>
        <v>1.0939445634238931</v>
      </c>
      <c r="I100" s="29">
        <f>[1]!PVT_mu_oil_cP(B100,C100,PVT_mod)</f>
        <v>1.316448752893919</v>
      </c>
    </row>
    <row r="101" spans="2:9" x14ac:dyDescent="0.35">
      <c r="B101" s="9">
        <v>185</v>
      </c>
      <c r="C101" s="9">
        <v>90</v>
      </c>
      <c r="D101" s="29">
        <f>[1]!PVT_rs_m3m3(B101,C101,PVT_str_)</f>
        <v>80</v>
      </c>
      <c r="E101" s="29">
        <f>[1]!PVT_rs_m3m3(B101,C101,PVT_mod)</f>
        <v>64.638999999999996</v>
      </c>
      <c r="F101" s="29">
        <f>[1]!PVT_bo_m3m3(B101,C101,PVT_str_)</f>
        <v>1.1880513735101232</v>
      </c>
      <c r="G101" s="29">
        <f>[1]!PVT_bo_m3m3(B101,C101,PVT_mod)</f>
        <v>1.1540739609164332</v>
      </c>
      <c r="H101" s="29">
        <f>[1]!PVT_mu_oil_cP(B101,C101,PVT_str_)</f>
        <v>1.1049381041628186</v>
      </c>
      <c r="I101" s="29">
        <f>[1]!PVT_mu_oil_cP(B101,C101,PVT_mod)</f>
        <v>1.3312162783468466</v>
      </c>
    </row>
    <row r="102" spans="2:9" x14ac:dyDescent="0.35">
      <c r="B102" s="9">
        <v>190</v>
      </c>
      <c r="C102" s="9">
        <v>90</v>
      </c>
      <c r="D102" s="29">
        <f>[1]!PVT_rs_m3m3(B102,C102,PVT_str_)</f>
        <v>80</v>
      </c>
      <c r="E102" s="29">
        <f>[1]!PVT_rs_m3m3(B102,C102,PVT_mod)</f>
        <v>64.638999999999996</v>
      </c>
      <c r="F102" s="29">
        <f>[1]!PVT_bo_m3m3(B102,C102,PVT_str_)</f>
        <v>1.187312100126485</v>
      </c>
      <c r="G102" s="29">
        <f>[1]!PVT_bo_m3m3(B102,C102,PVT_mod)</f>
        <v>1.1535471810042703</v>
      </c>
      <c r="H102" s="29">
        <f>[1]!PVT_mu_oil_cP(B102,C102,PVT_str_)</f>
        <v>1.1161955978107274</v>
      </c>
      <c r="I102" s="29">
        <f>[1]!PVT_mu_oil_cP(B102,C102,PVT_mod)</f>
        <v>1.3463167742936795</v>
      </c>
    </row>
    <row r="103" spans="2:9" x14ac:dyDescent="0.35">
      <c r="B103" s="9">
        <v>195</v>
      </c>
      <c r="C103" s="9">
        <v>90</v>
      </c>
      <c r="D103" s="29">
        <f>[1]!PVT_rs_m3m3(B103,C103,PVT_str_)</f>
        <v>80</v>
      </c>
      <c r="E103" s="29">
        <f>[1]!PVT_rs_m3m3(B103,C103,PVT_mod)</f>
        <v>64.638999999999996</v>
      </c>
      <c r="F103" s="29">
        <f>[1]!PVT_bo_m3m3(B103,C103,PVT_str_)</f>
        <v>1.1866111634399235</v>
      </c>
      <c r="G103" s="29">
        <f>[1]!PVT_bo_m3m3(B103,C103,PVT_mod)</f>
        <v>1.153047637718325</v>
      </c>
      <c r="H103" s="29">
        <f>[1]!PVT_mu_oil_cP(B103,C103,PVT_str_)</f>
        <v>1.1277113501541727</v>
      </c>
      <c r="I103" s="29">
        <f>[1]!PVT_mu_oil_cP(B103,C103,PVT_mod)</f>
        <v>1.3617438571664975</v>
      </c>
    </row>
    <row r="104" spans="2:9" x14ac:dyDescent="0.35">
      <c r="B104" s="9">
        <v>200</v>
      </c>
      <c r="C104" s="9">
        <v>90</v>
      </c>
      <c r="D104" s="29">
        <f>[1]!PVT_rs_m3m3(B104,C104,PVT_str_)</f>
        <v>80</v>
      </c>
      <c r="E104" s="29">
        <f>[1]!PVT_rs_m3m3(B104,C104,PVT_mod)</f>
        <v>64.638999999999996</v>
      </c>
      <c r="F104" s="29">
        <f>[1]!PVT_bo_m3m3(B104,C104,PVT_str_)</f>
        <v>1.1859456568756555</v>
      </c>
      <c r="G104" s="29">
        <f>[1]!PVT_bo_m3m3(B104,C104,PVT_mod)</f>
        <v>1.1525732719710822</v>
      </c>
      <c r="H104" s="29">
        <f>[1]!PVT_mu_oil_cP(B104,C104,PVT_str_)</f>
        <v>1.1394798840785827</v>
      </c>
      <c r="I104" s="29">
        <f>[1]!PVT_mu_oil_cP(B104,C104,PVT_mod)</f>
        <v>1.3774913616208915</v>
      </c>
    </row>
    <row r="109" spans="2:9" ht="13.15" x14ac:dyDescent="0.4">
      <c r="D109" s="1" t="s">
        <v>60</v>
      </c>
    </row>
    <row r="111" spans="2:9" x14ac:dyDescent="0.35">
      <c r="D111" t="str" cm="1">
        <f t="array" ref="D111">[1]!encode_arange(0.1,0.3,0.1)</f>
        <v>[0.1,0.2,0.3]</v>
      </c>
    </row>
    <row r="112" spans="2:9" x14ac:dyDescent="0.35">
      <c r="D112" t="str" cm="1">
        <f t="array" ref="D112">[1]!encode_arange(34,45,5)</f>
        <v>[34,39,44]</v>
      </c>
    </row>
    <row r="114" spans="4:5" x14ac:dyDescent="0.35">
      <c r="D114" t="str" cm="1">
        <f t="array" ref="D114:E115">[1]!feed_mod_separate_gas(D111,D112,Tsep,feed_,param)</f>
        <v>{"p_atma":[34,39,44],"t_C":[90,90,90],"feed":[{"gamma_gas":0.9,"gamma_oil":0.9,"gamma_wat":1.1,"rsb_m3m3":73.582,"pb_atma":121.602,"t_res_C":90,"bob_m3m3":1.187,"muob_cP":1.057,"PVT_corr_set":0,"q_liq_sm3day":15,"fw_perc":1,"rp_m3m3":73.582,"q_gas_free_sm3day":900},{"gamma_gas":0.9,"gamma_oil":0.9,"gamma_wat":1.1,"rsb_m3m3":67.733,"pb_atma":113.721,"t_res_C":90,"bob_m3m3":1.175,"muob_cP":1.114,"PVT_corr_set":0,"q_liq_sm3day":15,"fw_perc":1,"rp_m3m3":67.733,"q_gas_free_sm3day":800},{"gamma_gas":0.9,"gamma_oil":0.9,"gamma_wat":1.1,"rsb_m3m3":62.476,"pb_atma":106.345,"t_res_C":90,"bob_m3m3":1.164,"muob_cP":1.172,"PVT_corr_set":0,"q_liq_sm3day":15,"fw_perc":1,"rp_m3m3":62.476,"q_gas_free_sm3day":700}],"k_sep":[0.1,0.2,0.3]}</v>
      </c>
      <c r="E114" t="str">
        <v>[["CPVT object created "],["CPVT object created "],["CPVT object created "]]</v>
      </c>
    </row>
    <row r="115" spans="4:5" x14ac:dyDescent="0.35">
      <c r="D115" t="str">
        <v>fluids after separation</v>
      </c>
      <c r="E115" t="str">
        <v>log</v>
      </c>
    </row>
    <row r="117" spans="4:5" x14ac:dyDescent="0.35">
      <c r="D117" t="str" cm="1">
        <f t="array" ref="D117:E120">[1]!decode_json(D114)</f>
        <v>p_atma</v>
      </c>
      <c r="E117" t="str">
        <v>[34,39,44]</v>
      </c>
    </row>
    <row r="118" spans="4:5" x14ac:dyDescent="0.35">
      <c r="D118" t="str">
        <v>t_C</v>
      </c>
      <c r="E118" t="str">
        <v>[90,90,90]</v>
      </c>
    </row>
    <row r="119" spans="4:5" x14ac:dyDescent="0.35">
      <c r="D119" t="str">
        <v>feed</v>
      </c>
      <c r="E119" t="str">
        <v>[{"gamma_gas":0.9,"gamma_oil":0.9,"gamma_wat":1.1,"rsb_m3m3":73.582,"pb_atma":121.602,"t_res_C":90,"bob_m3m3":1.187,"muob_cP":1.057,"PVT_corr_set":0,"q_liq_sm3day":15,"fw_perc":1,"rp_m3m3":73.582,"q_gas_free_sm3day":900},{"gamma_gas":0.9,"gamma_oil":0.9,"gamma_wat":1.1,"rsb_m3m3":67.733,"pb_atma":113.721,"t_res_C":90,"bob_m3m3":1.175,"muob_cP":1.114,"PVT_corr_set":0,"q_liq_sm3day":15,"fw_perc":1,"rp_m3m3":67.733,"q_gas_free_sm3day":800},{"gamma_gas":0.9,"gamma_oil":0.9,"gamma_wat":1.1,"rsb_m3m3":62.476,"pb_atma":106.345,"t_res_C":90,"bob_m3m3":1.164,"muob_cP":1.172,"PVT_corr_set":0,"q_liq_sm3day":15,"fw_perc":1,"rp_m3m3":62.476,"q_gas_free_sm3day":700}]</v>
      </c>
    </row>
    <row r="120" spans="4:5" x14ac:dyDescent="0.35">
      <c r="D120" t="str">
        <v>k_sep</v>
      </c>
      <c r="E120" t="str">
        <v>[0.1,0.2,0.3]</v>
      </c>
    </row>
    <row r="126" spans="4:5" x14ac:dyDescent="0.35">
      <c r="D126" t="str" cm="1">
        <f t="array" ref="D126">[1]!decode_json_p_atma(D114)</f>
        <v>[34,39,44]</v>
      </c>
    </row>
    <row r="127" spans="4:5" x14ac:dyDescent="0.35">
      <c r="D127" t="str" cm="1">
        <f t="array" ref="D127">[1]!decode_json_q_liq_sm3day(D114)</f>
        <v>[15,15,15]</v>
      </c>
    </row>
    <row r="145" spans="11:11" x14ac:dyDescent="0.35">
      <c r="K145" t="s">
        <v>5</v>
      </c>
    </row>
    <row r="156" spans="11:11" x14ac:dyDescent="0.35">
      <c r="K156" s="3"/>
    </row>
  </sheetData>
  <dataConsolidate/>
  <mergeCells count="11">
    <mergeCell ref="B3:E3"/>
    <mergeCell ref="I3:L3"/>
    <mergeCell ref="B4:E4"/>
    <mergeCell ref="I4:L4"/>
    <mergeCell ref="B5:E5"/>
    <mergeCell ref="I5:L5"/>
    <mergeCell ref="B29:C29"/>
    <mergeCell ref="A6:A8"/>
    <mergeCell ref="B6:E8"/>
    <mergeCell ref="H6:H8"/>
    <mergeCell ref="I6:L8"/>
  </mergeCells>
  <conditionalFormatting sqref="J44:J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{0486DCA0-1CF0-4DC1-8262-93562941360A}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86DCA0-1CF0-4DC1-8262-9356294136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J44:J56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31</vt:i4>
      </vt:variant>
    </vt:vector>
  </HeadingPairs>
  <TitlesOfParts>
    <vt:vector size="32" baseType="lpstr">
      <vt:lpstr>exercise_separation</vt:lpstr>
      <vt:lpstr>exercise_separation!Bob_</vt:lpstr>
      <vt:lpstr>exercise_separation!Course</vt:lpstr>
      <vt:lpstr>feed_</vt:lpstr>
      <vt:lpstr>fw</vt:lpstr>
      <vt:lpstr>exercise_separation!gamma_gas_</vt:lpstr>
      <vt:lpstr>exercise_separation!gamma_oil_</vt:lpstr>
      <vt:lpstr>exercise_separation!gamma_wat_</vt:lpstr>
      <vt:lpstr>exercise_separation!Group</vt:lpstr>
      <vt:lpstr>exercise_separation!input_0</vt:lpstr>
      <vt:lpstr>exercise_separation!input_Course</vt:lpstr>
      <vt:lpstr>exercise_separation!input_Date</vt:lpstr>
      <vt:lpstr>exercise_separation!input_Group</vt:lpstr>
      <vt:lpstr>exercise_separation!input_Notes</vt:lpstr>
      <vt:lpstr>exercise_separation!input_Student_Name</vt:lpstr>
      <vt:lpstr>exercise_separation!input_Version</vt:lpstr>
      <vt:lpstr>Ksep</vt:lpstr>
      <vt:lpstr>exercise_separation!muob_</vt:lpstr>
      <vt:lpstr>exercise_separation!Notes</vt:lpstr>
      <vt:lpstr>param</vt:lpstr>
      <vt:lpstr>exercise_separation!Pb_</vt:lpstr>
      <vt:lpstr>Psep</vt:lpstr>
      <vt:lpstr>PVT_mod</vt:lpstr>
      <vt:lpstr>exercise_separation!PVT_str_</vt:lpstr>
      <vt:lpstr>Qgas</vt:lpstr>
      <vt:lpstr>Qliq</vt:lpstr>
      <vt:lpstr>rp</vt:lpstr>
      <vt:lpstr>exercise_separation!Rsb_</vt:lpstr>
      <vt:lpstr>exercise_separation!Student_Name</vt:lpstr>
      <vt:lpstr>exercise_separation!Tres_</vt:lpstr>
      <vt:lpstr>Tsep</vt:lpstr>
      <vt:lpstr>exercise_separation!unf_version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rienm</cp:lastModifiedBy>
  <dcterms:created xsi:type="dcterms:W3CDTF">2020-04-13T13:26:12Z</dcterms:created>
  <dcterms:modified xsi:type="dcterms:W3CDTF">2022-05-25T07:55:35Z</dcterms:modified>
</cp:coreProperties>
</file>