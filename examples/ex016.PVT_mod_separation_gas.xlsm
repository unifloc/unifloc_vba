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FA35C3BD-1CA9-4216-9DEE-9BC043E1461B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eed_">exercise_PVT!$D$35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exercise_PVT!#REF!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Ksep">exercise_PVT!$C$25</definedName>
    <definedName name="muob_" localSheetId="0">exercise_PVT!$C$18</definedName>
    <definedName name="Notes" localSheetId="0">exercise_PVT!$B$6</definedName>
    <definedName name="output_0" localSheetId="0">exercise_PVT!#REF!</definedName>
    <definedName name="param">exercise_PVT!$D$29</definedName>
    <definedName name="Pb_" localSheetId="0">exercise_PVT!$C$15</definedName>
    <definedName name="Psep">exercise_PVT!$C$26</definedName>
    <definedName name="PVT_mod">exercise_PVT!$D$37</definedName>
    <definedName name="PVT_str_" localSheetId="0">exercise_PVT!$D$34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Tsep">exercise_PVT!$C$27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34" i="113"/>
  <c r="D35" i="113" s="1" a="1"/>
  <c r="F79" i="113"/>
  <c r="H64" i="113"/>
  <c r="D103" i="113"/>
  <c r="F66" i="113"/>
  <c r="D77" i="113"/>
  <c r="D71" i="113"/>
  <c r="F64" i="113"/>
  <c r="F84" i="113"/>
  <c r="D70" i="113"/>
  <c r="G1" i="113"/>
  <c r="F86" i="113"/>
  <c r="F76" i="113"/>
  <c r="F99" i="113"/>
  <c r="H75" i="113"/>
  <c r="H77" i="113"/>
  <c r="H65" i="113"/>
  <c r="D78" i="113"/>
  <c r="F65" i="113"/>
  <c r="H67" i="113"/>
  <c r="H82" i="113"/>
  <c r="D68" i="113"/>
  <c r="D76" i="113"/>
  <c r="H92" i="113"/>
  <c r="D94" i="113"/>
  <c r="F71" i="113"/>
  <c r="F95" i="113"/>
  <c r="H86" i="113"/>
  <c r="D93" i="113"/>
  <c r="F98" i="113"/>
  <c r="F96" i="113"/>
  <c r="D85" i="113"/>
  <c r="F82" i="113"/>
  <c r="H87" i="113"/>
  <c r="H85" i="113"/>
  <c r="H89" i="113"/>
  <c r="D81" i="113"/>
  <c r="F80" i="113"/>
  <c r="D72" i="113"/>
  <c r="F102" i="113"/>
  <c r="H68" i="113"/>
  <c r="D96" i="113"/>
  <c r="H99" i="113"/>
  <c r="D90" i="113"/>
  <c r="D74" i="113"/>
  <c r="H71" i="113"/>
  <c r="D87" i="113"/>
  <c r="F100" i="113"/>
  <c r="H69" i="113"/>
  <c r="H96" i="113"/>
  <c r="H81" i="113"/>
  <c r="H88" i="113"/>
  <c r="F69" i="113"/>
  <c r="H104" i="113"/>
  <c r="F83" i="113"/>
  <c r="H66" i="113"/>
  <c r="D92" i="113"/>
  <c r="H97" i="113"/>
  <c r="H91" i="113"/>
  <c r="H74" i="113"/>
  <c r="F78" i="113"/>
  <c r="F68" i="113"/>
  <c r="H103" i="113"/>
  <c r="D75" i="113"/>
  <c r="H76" i="113"/>
  <c r="F89" i="113"/>
  <c r="F85" i="113"/>
  <c r="D83" i="113"/>
  <c r="H70" i="113"/>
  <c r="H95" i="113"/>
  <c r="H93" i="113"/>
  <c r="D88" i="113"/>
  <c r="H90" i="113"/>
  <c r="D86" i="113"/>
  <c r="D67" i="113"/>
  <c r="F74" i="113"/>
  <c r="F75" i="113"/>
  <c r="F104" i="113"/>
  <c r="F77" i="113"/>
  <c r="H94" i="113"/>
  <c r="H100" i="113"/>
  <c r="D29" i="113" a="1"/>
  <c r="H102" i="113"/>
  <c r="H72" i="113"/>
  <c r="F73" i="113"/>
  <c r="H98" i="113"/>
  <c r="D64" i="113"/>
  <c r="F92" i="113"/>
  <c r="D82" i="113"/>
  <c r="D97" i="113"/>
  <c r="D73" i="113"/>
  <c r="D101" i="113"/>
  <c r="D89" i="113"/>
  <c r="H84" i="113"/>
  <c r="H79" i="113"/>
  <c r="D102" i="113"/>
  <c r="F70" i="113"/>
  <c r="D95" i="113"/>
  <c r="F90" i="113"/>
  <c r="D66" i="113"/>
  <c r="F81" i="113"/>
  <c r="D99" i="113"/>
  <c r="D91" i="113"/>
  <c r="F101" i="113"/>
  <c r="D80" i="113"/>
  <c r="D84" i="113"/>
  <c r="H78" i="113"/>
  <c r="D100" i="113"/>
  <c r="F72" i="113"/>
  <c r="D65" i="113"/>
  <c r="H73" i="113"/>
  <c r="F88" i="113"/>
  <c r="H80" i="113"/>
  <c r="F87" i="113"/>
  <c r="F94" i="113"/>
  <c r="D69" i="113"/>
  <c r="H83" i="113"/>
  <c r="F67" i="113"/>
  <c r="D98" i="113"/>
  <c r="H101" i="113"/>
  <c r="F97" i="113"/>
  <c r="F93" i="113"/>
  <c r="D79" i="113"/>
  <c r="F103" i="113"/>
  <c r="F91" i="113"/>
  <c r="D104" i="113"/>
  <c r="D35" i="113" l="1"/>
  <c r="D29" i="113"/>
  <c r="O63" i="113"/>
  <c r="N63" i="113"/>
  <c r="P63" i="113"/>
  <c r="K63" i="113"/>
  <c r="M63" i="113"/>
  <c r="L63" i="113"/>
  <c r="Q63" i="113"/>
  <c r="J63" i="113"/>
  <c r="S64" i="113" a="1"/>
  <c r="D37" i="113" a="1"/>
  <c r="L44" i="113" a="1"/>
  <c r="D44" i="113" a="1"/>
  <c r="B44" i="113" a="1"/>
  <c r="D37" i="113" l="1"/>
  <c r="L44" i="113"/>
  <c r="S64" i="113"/>
  <c r="B44" i="113"/>
  <c r="D44" i="113"/>
  <c r="I64" i="113"/>
  <c r="I70" i="113"/>
  <c r="E73" i="113"/>
  <c r="G70" i="113"/>
  <c r="I98" i="113"/>
  <c r="G65" i="113"/>
  <c r="I101" i="113"/>
  <c r="G94" i="113"/>
  <c r="I74" i="113"/>
  <c r="E84" i="113"/>
  <c r="G72" i="113"/>
  <c r="E72" i="113"/>
  <c r="I79" i="113"/>
  <c r="I75" i="113"/>
  <c r="G89" i="113"/>
  <c r="G67" i="113"/>
  <c r="I103" i="113"/>
  <c r="G74" i="113"/>
  <c r="G86" i="113"/>
  <c r="G66" i="113"/>
  <c r="G79" i="113"/>
  <c r="G73" i="113"/>
  <c r="I91" i="113"/>
  <c r="E76" i="113"/>
  <c r="G81" i="113"/>
  <c r="G87" i="113"/>
  <c r="E68" i="113"/>
  <c r="I66" i="113"/>
  <c r="E80" i="113"/>
  <c r="G92" i="113"/>
  <c r="G80" i="113"/>
  <c r="G84" i="113"/>
  <c r="G98" i="113"/>
  <c r="G97" i="113"/>
  <c r="G69" i="113"/>
  <c r="E66" i="113"/>
  <c r="E69" i="113"/>
  <c r="G71" i="113"/>
  <c r="E67" i="113"/>
  <c r="G100" i="113"/>
  <c r="G85" i="113"/>
  <c r="I68" i="113"/>
  <c r="E64" i="113"/>
  <c r="E83" i="113"/>
  <c r="G101" i="113"/>
  <c r="E101" i="113"/>
  <c r="G91" i="113"/>
  <c r="E82" i="113"/>
  <c r="E81" i="113"/>
  <c r="E75" i="113"/>
  <c r="I65" i="113"/>
  <c r="G104" i="113"/>
  <c r="E85" i="113"/>
  <c r="G75" i="113"/>
  <c r="I81" i="113"/>
  <c r="I83" i="113"/>
  <c r="G103" i="113"/>
  <c r="I100" i="113"/>
  <c r="E77" i="113"/>
  <c r="I78" i="113"/>
  <c r="E93" i="113"/>
  <c r="E70" i="113"/>
  <c r="I99" i="113"/>
  <c r="I80" i="113"/>
  <c r="E102" i="113"/>
  <c r="G44" i="113" a="1"/>
  <c r="I84" i="113"/>
  <c r="I104" i="113"/>
  <c r="E95" i="113"/>
  <c r="G93" i="113"/>
  <c r="I85" i="113"/>
  <c r="I87" i="113"/>
  <c r="I73" i="113"/>
  <c r="G76" i="113"/>
  <c r="E92" i="113"/>
  <c r="G82" i="113"/>
  <c r="G83" i="113"/>
  <c r="E78" i="113"/>
  <c r="G64" i="113"/>
  <c r="E65" i="113"/>
  <c r="G96" i="113"/>
  <c r="I86" i="113"/>
  <c r="E94" i="113"/>
  <c r="E71" i="113"/>
  <c r="E96" i="113"/>
  <c r="E100" i="113"/>
  <c r="E86" i="113"/>
  <c r="I96" i="113"/>
  <c r="I76" i="113"/>
  <c r="G99" i="113"/>
  <c r="E89" i="113"/>
  <c r="I92" i="113"/>
  <c r="I77" i="113"/>
  <c r="E87" i="113"/>
  <c r="G95" i="113"/>
  <c r="I89" i="113"/>
  <c r="I88" i="113"/>
  <c r="I97" i="113"/>
  <c r="I82" i="113"/>
  <c r="I94" i="113"/>
  <c r="G102" i="113"/>
  <c r="E104" i="113"/>
  <c r="E90" i="113"/>
  <c r="I102" i="113"/>
  <c r="I93" i="113"/>
  <c r="I90" i="113"/>
  <c r="E99" i="113"/>
  <c r="G88" i="113"/>
  <c r="E91" i="113"/>
  <c r="E74" i="113"/>
  <c r="G78" i="113"/>
  <c r="I72" i="113"/>
  <c r="E97" i="113"/>
  <c r="G77" i="113"/>
  <c r="G90" i="113"/>
  <c r="E88" i="113"/>
  <c r="E98" i="113"/>
  <c r="I71" i="113"/>
  <c r="E103" i="113"/>
  <c r="G68" i="113"/>
  <c r="I67" i="113"/>
  <c r="E79" i="113"/>
  <c r="I69" i="113"/>
  <c r="I95" i="113"/>
  <c r="J51" i="113" l="1"/>
  <c r="J45" i="113"/>
  <c r="J46" i="113"/>
  <c r="J52" i="113"/>
  <c r="G44" i="113"/>
  <c r="J55" i="113"/>
  <c r="J56" i="113"/>
  <c r="J49" i="113"/>
  <c r="J48" i="113"/>
  <c r="J47" i="113"/>
  <c r="J44" i="113"/>
  <c r="J53" i="113"/>
  <c r="J54" i="113"/>
  <c r="J50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<sst xmlns="http://schemas.openxmlformats.org/spreadsheetml/2006/main" count="68" uniqueCount="58">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</sst>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9" fontId="0" fillId="0" borderId="0" xfId="8" applyFont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exercise_PVT!$E$64:$E$104</c:f>
              <c:numCache>
                <c:formatCode>0.0000</c:formatCode>
                <c:ptCount val="41"/>
                <c:pt idx="0">
                  <c:v>0.98808859536874982</c:v>
                </c:pt>
                <c:pt idx="1">
                  <c:v>5.4883412195472179</c:v>
                </c:pt>
                <c:pt idx="2">
                  <c:v>9.8385574145868766</c:v>
                </c:pt>
                <c:pt idx="3">
                  <c:v>13.722007177096906</c:v>
                </c:pt>
                <c:pt idx="4">
                  <c:v>17.365574284421715</c:v>
                </c:pt>
                <c:pt idx="5">
                  <c:v>20.868812565786062</c:v>
                </c:pt>
                <c:pt idx="6">
                  <c:v>24.289165998232143</c:v>
                </c:pt>
                <c:pt idx="7">
                  <c:v>27.664897715054259</c:v>
                </c:pt>
                <c:pt idx="8">
                  <c:v>31.023906502252583</c:v>
                </c:pt>
                <c:pt idx="9">
                  <c:v>34.387842761464299</c:v>
                </c:pt>
                <c:pt idx="10">
                  <c:v>37.774288065131117</c:v>
                </c:pt>
                <c:pt idx="11">
                  <c:v>41.198017464203964</c:v>
                </c:pt>
                <c:pt idx="12">
                  <c:v>44.67178153318158</c:v>
                </c:pt>
                <c:pt idx="13">
                  <c:v>48.206817120190081</c:v>
                </c:pt>
                <c:pt idx="14">
                  <c:v>51.813195405359195</c:v>
                </c:pt>
                <c:pt idx="15">
                  <c:v>55.500067554943719</c:v>
                </c:pt>
                <c:pt idx="16">
                  <c:v>59.275843281480547</c:v>
                </c:pt>
                <c:pt idx="17">
                  <c:v>62.663979085302202</c:v>
                </c:pt>
                <c:pt idx="18">
                  <c:v>62.663979085302202</c:v>
                </c:pt>
                <c:pt idx="19">
                  <c:v>62.663979085302202</c:v>
                </c:pt>
                <c:pt idx="20">
                  <c:v>62.663979085302202</c:v>
                </c:pt>
                <c:pt idx="21">
                  <c:v>62.663979085302202</c:v>
                </c:pt>
                <c:pt idx="22">
                  <c:v>62.663979085302202</c:v>
                </c:pt>
                <c:pt idx="23">
                  <c:v>62.663979085302202</c:v>
                </c:pt>
                <c:pt idx="24">
                  <c:v>62.663979085302202</c:v>
                </c:pt>
                <c:pt idx="25">
                  <c:v>62.663979085302202</c:v>
                </c:pt>
                <c:pt idx="26">
                  <c:v>62.663979085302202</c:v>
                </c:pt>
                <c:pt idx="27">
                  <c:v>62.663979085302202</c:v>
                </c:pt>
                <c:pt idx="28">
                  <c:v>62.663979085302202</c:v>
                </c:pt>
                <c:pt idx="29">
                  <c:v>62.663979085302202</c:v>
                </c:pt>
                <c:pt idx="30">
                  <c:v>62.663979085302202</c:v>
                </c:pt>
                <c:pt idx="31">
                  <c:v>62.663979085302202</c:v>
                </c:pt>
                <c:pt idx="32">
                  <c:v>62.663979085302202</c:v>
                </c:pt>
                <c:pt idx="33">
                  <c:v>62.663979085302202</c:v>
                </c:pt>
                <c:pt idx="34">
                  <c:v>62.663979085302202</c:v>
                </c:pt>
                <c:pt idx="35">
                  <c:v>62.663979085302202</c:v>
                </c:pt>
                <c:pt idx="36">
                  <c:v>62.663979085302202</c:v>
                </c:pt>
                <c:pt idx="37">
                  <c:v>62.663979085302202</c:v>
                </c:pt>
                <c:pt idx="38">
                  <c:v>62.663979085302202</c:v>
                </c:pt>
                <c:pt idx="39">
                  <c:v>62.663979085302202</c:v>
                </c:pt>
                <c:pt idx="40">
                  <c:v>62.663979085302202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exercise_PVT!$G$64:$G$104</c:f>
              <c:numCache>
                <c:formatCode>0.0000</c:formatCode>
                <c:ptCount val="41"/>
                <c:pt idx="0">
                  <c:v>1.0580992692849316</c:v>
                </c:pt>
                <c:pt idx="1">
                  <c:v>1.0661860031705912</c:v>
                </c:pt>
                <c:pt idx="2">
                  <c:v>1.0738362996228064</c:v>
                </c:pt>
                <c:pt idx="3">
                  <c:v>1.0805784595322563</c:v>
                </c:pt>
                <c:pt idx="4">
                  <c:v>1.0868484112177437</c:v>
                </c:pt>
                <c:pt idx="5">
                  <c:v>1.0928375980715948</c:v>
                </c:pt>
                <c:pt idx="6">
                  <c:v>1.0986565206827343</c:v>
                </c:pt>
                <c:pt idx="7">
                  <c:v>1.1043787656696185</c:v>
                </c:pt>
                <c:pt idx="8">
                  <c:v>1.1100579475736299</c:v>
                </c:pt>
                <c:pt idx="9">
                  <c:v>1.1157356252367356</c:v>
                </c:pt>
                <c:pt idx="10">
                  <c:v>1.1214454986013629</c:v>
                </c:pt>
                <c:pt idx="11">
                  <c:v>1.1272158428709729</c:v>
                </c:pt>
                <c:pt idx="12">
                  <c:v>1.133071019361547</c:v>
                </c:pt>
                <c:pt idx="13">
                  <c:v>1.1390324645328422</c:v>
                </c:pt>
                <c:pt idx="14">
                  <c:v>1.145119365916228</c:v>
                </c:pt>
                <c:pt idx="15">
                  <c:v>1.1513491408074186</c:v>
                </c:pt>
                <c:pt idx="16">
                  <c:v>1.1577377857354691</c:v>
                </c:pt>
                <c:pt idx="17">
                  <c:v>1.1631974102169031</c:v>
                </c:pt>
                <c:pt idx="18">
                  <c:v>1.1610662609807623</c:v>
                </c:pt>
                <c:pt idx="19">
                  <c:v>1.1591627531552255</c:v>
                </c:pt>
                <c:pt idx="20">
                  <c:v>1.1574522644585072</c:v>
                </c:pt>
                <c:pt idx="21">
                  <c:v>1.1559068544576963</c:v>
                </c:pt>
                <c:pt idx="22">
                  <c:v>1.1545037269051319</c:v>
                </c:pt>
                <c:pt idx="23">
                  <c:v>1.1532240979991746</c:v>
                </c:pt>
                <c:pt idx="24">
                  <c:v>1.1520523508242222</c:v>
                </c:pt>
                <c:pt idx="25">
                  <c:v>1.1509753949612185</c:v>
                </c:pt>
                <c:pt idx="26">
                  <c:v>1.1499821754474466</c:v>
                </c:pt>
                <c:pt idx="27">
                  <c:v>1.1490632919715023</c:v>
                </c:pt>
                <c:pt idx="28">
                  <c:v>1.1482107004740412</c:v>
                </c:pt>
                <c:pt idx="29">
                  <c:v>1.1474174770745165</c:v>
                </c:pt>
                <c:pt idx="30">
                  <c:v>1.1466776296476768</c:v>
                </c:pt>
                <c:pt idx="31">
                  <c:v>1.1459859461945521</c:v>
                </c:pt>
                <c:pt idx="32">
                  <c:v>1.1453378718897722</c:v>
                </c:pt>
                <c:pt idx="33">
                  <c:v>1.1447294086714948</c:v>
                </c:pt>
                <c:pt idx="34">
                  <c:v>1.1441570326951309</c:v>
                </c:pt>
                <c:pt idx="35">
                  <c:v>1.1436176260499107</c:v>
                </c:pt>
                <c:pt idx="36">
                  <c:v>1.1431084199436639</c:v>
                </c:pt>
                <c:pt idx="37">
                  <c:v>1.142626947169944</c:v>
                </c:pt>
                <c:pt idx="38">
                  <c:v>1.1421710021351388</c:v>
                </c:pt>
                <c:pt idx="39">
                  <c:v>1.1417386070790196</c:v>
                </c:pt>
                <c:pt idx="40">
                  <c:v>1.1413279833973748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exercise_PVT!$I$64:$I$104</c:f>
              <c:numCache>
                <c:formatCode>0.0000</c:formatCode>
                <c:ptCount val="41"/>
                <c:pt idx="0">
                  <c:v>2.3804598329696236</c:v>
                </c:pt>
                <c:pt idx="1">
                  <c:v>2.2427726044697454</c:v>
                </c:pt>
                <c:pt idx="2">
                  <c:v>2.122211649078277</c:v>
                </c:pt>
                <c:pt idx="3">
                  <c:v>2.0235741287028</c:v>
                </c:pt>
                <c:pt idx="4">
                  <c:v>1.9378054005158714</c:v>
                </c:pt>
                <c:pt idx="5">
                  <c:v>1.860864182260817</c:v>
                </c:pt>
                <c:pt idx="6">
                  <c:v>1.7904573897624301</c:v>
                </c:pt>
                <c:pt idx="7">
                  <c:v>1.7251195819281817</c:v>
                </c:pt>
                <c:pt idx="8">
                  <c:v>1.6638454868413146</c:v>
                </c:pt>
                <c:pt idx="9">
                  <c:v>1.6059129933134206</c:v>
                </c:pt>
                <c:pt idx="10">
                  <c:v>1.5507869018805942</c:v>
                </c:pt>
                <c:pt idx="11">
                  <c:v>1.4980619029135129</c:v>
                </c:pt>
                <c:pt idx="12">
                  <c:v>1.4474265449510832</c:v>
                </c:pt>
                <c:pt idx="13">
                  <c:v>1.3986392831130425</c:v>
                </c:pt>
                <c:pt idx="14">
                  <c:v>1.3515118871379983</c:v>
                </c:pt>
                <c:pt idx="15">
                  <c:v>1.3058975439862188</c:v>
                </c:pt>
                <c:pt idx="16">
                  <c:v>1.26168207128206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61</xdr:row>
      <xdr:rowOff>132002</xdr:rowOff>
    </xdr:from>
    <xdr:to>
      <xdr:col>32</xdr:col>
      <xdr:colOff>486191</xdr:colOff>
      <xdr:row>75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7" zoomScale="85" zoomScaleNormal="85" workbookViewId="0">
      <selection activeCell="S13" sqref="S13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14" t="s">
        <v>32</v>
      </c>
      <c r="I1" s="18">
        <v>44221</v>
      </c>
      <c r="J1" s="19"/>
      <c r="K1" s="19"/>
      <c r="L1" s="20"/>
    </row>
    <row r="2" spans="1:12" x14ac:dyDescent="0.25">
      <c r="A2" t="s">
        <v>21</v>
      </c>
      <c r="H2" s="14" t="s">
        <v>33</v>
      </c>
      <c r="I2" s="21">
        <v>7.26</v>
      </c>
      <c r="J2" s="16"/>
      <c r="K2" s="16"/>
      <c r="L2" s="17"/>
    </row>
    <row r="3" spans="1:12" ht="14.4" x14ac:dyDescent="0.3">
      <c r="A3" s="15" t="s">
        <v>25</v>
      </c>
      <c r="B3" s="38" t="s">
        <v>27</v>
      </c>
      <c r="C3" s="38"/>
      <c r="D3" s="38"/>
      <c r="E3" s="39"/>
      <c r="H3" s="15" t="s">
        <v>25</v>
      </c>
      <c r="I3" s="40" t="s">
        <v>27</v>
      </c>
      <c r="J3" s="40"/>
      <c r="K3" s="40"/>
      <c r="L3" s="40"/>
    </row>
    <row r="4" spans="1:12" ht="14.4" x14ac:dyDescent="0.3">
      <c r="A4" s="15" t="s">
        <v>29</v>
      </c>
      <c r="B4" s="38" t="s">
        <v>30</v>
      </c>
      <c r="C4" s="38"/>
      <c r="D4" s="38"/>
      <c r="E4" s="39"/>
      <c r="H4" s="15" t="s">
        <v>29</v>
      </c>
      <c r="I4" s="41" t="s">
        <v>30</v>
      </c>
      <c r="J4" s="41"/>
      <c r="K4" s="41"/>
      <c r="L4" s="41"/>
    </row>
    <row r="5" spans="1:12" ht="14.4" x14ac:dyDescent="0.3">
      <c r="A5" s="15" t="s">
        <v>34</v>
      </c>
      <c r="B5" s="38" t="s">
        <v>28</v>
      </c>
      <c r="C5" s="38"/>
      <c r="D5" s="38"/>
      <c r="E5" s="39"/>
      <c r="H5" s="15" t="s">
        <v>34</v>
      </c>
      <c r="I5" s="41" t="s">
        <v>28</v>
      </c>
      <c r="J5" s="41"/>
      <c r="K5" s="41"/>
      <c r="L5" s="41"/>
    </row>
    <row r="6" spans="1:12" x14ac:dyDescent="0.25">
      <c r="A6" s="44" t="s">
        <v>26</v>
      </c>
      <c r="B6" s="47" t="s">
        <v>31</v>
      </c>
      <c r="C6" s="48"/>
      <c r="D6" s="48"/>
      <c r="E6" s="49"/>
      <c r="H6" s="56" t="s">
        <v>26</v>
      </c>
      <c r="I6" s="57" t="s">
        <v>31</v>
      </c>
      <c r="J6" s="57"/>
      <c r="K6" s="57"/>
      <c r="L6" s="57"/>
    </row>
    <row r="7" spans="1:12" x14ac:dyDescent="0.25">
      <c r="A7" s="45"/>
      <c r="B7" s="50"/>
      <c r="C7" s="51"/>
      <c r="D7" s="51"/>
      <c r="E7" s="52"/>
      <c r="H7" s="56"/>
      <c r="I7" s="57"/>
      <c r="J7" s="57"/>
      <c r="K7" s="57"/>
      <c r="L7" s="57"/>
    </row>
    <row r="8" spans="1:12" x14ac:dyDescent="0.25">
      <c r="A8" s="46"/>
      <c r="B8" s="53"/>
      <c r="C8" s="54"/>
      <c r="D8" s="54"/>
      <c r="E8" s="55"/>
      <c r="H8" s="56"/>
      <c r="I8" s="57"/>
      <c r="J8" s="57"/>
      <c r="K8" s="57"/>
      <c r="L8" s="57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39</v>
      </c>
      <c r="C20" s="2">
        <v>15</v>
      </c>
      <c r="D20" s="5"/>
    </row>
    <row r="21" spans="2:6" ht="15.6" x14ac:dyDescent="0.35">
      <c r="B21" s="5" t="s">
        <v>40</v>
      </c>
      <c r="C21" s="2">
        <v>1</v>
      </c>
      <c r="D21" s="5"/>
    </row>
    <row r="22" spans="2:6" ht="15.6" x14ac:dyDescent="0.35">
      <c r="B22" s="5" t="s">
        <v>41</v>
      </c>
      <c r="C22" s="2">
        <v>80</v>
      </c>
      <c r="D22" s="5"/>
    </row>
    <row r="23" spans="2:6" ht="15.6" x14ac:dyDescent="0.35">
      <c r="B23" s="5" t="s">
        <v>42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44</v>
      </c>
      <c r="C25" s="2">
        <v>0.5</v>
      </c>
      <c r="D25" s="33"/>
    </row>
    <row r="26" spans="2:6" ht="14.4" x14ac:dyDescent="0.3">
      <c r="B26" s="5" t="s">
        <v>45</v>
      </c>
      <c r="C26" s="2">
        <v>50</v>
      </c>
      <c r="D26" s="33"/>
    </row>
    <row r="27" spans="2:6" ht="14.4" x14ac:dyDescent="0.3">
      <c r="B27" s="5" t="s">
        <v>46</v>
      </c>
      <c r="C27" s="2">
        <v>90</v>
      </c>
      <c r="D27" s="33"/>
    </row>
    <row r="29" spans="2:6" x14ac:dyDescent="0.25">
      <c r="B29" s="42" t="s">
        <v>35</v>
      </c>
      <c r="C29" s="43"/>
      <c r="D29" s="28" t="str" cm="1">
        <f t="array" ref="D29">[1]!encode_json(B30:C32)</f>
        <v>{"show_log":1,"PVT_correlation":1,"gas_goes_into_solution":0.9}</v>
      </c>
      <c r="E29" s="12"/>
      <c r="F29" s="12"/>
    </row>
    <row r="30" spans="2:6" x14ac:dyDescent="0.25">
      <c r="B30" s="27" t="s">
        <v>36</v>
      </c>
      <c r="C30" s="27">
        <v>1</v>
      </c>
    </row>
    <row r="31" spans="2:6" x14ac:dyDescent="0.25">
      <c r="B31" s="27" t="s">
        <v>38</v>
      </c>
      <c r="C31" s="27">
        <v>1</v>
      </c>
    </row>
    <row r="32" spans="2:6" x14ac:dyDescent="0.25">
      <c r="B32" s="27" t="s">
        <v>56</v>
      </c>
      <c r="C32" s="27">
        <v>0.9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43</v>
      </c>
      <c r="C35" s="31"/>
      <c r="D35" s="30" t="str" cm="1">
        <f t="array" ref="D35">[1]!encode_feed(Qliq,fw,rp,Qgas,PVT_str_)</f>
        <v>{"q_liq_sm3day":15,"fw_perc":1,"rp_m3m3":80,"q_gas_free_sm3day":1000,"gamma_gas":0.9,"gamma_oil":0.9,"gamma_wat":1.1,"rsb_m3m3":80,"pb_atma":130,"t_res_C":90,"bob_m3m3":1.2,"muob_cP":1,"PVT_corr_set":1}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D37" t="str" cm="1">
        <f t="array" ref="D37:D39">[1]!feed_mod_separate_gas(Ksep,Psep,Tsep,feed_,param)</f>
        <v>{"gamma_gas":0.9,"gamma_oil":0.9,"gamma_wat":1.1,"rsb_m3m3":60.9303769938324,"pb_atma":84.3817224241911,"t_res_C":90,"bob_m3m3":1.16347877656095,"muob_cP":1.22401411974622,"PVT_corr_set":1,"q_liq_sm3day":15,"fw_perc":1,"rp_m3m3":62.6639790853022,"q_gas_free_sm3day":500,"gamma_gas":0.6,"gamma_oil":0.86,"gamma_wat":1,"rsb_m3m3":100}</v>
      </c>
    </row>
    <row r="38" spans="2:16" x14ac:dyDescent="0.25">
      <c r="D38" t="str">
        <v>fluid after separation</v>
      </c>
    </row>
    <row r="39" spans="2:16" x14ac:dyDescent="0.25">
      <c r="D39" t="str">
        <v>["CPVT object created "]</v>
      </c>
    </row>
    <row r="42" spans="2:16" x14ac:dyDescent="0.25">
      <c r="B42" t="s">
        <v>48</v>
      </c>
      <c r="D42" t="s">
        <v>47</v>
      </c>
      <c r="G42" t="s">
        <v>51</v>
      </c>
      <c r="J42" t="s">
        <v>52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q_liq_sm3day</v>
      </c>
      <c r="E44">
        <v>15</v>
      </c>
      <c r="G44" t="str" cm="1">
        <f t="array" ref="G44:H56">[1]!decode_json(D37)</f>
        <v>gamma_gas</v>
      </c>
      <c r="H44">
        <v>0.6</v>
      </c>
      <c r="J44" s="37">
        <f>(H44-C44)/H44</f>
        <v>-0.50000000000000011</v>
      </c>
      <c r="L44" t="str" cm="1">
        <f t="array" ref="L44">[1]!decode_json(D39)</f>
        <v xml:space="preserve">CPVT object created </v>
      </c>
    </row>
    <row r="45" spans="2:16" x14ac:dyDescent="0.25">
      <c r="B45" t="str">
        <v>gamma_oil</v>
      </c>
      <c r="C45">
        <v>0.9</v>
      </c>
      <c r="D45" t="str">
        <v>fw_perc</v>
      </c>
      <c r="E45">
        <v>1</v>
      </c>
      <c r="G45" t="str">
        <v>gamma_oil</v>
      </c>
      <c r="H45">
        <v>0.86</v>
      </c>
      <c r="J45" s="37">
        <f t="shared" ref="J45:J51" si="0">(H45-C45)/H45</f>
        <v>-4.6511627906976785E-2</v>
      </c>
    </row>
    <row r="46" spans="2:16" x14ac:dyDescent="0.25">
      <c r="B46" t="str">
        <v>gamma_wat</v>
      </c>
      <c r="C46">
        <v>1.1000000000000001</v>
      </c>
      <c r="D46" t="str">
        <v>rp_m3m3</v>
      </c>
      <c r="E46">
        <v>80</v>
      </c>
      <c r="G46" t="str">
        <v>gamma_wat</v>
      </c>
      <c r="H46">
        <v>1</v>
      </c>
      <c r="J46" s="37">
        <f t="shared" si="0"/>
        <v>-0.10000000000000009</v>
      </c>
    </row>
    <row r="47" spans="2:16" x14ac:dyDescent="0.25">
      <c r="B47" t="str">
        <v>rsb_m3m3</v>
      </c>
      <c r="C47">
        <v>80</v>
      </c>
      <c r="D47" t="str">
        <v>q_gas_free_sm3day</v>
      </c>
      <c r="E47">
        <v>1000</v>
      </c>
      <c r="G47" t="str">
        <v>rsb_m3m3</v>
      </c>
      <c r="H47" s="36">
        <v>100</v>
      </c>
      <c r="J47" s="37">
        <f t="shared" si="0"/>
        <v>0.2</v>
      </c>
    </row>
    <row r="48" spans="2:16" x14ac:dyDescent="0.25">
      <c r="B48" t="str">
        <v>pb_atma</v>
      </c>
      <c r="C48">
        <v>130</v>
      </c>
      <c r="D48" t="str">
        <v>gamma_gas</v>
      </c>
      <c r="E48">
        <v>0.9</v>
      </c>
      <c r="G48" t="str">
        <v>pb_atma</v>
      </c>
      <c r="H48" s="36">
        <v>84.381722424191096</v>
      </c>
      <c r="J48" s="37">
        <f t="shared" si="0"/>
        <v>-0.54061799481271033</v>
      </c>
    </row>
    <row r="49" spans="2:27" x14ac:dyDescent="0.25">
      <c r="B49" t="str">
        <v>t_res_C</v>
      </c>
      <c r="C49">
        <v>90</v>
      </c>
      <c r="D49" t="str">
        <v>gamma_oil</v>
      </c>
      <c r="E49">
        <v>0.9</v>
      </c>
      <c r="G49" t="str">
        <v>t_res_C</v>
      </c>
      <c r="H49" s="36">
        <v>90</v>
      </c>
      <c r="J49" s="37">
        <f t="shared" si="0"/>
        <v>0</v>
      </c>
    </row>
    <row r="50" spans="2:27" x14ac:dyDescent="0.25">
      <c r="B50" t="str">
        <v>bob_m3m3</v>
      </c>
      <c r="C50">
        <v>1.2</v>
      </c>
      <c r="D50" t="str">
        <v>gamma_wat</v>
      </c>
      <c r="E50">
        <v>1.1000000000000001</v>
      </c>
      <c r="G50" t="str">
        <v>bob_m3m3</v>
      </c>
      <c r="H50" s="35">
        <v>1.16347877656095</v>
      </c>
      <c r="J50" s="37">
        <f t="shared" si="0"/>
        <v>-3.138967738371698E-2</v>
      </c>
    </row>
    <row r="51" spans="2:27" x14ac:dyDescent="0.25">
      <c r="B51" t="str">
        <v>muob_cP</v>
      </c>
      <c r="C51">
        <v>1</v>
      </c>
      <c r="D51" t="str">
        <v>rsb_m3m3</v>
      </c>
      <c r="E51">
        <v>80</v>
      </c>
      <c r="G51" t="str">
        <v>muob_cP</v>
      </c>
      <c r="H51" s="35">
        <v>1.22401411974622</v>
      </c>
      <c r="J51" s="37">
        <f t="shared" si="0"/>
        <v>0.1830159604634837</v>
      </c>
    </row>
    <row r="52" spans="2:27" x14ac:dyDescent="0.25">
      <c r="B52" t="str">
        <v>PVT_corr_set</v>
      </c>
      <c r="C52">
        <v>1</v>
      </c>
      <c r="D52" t="str">
        <v>pb_atma</v>
      </c>
      <c r="E52">
        <v>130</v>
      </c>
      <c r="G52" t="str">
        <v>PVT_corr_set</v>
      </c>
      <c r="H52">
        <v>1</v>
      </c>
      <c r="J52" s="37">
        <f>(H52-C52)</f>
        <v>0</v>
      </c>
    </row>
    <row r="53" spans="2:27" x14ac:dyDescent="0.25">
      <c r="D53" t="str">
        <v>t_res_C</v>
      </c>
      <c r="E53">
        <v>90</v>
      </c>
      <c r="G53" t="str">
        <v>q_liq_sm3day</v>
      </c>
      <c r="H53">
        <v>15</v>
      </c>
      <c r="J53" s="37">
        <f>(H53-E44)/H53</f>
        <v>0</v>
      </c>
    </row>
    <row r="54" spans="2:27" x14ac:dyDescent="0.25">
      <c r="D54" t="str">
        <v>bob_m3m3</v>
      </c>
      <c r="E54">
        <v>1.2</v>
      </c>
      <c r="G54" t="str">
        <v>fw_perc</v>
      </c>
      <c r="H54" s="36">
        <v>1</v>
      </c>
      <c r="J54" s="37">
        <f>(H54-E45)/H54</f>
        <v>0</v>
      </c>
    </row>
    <row r="55" spans="2:27" x14ac:dyDescent="0.25">
      <c r="D55" t="str">
        <v>muob_cP</v>
      </c>
      <c r="E55">
        <v>1</v>
      </c>
      <c r="G55" t="str">
        <v>rp_m3m3</v>
      </c>
      <c r="H55">
        <v>62.663979085302202</v>
      </c>
      <c r="J55" s="37">
        <f t="shared" ref="J55:J56" si="1">(H55-E46)/H55</f>
        <v>-0.27665049630983218</v>
      </c>
    </row>
    <row r="56" spans="2:27" x14ac:dyDescent="0.25">
      <c r="D56" t="str">
        <v>PVT_corr_set</v>
      </c>
      <c r="E56">
        <v>1</v>
      </c>
      <c r="G56" t="str">
        <v>q_gas_free_sm3day</v>
      </c>
      <c r="H56">
        <v>500</v>
      </c>
      <c r="J56" s="37">
        <f t="shared" si="1"/>
        <v>-1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37</v>
      </c>
    </row>
    <row r="63" spans="2:27" s="22" customFormat="1" x14ac:dyDescent="0.25">
      <c r="B63" s="23" t="s">
        <v>0</v>
      </c>
      <c r="C63" s="23" t="s">
        <v>4</v>
      </c>
      <c r="D63" s="23" t="s">
        <v>49</v>
      </c>
      <c r="E63" s="23" t="s">
        <v>50</v>
      </c>
      <c r="F63" s="23" t="s">
        <v>53</v>
      </c>
      <c r="G63" s="23" t="s">
        <v>54</v>
      </c>
      <c r="H63" s="23" t="s">
        <v>55</v>
      </c>
      <c r="I63" s="23" t="s">
        <v>57</v>
      </c>
      <c r="J63" s="23">
        <f t="shared" ref="J63:Q63" si="2">J58</f>
        <v>0</v>
      </c>
      <c r="K63" s="23">
        <f t="shared" si="2"/>
        <v>0</v>
      </c>
      <c r="L63" s="23">
        <f t="shared" si="2"/>
        <v>0</v>
      </c>
      <c r="M63" s="23">
        <f t="shared" si="2"/>
        <v>0</v>
      </c>
      <c r="N63" s="23">
        <f t="shared" si="2"/>
        <v>0</v>
      </c>
      <c r="O63" s="23">
        <f t="shared" si="2"/>
        <v>0</v>
      </c>
      <c r="P63" s="23">
        <f t="shared" si="2"/>
        <v>0</v>
      </c>
      <c r="Q63" s="23">
        <f t="shared" si="2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0.98808859536874982</v>
      </c>
      <c r="F64" s="32">
        <f>[1]!PVT_bo_m3m3(B64,C64,PVT_str_)</f>
        <v>1.0534793197722099</v>
      </c>
      <c r="G64" s="32">
        <f>[1]!PVT_bo_m3m3(B64,C64,PVT_mod)</f>
        <v>1.0580992692849316</v>
      </c>
      <c r="H64" s="32">
        <f>[1]!PVT_mu_oil_cP(B64,C64,PVT_str_)</f>
        <v>2.8476871180848411</v>
      </c>
      <c r="I64" s="32">
        <f>[1]!PVT_mu_oil_cP(B64,C64,PVT_mod)</f>
        <v>2.3804598329696236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5.4883412195472179</v>
      </c>
      <c r="F65" s="32">
        <f>[1]!PVT_bo_m3m3(B65,C65,PVT_str_)</f>
        <v>1.0745707595560308</v>
      </c>
      <c r="G65" s="32">
        <f>[1]!PVT_bo_m3m3(B65,C65,PVT_mod)</f>
        <v>1.0661860031705912</v>
      </c>
      <c r="H65" s="32">
        <f>[1]!PVT_mu_oil_cP(B65,C65,PVT_str_)</f>
        <v>2.3222995895515348</v>
      </c>
      <c r="I65" s="32">
        <f>[1]!PVT_mu_oil_cP(B65,C65,PVT_mod)</f>
        <v>2.2427726044697454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9.8385574145868766</v>
      </c>
      <c r="F66" s="32">
        <f>[1]!PVT_bo_m3m3(B66,C66,PVT_str_)</f>
        <v>1.0860687398903428</v>
      </c>
      <c r="G66" s="32">
        <f>[1]!PVT_bo_m3m3(B66,C66,PVT_mod)</f>
        <v>1.0738362996228064</v>
      </c>
      <c r="H66" s="32">
        <f>[1]!PVT_mu_oil_cP(B66,C66,PVT_str_)</f>
        <v>2.1019909299492414</v>
      </c>
      <c r="I66" s="32">
        <f>[1]!PVT_mu_oil_cP(B66,C66,PVT_mod)</f>
        <v>2.122211649078277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13.722007177096906</v>
      </c>
      <c r="F67" s="32">
        <f>[1]!PVT_bo_m3m3(B67,C67,PVT_str_)</f>
        <v>1.0945670800978287</v>
      </c>
      <c r="G67" s="32">
        <f>[1]!PVT_bo_m3m3(B67,C67,PVT_mod)</f>
        <v>1.0805784595322563</v>
      </c>
      <c r="H67" s="32">
        <f>[1]!PVT_mu_oil_cP(B67,C67,PVT_str_)</f>
        <v>1.9607425936276848</v>
      </c>
      <c r="I67" s="32">
        <f>[1]!PVT_mu_oil_cP(B67,C67,PVT_mod)</f>
        <v>2.0235741287028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17.365574284421715</v>
      </c>
      <c r="F68" s="32">
        <f>[1]!PVT_bo_m3m3(B68,C68,PVT_str_)</f>
        <v>1.1016936726520925</v>
      </c>
      <c r="G68" s="32">
        <f>[1]!PVT_bo_m3m3(B68,C68,PVT_mod)</f>
        <v>1.0868484112177437</v>
      </c>
      <c r="H68" s="32">
        <f>[1]!PVT_mu_oil_cP(B68,C68,PVT_str_)</f>
        <v>1.8540070777883308</v>
      </c>
      <c r="I68" s="32">
        <f>[1]!PVT_mu_oil_cP(B68,C68,PVT_mod)</f>
        <v>1.9378054005158714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20.868812565786062</v>
      </c>
      <c r="F69" s="32">
        <f>[1]!PVT_bo_m3m3(B69,C69,PVT_str_)</f>
        <v>1.108010039961971</v>
      </c>
      <c r="G69" s="32">
        <f>[1]!PVT_bo_m3m3(B69,C69,PVT_mod)</f>
        <v>1.0928375980715948</v>
      </c>
      <c r="H69" s="32">
        <f>[1]!PVT_mu_oil_cP(B69,C69,PVT_str_)</f>
        <v>1.7671669805480328</v>
      </c>
      <c r="I69" s="32">
        <f>[1]!PVT_mu_oil_cP(B69,C69,PVT_mod)</f>
        <v>1.860864182260817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24.289165998232143</v>
      </c>
      <c r="F70" s="32">
        <f>[1]!PVT_bo_m3m3(B70,C70,PVT_str_)</f>
        <v>1.1137870821394629</v>
      </c>
      <c r="G70" s="32">
        <f>[1]!PVT_bo_m3m3(B70,C70,PVT_mod)</f>
        <v>1.0986565206827343</v>
      </c>
      <c r="H70" s="32">
        <f>[1]!PVT_mu_oil_cP(B70,C70,PVT_str_)</f>
        <v>1.6934285220110266</v>
      </c>
      <c r="I70" s="32">
        <f>[1]!PVT_mu_oil_cP(B70,C70,PVT_mod)</f>
        <v>1.7904573897624301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27.664897715054259</v>
      </c>
      <c r="F71" s="32">
        <f>[1]!PVT_bo_m3m3(B71,C71,PVT_str_)</f>
        <v>1.1191790701560145</v>
      </c>
      <c r="G71" s="32">
        <f>[1]!PVT_bo_m3m3(B71,C71,PVT_mod)</f>
        <v>1.1043787656696185</v>
      </c>
      <c r="H71" s="32">
        <f>[1]!PVT_mu_oil_cP(B71,C71,PVT_str_)</f>
        <v>1.62903883759919</v>
      </c>
      <c r="I71" s="32">
        <f>[1]!PVT_mu_oil_cP(B71,C71,PVT_mod)</f>
        <v>1.7251195819281817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31.023906502252583</v>
      </c>
      <c r="F72" s="32">
        <f>[1]!PVT_bo_m3m3(B72,C72,PVT_str_)</f>
        <v>1.1242832605479003</v>
      </c>
      <c r="G72" s="32">
        <f>[1]!PVT_bo_m3m3(B72,C72,PVT_mod)</f>
        <v>1.1100579475736299</v>
      </c>
      <c r="H72" s="32">
        <f>[1]!PVT_mu_oil_cP(B72,C72,PVT_str_)</f>
        <v>1.5716921345481176</v>
      </c>
      <c r="I72" s="32">
        <f>[1]!PVT_mu_oil_cP(B72,C72,PVT_mod)</f>
        <v>1.6638454868413146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34.387842761464299</v>
      </c>
      <c r="F73" s="32">
        <f>[1]!PVT_bo_m3m3(B73,C73,PVT_str_)</f>
        <v>1.1291653680241753</v>
      </c>
      <c r="G73" s="32">
        <f>[1]!PVT_bo_m3m3(B73,C73,PVT_mod)</f>
        <v>1.1157356252367356</v>
      </c>
      <c r="H73" s="32">
        <f>[1]!PVT_mu_oil_cP(B73,C73,PVT_str_)</f>
        <v>1.5198645383346323</v>
      </c>
      <c r="I73" s="32">
        <f>[1]!PVT_mu_oil_cP(B73,C73,PVT_mod)</f>
        <v>1.6059129933134206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37.774288065131117</v>
      </c>
      <c r="F74" s="32">
        <f>[1]!PVT_bo_m3m3(B74,C74,PVT_str_)</f>
        <v>1.133872094217149</v>
      </c>
      <c r="G74" s="32">
        <f>[1]!PVT_bo_m3m3(B74,C74,PVT_mod)</f>
        <v>1.1214454986013629</v>
      </c>
      <c r="H74" s="32">
        <f>[1]!PVT_mu_oil_cP(B74,C74,PVT_str_)</f>
        <v>1.4724936864408851</v>
      </c>
      <c r="I74" s="32">
        <f>[1]!PVT_mu_oil_cP(B74,C74,PVT_mod)</f>
        <v>1.5507869018805942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41.198017464203964</v>
      </c>
      <c r="F75" s="32">
        <f>[1]!PVT_bo_m3m3(B75,C75,PVT_str_)</f>
        <v>1.1384379302441208</v>
      </c>
      <c r="G75" s="32">
        <f>[1]!PVT_bo_m3m3(B75,C75,PVT_mod)</f>
        <v>1.1272158428709729</v>
      </c>
      <c r="H75" s="32">
        <f>[1]!PVT_mu_oil_cP(B75,C75,PVT_str_)</f>
        <v>1.4288080030285084</v>
      </c>
      <c r="I75" s="32">
        <f>[1]!PVT_mu_oil_cP(B75,C75,PVT_mod)</f>
        <v>1.4980619029135129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44.67178153318158</v>
      </c>
      <c r="F76" s="32">
        <f>[1]!PVT_bo_m3m3(B76,C76,PVT_str_)</f>
        <v>1.1428891335019504</v>
      </c>
      <c r="G76" s="32">
        <f>[1]!PVT_bo_m3m3(B76,C76,PVT_mod)</f>
        <v>1.133071019361547</v>
      </c>
      <c r="H76" s="32">
        <f>[1]!PVT_mu_oil_cP(B76,C76,PVT_str_)</f>
        <v>1.3882286099614078</v>
      </c>
      <c r="I76" s="32">
        <f>[1]!PVT_mu_oil_cP(B76,C76,PVT_mod)</f>
        <v>1.4474265449510832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48.206817120190081</v>
      </c>
      <c r="F77" s="32">
        <f>[1]!PVT_bo_m3m3(B77,C77,PVT_str_)</f>
        <v>1.1472461884692586</v>
      </c>
      <c r="G77" s="32">
        <f>[1]!PVT_bo_m3m3(B77,C77,PVT_mod)</f>
        <v>1.1390324645328422</v>
      </c>
      <c r="H77" s="32">
        <f>[1]!PVT_mu_oil_cP(B77,C77,PVT_str_)</f>
        <v>1.3503095663952329</v>
      </c>
      <c r="I77" s="32">
        <f>[1]!PVT_mu_oil_cP(B77,C77,PVT_mod)</f>
        <v>1.3986392831130425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51.813195405359195</v>
      </c>
      <c r="F78" s="32">
        <f>[1]!PVT_bo_m3m3(B78,C78,PVT_str_)</f>
        <v>1.151525402384681</v>
      </c>
      <c r="G78" s="32">
        <f>[1]!PVT_bo_m3m3(B78,C78,PVT_mod)</f>
        <v>1.145119365916228</v>
      </c>
      <c r="H78" s="32">
        <f>[1]!PVT_mu_oil_cP(B78,C78,PVT_str_)</f>
        <v>1.3146997056296075</v>
      </c>
      <c r="I78" s="32">
        <f>[1]!PVT_mu_oil_cP(B78,C78,PVT_mod)</f>
        <v>1.3515118871379983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55.500067554943719</v>
      </c>
      <c r="F79" s="32">
        <f>[1]!PVT_bo_m3m3(B79,C79,PVT_str_)</f>
        <v>1.1557399788210321</v>
      </c>
      <c r="G79" s="32">
        <f>[1]!PVT_bo_m3m3(B79,C79,PVT_mod)</f>
        <v>1.1513491408074186</v>
      </c>
      <c r="H79" s="32">
        <f>[1]!PVT_mu_oil_cP(B79,C79,PVT_str_)</f>
        <v>1.2811173035174945</v>
      </c>
      <c r="I79" s="32">
        <f>[1]!PVT_mu_oil_cP(B79,C79,PVT_mod)</f>
        <v>1.3058975439862188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59.275843281480547</v>
      </c>
      <c r="F80" s="32">
        <f>[1]!PVT_bo_m3m3(B80,C80,PVT_str_)</f>
        <v>1.1599007634081808</v>
      </c>
      <c r="G80" s="32">
        <f>[1]!PVT_bo_m3m3(B80,C80,PVT_mod)</f>
        <v>1.1577377857354691</v>
      </c>
      <c r="H80" s="32">
        <f>[1]!PVT_mu_oil_cP(B80,C80,PVT_str_)</f>
        <v>1.2493327112094554</v>
      </c>
      <c r="I80" s="32">
        <f>[1]!PVT_mu_oil_cP(B80,C80,PVT_mod)</f>
        <v>1.26168207128206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62.663979085302202</v>
      </c>
      <c r="F81" s="32">
        <f>[1]!PVT_bo_m3m3(B81,C81,PVT_str_)</f>
        <v>1.1640167758232913</v>
      </c>
      <c r="G81" s="32">
        <f>[1]!PVT_bo_m3m3(B81,C81,PVT_mod)</f>
        <v>1.1631974102169031</v>
      </c>
      <c r="H81" s="32">
        <f>[1]!PVT_mu_oil_cP(B81,C81,PVT_str_)</f>
        <v>1.2191561162889226</v>
      </c>
      <c r="I81" s="32">
        <f>[1]!PVT_mu_oil_cP(B81,C81,PVT_mod)</f>
        <v>0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62.663979085302202</v>
      </c>
      <c r="F82" s="32">
        <f>[1]!PVT_bo_m3m3(B82,C82,PVT_str_)</f>
        <v>1.168095598136343</v>
      </c>
      <c r="G82" s="32">
        <f>[1]!PVT_bo_m3m3(B82,C82,PVT_mod)</f>
        <v>1.1610662609807623</v>
      </c>
      <c r="H82" s="32">
        <f>[1]!PVT_mu_oil_cP(B82,C82,PVT_str_)</f>
        <v>1.1904287113561383</v>
      </c>
      <c r="I82" s="32">
        <f>[1]!PVT_mu_oil_cP(B82,C82,PVT_mod)</f>
        <v>0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62.663979085302202</v>
      </c>
      <c r="F83" s="32">
        <f>[1]!PVT_bo_m3m3(B83,C83,PVT_str_)</f>
        <v>1.1721436640218439</v>
      </c>
      <c r="G83" s="32">
        <f>[1]!PVT_bo_m3m3(B83,C83,PVT_mod)</f>
        <v>1.1591627531552255</v>
      </c>
      <c r="H83" s="32">
        <f>[1]!PVT_mu_oil_cP(B83,C83,PVT_str_)</f>
        <v>1.1630161887657864</v>
      </c>
      <c r="I83" s="32">
        <f>[1]!PVT_mu_oil_cP(B83,C83,PVT_mod)</f>
        <v>0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62.663979085302202</v>
      </c>
      <c r="F84" s="32">
        <f>[1]!PVT_bo_m3m3(B84,C84,PVT_str_)</f>
        <v>1.176166477818833</v>
      </c>
      <c r="G84" s="32">
        <f>[1]!PVT_bo_m3m3(B84,C84,PVT_mod)</f>
        <v>1.1574522644585072</v>
      </c>
      <c r="H84" s="32">
        <f>[1]!PVT_mu_oil_cP(B84,C84,PVT_str_)</f>
        <v>1.1368038613363898</v>
      </c>
      <c r="I84" s="32">
        <f>[1]!PVT_mu_oil_cP(B84,C84,PVT_mod)</f>
        <v>0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62.663979085302202</v>
      </c>
      <c r="F85" s="32">
        <f>[1]!PVT_bo_m3m3(B85,C85,PVT_str_)</f>
        <v>1.1801687837719308</v>
      </c>
      <c r="G85" s="32">
        <f>[1]!PVT_bo_m3m3(B85,C85,PVT_mod)</f>
        <v>1.1559068544576963</v>
      </c>
      <c r="H85" s="32">
        <f>[1]!PVT_mu_oil_cP(B85,C85,PVT_str_)</f>
        <v>1.1116929435173677</v>
      </c>
      <c r="I85" s="32">
        <f>[1]!PVT_mu_oil_cP(B85,C85,PVT_mod)</f>
        <v>0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62.663979085302202</v>
      </c>
      <c r="F86" s="32">
        <f>[1]!PVT_bo_m3m3(B86,C86,PVT_str_)</f>
        <v>1.1841546969982912</v>
      </c>
      <c r="G86" s="32">
        <f>[1]!PVT_bo_m3m3(B86,C86,PVT_mod)</f>
        <v>1.1545037269051319</v>
      </c>
      <c r="H86" s="32">
        <f>[1]!PVT_mu_oil_cP(B86,C86,PVT_str_)</f>
        <v>1.0875976762256556</v>
      </c>
      <c r="I86" s="32">
        <f>[1]!PVT_mu_oil_cP(B86,C86,PVT_mod)</f>
        <v>0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62.663979085302202</v>
      </c>
      <c r="F87" s="32">
        <f>[1]!PVT_bo_m3m3(B87,C87,PVT_str_)</f>
        <v>1.1881278080109134</v>
      </c>
      <c r="G87" s="32">
        <f>[1]!PVT_bo_m3m3(B87,C87,PVT_mod)</f>
        <v>1.1532240979991746</v>
      </c>
      <c r="H87" s="32">
        <f>[1]!PVT_mu_oil_cP(B87,C87,PVT_str_)</f>
        <v>1.0644430752602296</v>
      </c>
      <c r="I87" s="32">
        <f>[1]!PVT_mu_oil_cP(B87,C87,PVT_mod)</f>
        <v>0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62.663979085302202</v>
      </c>
      <c r="F88" s="32">
        <f>[1]!PVT_bo_m3m3(B88,C88,PVT_str_)</f>
        <v>1.1920912657717289</v>
      </c>
      <c r="G88" s="32">
        <f>[1]!PVT_bo_m3m3(B88,C88,PVT_mod)</f>
        <v>1.1520523508242222</v>
      </c>
      <c r="H88" s="32">
        <f>[1]!PVT_mu_oil_cP(B88,C88,PVT_str_)</f>
        <v>1.0421631475190973</v>
      </c>
      <c r="I88" s="32">
        <f>[1]!PVT_mu_oil_cP(B88,C88,PVT_mod)</f>
        <v>0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62.663979085302202</v>
      </c>
      <c r="F89" s="32">
        <f>[1]!PVT_bo_m3m3(B89,C89,PVT_str_)</f>
        <v>1.1960478448257466</v>
      </c>
      <c r="G89" s="32">
        <f>[1]!PVT_bo_m3m3(B89,C89,PVT_mod)</f>
        <v>1.1509753949612185</v>
      </c>
      <c r="H89" s="32">
        <f>[1]!PVT_mu_oil_cP(B89,C89,PVT_str_)</f>
        <v>1.0206994629052299</v>
      </c>
      <c r="I89" s="32">
        <f>[1]!PVT_mu_oil_cP(B89,C89,PVT_mod)</f>
        <v>0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62.663979085302202</v>
      </c>
      <c r="F90" s="32">
        <f>[1]!PVT_bo_m3m3(B90,C90,PVT_str_)</f>
        <v>1.2</v>
      </c>
      <c r="G90" s="32">
        <f>[1]!PVT_bo_m3m3(B90,C90,PVT_mod)</f>
        <v>1.1499821754474466</v>
      </c>
      <c r="H90" s="32">
        <f>[1]!PVT_mu_oil_cP(B90,C90,PVT_str_)</f>
        <v>0</v>
      </c>
      <c r="I90" s="32">
        <f>[1]!PVT_mu_oil_cP(B90,C90,PVT_mod)</f>
        <v>0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62.663979085302202</v>
      </c>
      <c r="F91" s="32">
        <f>[1]!PVT_bo_m3m3(B91,C91,PVT_str_)</f>
        <v>1.198504922255041</v>
      </c>
      <c r="G91" s="32">
        <f>[1]!PVT_bo_m3m3(B91,C91,PVT_mod)</f>
        <v>1.1490632919715023</v>
      </c>
      <c r="H91" s="32">
        <f>[1]!PVT_mu_oil_cP(B91,C91,PVT_str_)</f>
        <v>0</v>
      </c>
      <c r="I91" s="32">
        <f>[1]!PVT_mu_oil_cP(B91,C91,PVT_mod)</f>
        <v>0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62.663979085302202</v>
      </c>
      <c r="F92" s="32">
        <f>[1]!PVT_bo_m3m3(B92,C92,PVT_str_)</f>
        <v>1.1971183037168887</v>
      </c>
      <c r="G92" s="32">
        <f>[1]!PVT_bo_m3m3(B92,C92,PVT_mod)</f>
        <v>1.1482107004740412</v>
      </c>
      <c r="H92" s="32">
        <f>[1]!PVT_mu_oil_cP(B92,C92,PVT_str_)</f>
        <v>0</v>
      </c>
      <c r="I92" s="32">
        <f>[1]!PVT_mu_oil_cP(B92,C92,PVT_mod)</f>
        <v>0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62.663979085302202</v>
      </c>
      <c r="F93" s="32">
        <f>[1]!PVT_bo_m3m3(B93,C93,PVT_str_)</f>
        <v>1.1958287561970955</v>
      </c>
      <c r="G93" s="32">
        <f>[1]!PVT_bo_m3m3(B93,C93,PVT_mod)</f>
        <v>1.1474174770745165</v>
      </c>
      <c r="H93" s="32">
        <f>[1]!PVT_mu_oil_cP(B93,C93,PVT_str_)</f>
        <v>0</v>
      </c>
      <c r="I93" s="32">
        <f>[1]!PVT_mu_oil_cP(B93,C93,PVT_mod)</f>
        <v>0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62.663979085302202</v>
      </c>
      <c r="F94" s="32">
        <f>[1]!PVT_bo_m3m3(B94,C94,PVT_str_)</f>
        <v>1.1946264318307394</v>
      </c>
      <c r="G94" s="32">
        <f>[1]!PVT_bo_m3m3(B94,C94,PVT_mod)</f>
        <v>1.1466776296476768</v>
      </c>
      <c r="H94" s="32">
        <f>[1]!PVT_mu_oil_cP(B94,C94,PVT_str_)</f>
        <v>0</v>
      </c>
      <c r="I94" s="32">
        <f>[1]!PVT_mu_oil_cP(B94,C94,PVT_mod)</f>
        <v>0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62.663979085302202</v>
      </c>
      <c r="F95" s="32">
        <f>[1]!PVT_bo_m3m3(B95,C95,PVT_str_)</f>
        <v>1.1935027711871058</v>
      </c>
      <c r="G95" s="32">
        <f>[1]!PVT_bo_m3m3(B95,C95,PVT_mod)</f>
        <v>1.1459859461945521</v>
      </c>
      <c r="H95" s="32">
        <f>[1]!PVT_mu_oil_cP(B95,C95,PVT_str_)</f>
        <v>0</v>
      </c>
      <c r="I95" s="32">
        <f>[1]!PVT_mu_oil_cP(B95,C95,PVT_mod)</f>
        <v>0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62.663979085302202</v>
      </c>
      <c r="F96" s="32">
        <f>[1]!PVT_bo_m3m3(B96,C96,PVT_str_)</f>
        <v>1.1924502992419499</v>
      </c>
      <c r="G96" s="32">
        <f>[1]!PVT_bo_m3m3(B96,C96,PVT_mod)</f>
        <v>1.1453378718897722</v>
      </c>
      <c r="H96" s="32">
        <f>[1]!PVT_mu_oil_cP(B96,C96,PVT_str_)</f>
        <v>0</v>
      </c>
      <c r="I96" s="32">
        <f>[1]!PVT_mu_oil_cP(B96,C96,PVT_mod)</f>
        <v>0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62.663979085302202</v>
      </c>
      <c r="F97" s="32">
        <f>[1]!PVT_bo_m3m3(B97,C97,PVT_str_)</f>
        <v>1.191462458927677</v>
      </c>
      <c r="G97" s="32">
        <f>[1]!PVT_bo_m3m3(B97,C97,PVT_mod)</f>
        <v>1.1447294086714948</v>
      </c>
      <c r="H97" s="32">
        <f>[1]!PVT_mu_oil_cP(B97,C97,PVT_str_)</f>
        <v>0</v>
      </c>
      <c r="I97" s="32">
        <f>[1]!PVT_mu_oil_cP(B97,C97,PVT_mod)</f>
        <v>0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62.663979085302202</v>
      </c>
      <c r="F98" s="32">
        <f>[1]!PVT_bo_m3m3(B98,C98,PVT_str_)</f>
        <v>1.1905334744276832</v>
      </c>
      <c r="G98" s="32">
        <f>[1]!PVT_bo_m3m3(B98,C98,PVT_mod)</f>
        <v>1.1441570326951309</v>
      </c>
      <c r="H98" s="32">
        <f>[1]!PVT_mu_oil_cP(B98,C98,PVT_str_)</f>
        <v>0</v>
      </c>
      <c r="I98" s="32">
        <f>[1]!PVT_mu_oil_cP(B98,C98,PVT_mod)</f>
        <v>0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62.663979085302202</v>
      </c>
      <c r="F99" s="32">
        <f>[1]!PVT_bo_m3m3(B99,C99,PVT_str_)</f>
        <v>1.1896582381934191</v>
      </c>
      <c r="G99" s="32">
        <f>[1]!PVT_bo_m3m3(B99,C99,PVT_mod)</f>
        <v>1.1436176260499107</v>
      </c>
      <c r="H99" s="32">
        <f>[1]!PVT_mu_oil_cP(B99,C99,PVT_str_)</f>
        <v>0</v>
      </c>
      <c r="I99" s="32">
        <f>[1]!PVT_mu_oil_cP(B99,C99,PVT_mod)</f>
        <v>0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62.663979085302202</v>
      </c>
      <c r="F100" s="32">
        <f>[1]!PVT_bo_m3m3(B100,C100,PVT_str_)</f>
        <v>1.1888322170166392</v>
      </c>
      <c r="G100" s="32">
        <f>[1]!PVT_bo_m3m3(B100,C100,PVT_mod)</f>
        <v>1.1431084199436639</v>
      </c>
      <c r="H100" s="32">
        <f>[1]!PVT_mu_oil_cP(B100,C100,PVT_str_)</f>
        <v>0</v>
      </c>
      <c r="I100" s="32">
        <f>[1]!PVT_mu_oil_cP(B100,C100,PVT_mod)</f>
        <v>0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62.663979085302202</v>
      </c>
      <c r="F101" s="32">
        <f>[1]!PVT_bo_m3m3(B101,C101,PVT_str_)</f>
        <v>1.1880513735101232</v>
      </c>
      <c r="G101" s="32">
        <f>[1]!PVT_bo_m3m3(B101,C101,PVT_mod)</f>
        <v>1.142626947169944</v>
      </c>
      <c r="H101" s="32">
        <f>[1]!PVT_mu_oil_cP(B101,C101,PVT_str_)</f>
        <v>0</v>
      </c>
      <c r="I101" s="32">
        <f>[1]!PVT_mu_oil_cP(B101,C101,PVT_mod)</f>
        <v>0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62.663979085302202</v>
      </c>
      <c r="F102" s="32">
        <f>[1]!PVT_bo_m3m3(B102,C102,PVT_str_)</f>
        <v>1.187312100126485</v>
      </c>
      <c r="G102" s="32">
        <f>[1]!PVT_bo_m3m3(B102,C102,PVT_mod)</f>
        <v>1.1421710021351388</v>
      </c>
      <c r="H102" s="32">
        <f>[1]!PVT_mu_oil_cP(B102,C102,PVT_str_)</f>
        <v>0</v>
      </c>
      <c r="I102" s="32">
        <f>[1]!PVT_mu_oil_cP(B102,C102,PVT_mod)</f>
        <v>0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62.663979085302202</v>
      </c>
      <c r="F103" s="32">
        <f>[1]!PVT_bo_m3m3(B103,C103,PVT_str_)</f>
        <v>1.1866111634399235</v>
      </c>
      <c r="G103" s="32">
        <f>[1]!PVT_bo_m3m3(B103,C103,PVT_mod)</f>
        <v>1.1417386070790196</v>
      </c>
      <c r="H103" s="32">
        <f>[1]!PVT_mu_oil_cP(B103,C103,PVT_str_)</f>
        <v>0</v>
      </c>
      <c r="I103" s="32">
        <f>[1]!PVT_mu_oil_cP(B103,C103,PVT_mod)</f>
        <v>0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62.663979085302202</v>
      </c>
      <c r="F104" s="32">
        <f>[1]!PVT_bo_m3m3(B104,C104,PVT_str_)</f>
        <v>1.1859456568756555</v>
      </c>
      <c r="G104" s="32">
        <f>[1]!PVT_bo_m3m3(B104,C104,PVT_mod)</f>
        <v>1.1413279833973748</v>
      </c>
      <c r="H104" s="32">
        <f>[1]!PVT_mu_oil_cP(B104,C104,PVT_str_)</f>
        <v>0</v>
      </c>
      <c r="I104" s="32">
        <f>[1]!PVT_mu_oil_cP(B104,C104,PVT_mod)</f>
        <v>0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exercise_PVT</vt:lpstr>
      <vt:lpstr>exercise_PVT!Bob_</vt:lpstr>
      <vt:lpstr>exercise_PVT!Course</vt:lpstr>
      <vt:lpstr>feed_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Ksep</vt:lpstr>
      <vt:lpstr>exercise_PVT!muob_</vt:lpstr>
      <vt:lpstr>exercise_PVT!Notes</vt:lpstr>
      <vt:lpstr>param</vt:lpstr>
      <vt:lpstr>exercise_PVT!Pb_</vt:lpstr>
      <vt:lpstr>Psep</vt:lpstr>
      <vt:lpstr>PVT_mod</vt:lpstr>
      <vt:lpstr>exercise_PVT!PVT_str_</vt:lpstr>
      <vt:lpstr>Qgas</vt:lpstr>
      <vt:lpstr>Qliq</vt:lpstr>
      <vt:lpstr>rp</vt:lpstr>
      <vt:lpstr>exercise_PVT!Rsb_</vt:lpstr>
      <vt:lpstr>exercise_PVT!Student_Name</vt:lpstr>
      <vt:lpstr>exercise_PVT!Tres_</vt:lpstr>
      <vt:lpstr>Tsep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2021-01-25T09:20:38Z</dcterms:modified>
</cp:coreProperties>
</file>