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/>
  <mc:AlternateContent xmlns:mc="http://schemas.openxmlformats.org/markup-compatibility/2006">
    <mc:Choice Requires="x15">
      <x15ac:absPath xmlns:x15ac="http://schemas.microsoft.com/office/spreadsheetml/2010/11/ac" url="E:\unifloc\unifloc_vba\examples\"/>
    </mc:Choice>
  </mc:AlternateContent>
  <xr:revisionPtr revIDLastSave="0" documentId="13_ncr:1_{09010B99-C66B-497A-A4E8-43CBCEC6DE93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графики от давления" sheetId="1" r:id="rId1"/>
    <sheet name="pb vs rsb" sheetId="2" r:id="rId2"/>
  </sheets>
  <externalReferences>
    <externalReference r:id="rId3"/>
  </externalReferences>
  <definedNames>
    <definedName name="Bob_" localSheetId="0">'графики от давления'!$C$17</definedName>
    <definedName name="bob_m3m3">'pb vs rsb'!$C$13</definedName>
    <definedName name="correlation">'графики от давления'!$C$19</definedName>
    <definedName name="gamma_gas">'pb vs rsb'!$C$7</definedName>
    <definedName name="gamma_gas_" localSheetId="0">'графики от давления'!$C$13</definedName>
    <definedName name="gamma_oil">'pb vs rsb'!$C$8</definedName>
    <definedName name="gamma_oil_" localSheetId="0">'графики от давления'!$C$11</definedName>
    <definedName name="gamma_wat">'pb vs rsb'!$C$9</definedName>
    <definedName name="gamma_wat_" localSheetId="0">'графики от давления'!$C$12</definedName>
    <definedName name="linspace">'pb vs rsb'!$C$57</definedName>
    <definedName name="muob_" localSheetId="0">'графики от давления'!$C$18</definedName>
    <definedName name="muob_cP">'pb vs rsb'!$C$14</definedName>
    <definedName name="Pb_" localSheetId="0">'графики от давления'!$C$15</definedName>
    <definedName name="pb_atma">'pb vs rsb'!$C$11</definedName>
    <definedName name="pvt_corr_set">'pb vs rsb'!$C$15</definedName>
    <definedName name="PVT_json">'графики от давления'!$C$16</definedName>
    <definedName name="PVT_json_1">'pb vs rsb'!$C$16</definedName>
    <definedName name="Rsb_" localSheetId="0">'графики от давления'!$C$14</definedName>
    <definedName name="rsb_m3m3">'pb vs rsb'!$C$10</definedName>
    <definedName name="t_res_C">'pb vs rsb'!$C$12</definedName>
    <definedName name="Tres_" localSheetId="0">'графики от давления'!$C$16</definedName>
    <definedName name="Количество_точек">'графики от давления'!$C$24</definedName>
    <definedName name="Конец">'графики от давления'!$C$23</definedName>
    <definedName name="Массив_точек">'графики от давления'!$C$25</definedName>
    <definedName name="Начало">'графики от давления'!$C$22</definedName>
    <definedName name="Температура">'графики от давления'!$C$26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31" i="1"/>
  <c r="C41" i="2" a="1"/>
  <c r="C27" i="2" a="1"/>
  <c r="C35" i="2" a="1"/>
  <c r="D28" i="2" a="1"/>
  <c r="D43" i="2" a="1"/>
  <c r="C42" i="2" a="1"/>
  <c r="D35" i="2" a="1"/>
  <c r="D30" i="2" a="1"/>
  <c r="C39" i="2" a="1"/>
  <c r="D42" i="2" a="1"/>
  <c r="D40" i="2" a="1"/>
  <c r="D38" i="2" a="1"/>
  <c r="D32" i="2" a="1"/>
  <c r="C43" i="2" a="1"/>
  <c r="C26" i="2" a="1"/>
  <c r="D33" i="2" a="1"/>
  <c r="D24" i="2" a="1"/>
  <c r="C34" i="2" a="1"/>
  <c r="C31" i="2" a="1"/>
  <c r="D41" i="2" a="1"/>
  <c r="D25" i="2" a="1"/>
  <c r="C33" i="2" a="1"/>
  <c r="D37" i="2" a="1"/>
  <c r="C37" i="2" a="1"/>
  <c r="C24" i="2" a="1"/>
  <c r="D31" i="2" a="1"/>
  <c r="C32" i="2" a="1"/>
  <c r="C40" i="2" a="1"/>
  <c r="D26" i="2" a="1"/>
  <c r="C38" i="2" a="1"/>
  <c r="C36" i="2" a="1"/>
  <c r="D36" i="2" a="1"/>
  <c r="C30" i="2" a="1"/>
  <c r="C25" i="2" a="1"/>
  <c r="C29" i="2" a="1"/>
  <c r="D39" i="2" a="1"/>
  <c r="C28" i="2" a="1"/>
  <c r="D23" i="2" a="1"/>
  <c r="C23" i="2" a="1"/>
  <c r="D27" i="2" a="1"/>
  <c r="D34" i="2" a="1"/>
  <c r="D29" i="2" a="1"/>
  <c r="F26" i="2" a="1"/>
  <c r="F33" i="2" a="1"/>
  <c r="I22" i="2"/>
  <c r="F30" i="2" a="1"/>
  <c r="F27" i="2" a="1"/>
  <c r="F25" i="2" a="1"/>
  <c r="F41" i="2" a="1"/>
  <c r="F23" i="2" a="1"/>
  <c r="F40" i="2" a="1"/>
  <c r="F38" i="2" a="1"/>
  <c r="C25" i="1" a="1"/>
  <c r="C16" i="2"/>
  <c r="F36" i="2" a="1"/>
  <c r="F29" i="2" a="1"/>
  <c r="F37" i="2" a="1"/>
  <c r="F28" i="2" a="1"/>
  <c r="C16" i="1"/>
  <c r="F39" i="2" a="1"/>
  <c r="F31" i="2" a="1"/>
  <c r="J22" i="2"/>
  <c r="F51" i="2" a="1"/>
  <c r="F35" i="2" a="1"/>
  <c r="F43" i="2" a="1"/>
  <c r="F42" i="2" a="1"/>
  <c r="F24" i="2" a="1"/>
  <c r="F34" i="2" a="1"/>
  <c r="F32" i="2" a="1"/>
  <c r="D36" i="2" l="1"/>
  <c r="F29" i="2"/>
  <c r="D33" i="2"/>
  <c r="F35" i="2"/>
  <c r="F36" i="2"/>
  <c r="C33" i="2"/>
  <c r="F40" i="2"/>
  <c r="F23" i="2"/>
  <c r="D25" i="2"/>
  <c r="F25" i="2"/>
  <c r="F30" i="2"/>
  <c r="C26" i="2"/>
  <c r="F32" i="2"/>
  <c r="D30" i="2"/>
  <c r="F42" i="2"/>
  <c r="D35" i="2"/>
  <c r="C35" i="2"/>
  <c r="C30" i="2"/>
  <c r="D34" i="2"/>
  <c r="F41" i="2"/>
  <c r="C23" i="2"/>
  <c r="D39" i="2"/>
  <c r="D24" i="2"/>
  <c r="F24" i="2"/>
  <c r="C37" i="2"/>
  <c r="C40" i="2"/>
  <c r="F51" i="2"/>
  <c r="F39" i="2"/>
  <c r="D41" i="2"/>
  <c r="C43" i="2"/>
  <c r="D40" i="2"/>
  <c r="C42" i="2"/>
  <c r="C27" i="2"/>
  <c r="D28" i="2"/>
  <c r="D27" i="2"/>
  <c r="D23" i="2"/>
  <c r="C29" i="2"/>
  <c r="C24" i="2"/>
  <c r="F28" i="2"/>
  <c r="D37" i="2"/>
  <c r="C32" i="2"/>
  <c r="C31" i="2"/>
  <c r="D32" i="2"/>
  <c r="F33" i="2"/>
  <c r="F34" i="2"/>
  <c r="F38" i="2"/>
  <c r="D42" i="2"/>
  <c r="F43" i="2"/>
  <c r="D43" i="2"/>
  <c r="C41" i="2"/>
  <c r="D26" i="2"/>
  <c r="D29" i="2"/>
  <c r="C28" i="2"/>
  <c r="F27" i="2"/>
  <c r="F26" i="2"/>
  <c r="C25" i="2"/>
  <c r="C36" i="2"/>
  <c r="C38" i="2"/>
  <c r="D31" i="2"/>
  <c r="C34" i="2"/>
  <c r="F31" i="2"/>
  <c r="F37" i="2"/>
  <c r="D38" i="2"/>
  <c r="C25" i="1"/>
  <c r="C39" i="2"/>
  <c r="C52" i="2" a="1"/>
  <c r="J34" i="2" a="1"/>
  <c r="G29" i="2" a="1"/>
  <c r="J29" i="2" a="1"/>
  <c r="G36" i="2" a="1"/>
  <c r="I24" i="2" a="1"/>
  <c r="I40" i="2" a="1"/>
  <c r="J41" i="2" a="1"/>
  <c r="G43" i="2" a="1"/>
  <c r="I29" i="2" a="1"/>
  <c r="J42" i="2" a="1"/>
  <c r="I34" i="2" a="1"/>
  <c r="I28" i="2" a="1"/>
  <c r="J33" i="2" a="1"/>
  <c r="I25" i="2" a="1"/>
  <c r="J27" i="2" a="1"/>
  <c r="G25" i="2" a="1"/>
  <c r="G40" i="2" a="1"/>
  <c r="G32" i="2" a="1"/>
  <c r="G38" i="2" a="1"/>
  <c r="G37" i="2" a="1"/>
  <c r="G39" i="2" a="1"/>
  <c r="G42" i="2" a="1"/>
  <c r="I37" i="2" a="1"/>
  <c r="I26" i="2" a="1"/>
  <c r="J37" i="2" a="1"/>
  <c r="J32" i="2" a="1"/>
  <c r="I30" i="2" a="1"/>
  <c r="G26" i="2" a="1"/>
  <c r="I23" i="2" a="1"/>
  <c r="G27" i="2" a="1"/>
  <c r="J31" i="2" a="1"/>
  <c r="J28" i="2" a="1"/>
  <c r="G28" i="2" a="1"/>
  <c r="J26" i="2" a="1"/>
  <c r="J36" i="2" a="1"/>
  <c r="I42" i="2" a="1"/>
  <c r="J25" i="2" a="1"/>
  <c r="I35" i="2" a="1"/>
  <c r="G33" i="2" a="1"/>
  <c r="I31" i="2" a="1"/>
  <c r="G35" i="2" a="1"/>
  <c r="G34" i="2" a="1"/>
  <c r="I41" i="2" a="1"/>
  <c r="G23" i="2" a="1"/>
  <c r="J39" i="2" a="1"/>
  <c r="B31" i="1" a="1"/>
  <c r="I33" i="2" a="1"/>
  <c r="I27" i="2" a="1"/>
  <c r="J24" i="2" a="1"/>
  <c r="I38" i="2" a="1"/>
  <c r="G41" i="2" a="1"/>
  <c r="G31" i="2" a="1"/>
  <c r="I32" i="2" a="1"/>
  <c r="J23" i="2" a="1"/>
  <c r="I43" i="2" a="1"/>
  <c r="J43" i="2" a="1"/>
  <c r="J38" i="2" a="1"/>
  <c r="G30" i="2" a="1"/>
  <c r="J40" i="2" a="1"/>
  <c r="J30" i="2" a="1"/>
  <c r="I36" i="2" a="1"/>
  <c r="J35" i="2" a="1"/>
  <c r="G24" i="2" a="1"/>
  <c r="I39" i="2" a="1"/>
  <c r="J37" i="2" l="1"/>
  <c r="G23" i="2"/>
  <c r="J42" i="2"/>
  <c r="G42" i="2"/>
  <c r="G37" i="2"/>
  <c r="G27" i="2"/>
  <c r="G38" i="2"/>
  <c r="I24" i="2"/>
  <c r="I43" i="2"/>
  <c r="J39" i="2"/>
  <c r="J30" i="2"/>
  <c r="I33" i="2"/>
  <c r="G31" i="2"/>
  <c r="I28" i="2"/>
  <c r="G34" i="2"/>
  <c r="I29" i="2"/>
  <c r="J41" i="2"/>
  <c r="I23" i="2"/>
  <c r="G32" i="2"/>
  <c r="G36" i="2"/>
  <c r="I25" i="2"/>
  <c r="G24" i="2"/>
  <c r="J40" i="2"/>
  <c r="J23" i="2"/>
  <c r="G41" i="2"/>
  <c r="I26" i="2"/>
  <c r="G35" i="2"/>
  <c r="G43" i="2"/>
  <c r="I42" i="2"/>
  <c r="G26" i="2"/>
  <c r="G40" i="2"/>
  <c r="J29" i="2"/>
  <c r="J26" i="2"/>
  <c r="C52" i="2"/>
  <c r="G30" i="2"/>
  <c r="J33" i="2"/>
  <c r="I38" i="2"/>
  <c r="I41" i="2"/>
  <c r="I31" i="2"/>
  <c r="J28" i="2"/>
  <c r="I40" i="2"/>
  <c r="I30" i="2"/>
  <c r="G25" i="2"/>
  <c r="G29" i="2"/>
  <c r="B33" i="1"/>
  <c r="B41" i="1"/>
  <c r="B49" i="1"/>
  <c r="B34" i="1"/>
  <c r="B42" i="1"/>
  <c r="B50" i="1"/>
  <c r="B35" i="1"/>
  <c r="B43" i="1"/>
  <c r="B51" i="1"/>
  <c r="B36" i="1"/>
  <c r="B44" i="1"/>
  <c r="B52" i="1"/>
  <c r="B37" i="1"/>
  <c r="B45" i="1"/>
  <c r="B53" i="1"/>
  <c r="B38" i="1"/>
  <c r="B56" i="1"/>
  <c r="B54" i="1"/>
  <c r="B39" i="1"/>
  <c r="B40" i="1"/>
  <c r="B32" i="1"/>
  <c r="B46" i="1"/>
  <c r="B47" i="1"/>
  <c r="B31" i="1"/>
  <c r="B55" i="1"/>
  <c r="B48" i="1"/>
  <c r="J35" i="2"/>
  <c r="J38" i="2"/>
  <c r="G28" i="2"/>
  <c r="J24" i="2"/>
  <c r="I34" i="2"/>
  <c r="G33" i="2"/>
  <c r="G39" i="2"/>
  <c r="J31" i="2"/>
  <c r="J32" i="2"/>
  <c r="J27" i="2"/>
  <c r="J34" i="2"/>
  <c r="I39" i="2"/>
  <c r="I36" i="2"/>
  <c r="J43" i="2"/>
  <c r="I32" i="2"/>
  <c r="I27" i="2"/>
  <c r="I37" i="2"/>
  <c r="I35" i="2"/>
  <c r="J25" i="2"/>
  <c r="J36" i="2"/>
  <c r="M42" i="1"/>
  <c r="N37" i="1"/>
  <c r="R37" i="1"/>
  <c r="G32" i="1"/>
  <c r="N53" i="1"/>
  <c r="K53" i="1"/>
  <c r="S38" i="1"/>
  <c r="S56" i="1"/>
  <c r="L56" i="1"/>
  <c r="E36" i="1"/>
  <c r="S48" i="1"/>
  <c r="T48" i="1"/>
  <c r="S44" i="1"/>
  <c r="F52" i="2" a="1"/>
  <c r="K50" i="1"/>
  <c r="L45" i="1"/>
  <c r="Q45" i="1"/>
  <c r="P46" i="1"/>
  <c r="T31" i="1"/>
  <c r="J31" i="1"/>
  <c r="G55" i="1"/>
  <c r="F41" i="1"/>
  <c r="T41" i="1"/>
  <c r="F39" i="1"/>
  <c r="L34" i="1"/>
  <c r="J34" i="1"/>
  <c r="K35" i="1"/>
  <c r="J47" i="1"/>
  <c r="G47" i="1"/>
  <c r="E51" i="1"/>
  <c r="S54" i="1"/>
  <c r="G54" i="1"/>
  <c r="O49" i="1"/>
  <c r="M40" i="1"/>
  <c r="U40" i="1"/>
  <c r="K43" i="1"/>
  <c r="M52" i="1"/>
  <c r="R52" i="1"/>
  <c r="P33" i="1"/>
  <c r="U46" i="1"/>
  <c r="L31" i="1"/>
  <c r="D41" i="1" a="1"/>
  <c r="T39" i="1"/>
  <c r="N34" i="1"/>
  <c r="D47" i="1" a="1"/>
  <c r="P51" i="1"/>
  <c r="K54" i="1"/>
  <c r="M49" i="1"/>
  <c r="L40" i="1"/>
  <c r="M43" i="1"/>
  <c r="R33" i="1"/>
  <c r="Q33" i="1"/>
  <c r="L50" i="1"/>
  <c r="J45" i="1"/>
  <c r="M46" i="1"/>
  <c r="O46" i="1"/>
  <c r="H31" i="1"/>
  <c r="L55" i="1"/>
  <c r="F55" i="1"/>
  <c r="O41" i="1"/>
  <c r="L39" i="1"/>
  <c r="G35" i="1"/>
  <c r="P47" i="1"/>
  <c r="J49" i="1"/>
  <c r="O43" i="1"/>
  <c r="S52" i="1"/>
  <c r="J33" i="1"/>
  <c r="E41" i="1"/>
  <c r="H47" i="1"/>
  <c r="J54" i="1"/>
  <c r="T49" i="1"/>
  <c r="F40" i="1"/>
  <c r="K52" i="1"/>
  <c r="M33" i="1"/>
  <c r="L43" i="1"/>
  <c r="P54" i="1"/>
  <c r="E42" i="1"/>
  <c r="F37" i="1"/>
  <c r="I37" i="1"/>
  <c r="O32" i="1"/>
  <c r="F53" i="1"/>
  <c r="H53" i="1"/>
  <c r="Q38" i="1"/>
  <c r="K56" i="1"/>
  <c r="N56" i="1"/>
  <c r="Q36" i="1"/>
  <c r="K48" i="1"/>
  <c r="D48" i="1" a="1"/>
  <c r="K44" i="1"/>
  <c r="Q50" i="1"/>
  <c r="F50" i="1"/>
  <c r="R45" i="1"/>
  <c r="R46" i="1"/>
  <c r="T55" i="1"/>
  <c r="M55" i="1"/>
  <c r="O39" i="1"/>
  <c r="D35" i="1" a="1"/>
  <c r="F35" i="1"/>
  <c r="M51" i="1"/>
  <c r="R49" i="1"/>
  <c r="P43" i="1"/>
  <c r="E52" i="1"/>
  <c r="I50" i="1"/>
  <c r="G34" i="1"/>
  <c r="R54" i="1"/>
  <c r="O40" i="1"/>
  <c r="D39" i="1" a="1"/>
  <c r="H35" i="1"/>
  <c r="T35" i="1"/>
  <c r="J51" i="1"/>
  <c r="Q49" i="1"/>
  <c r="D43" i="1" a="1"/>
  <c r="U33" i="1"/>
  <c r="D49" i="1" a="1"/>
  <c r="E40" i="1"/>
  <c r="I52" i="1"/>
  <c r="U34" i="1"/>
  <c r="O47" i="1"/>
  <c r="G49" i="1"/>
  <c r="G43" i="1"/>
  <c r="D33" i="1" a="1"/>
  <c r="L42" i="1"/>
  <c r="D37" i="1" a="1"/>
  <c r="M37" i="1"/>
  <c r="H32" i="1"/>
  <c r="U53" i="1"/>
  <c r="I53" i="1"/>
  <c r="H38" i="1"/>
  <c r="D56" i="1" a="1"/>
  <c r="U56" i="1"/>
  <c r="I36" i="1"/>
  <c r="R48" i="1"/>
  <c r="E48" i="1"/>
  <c r="Q44" i="1"/>
  <c r="G39" i="1"/>
  <c r="P35" i="1"/>
  <c r="H51" i="1"/>
  <c r="Q51" i="1"/>
  <c r="S49" i="1"/>
  <c r="H43" i="1"/>
  <c r="H33" i="1"/>
  <c r="P39" i="1"/>
  <c r="P34" i="1"/>
  <c r="O51" i="1"/>
  <c r="Q43" i="1"/>
  <c r="I33" i="1"/>
  <c r="S40" i="1"/>
  <c r="O52" i="1"/>
  <c r="K33" i="1"/>
  <c r="N39" i="1"/>
  <c r="R47" i="1"/>
  <c r="L54" i="1"/>
  <c r="J40" i="1"/>
  <c r="D52" i="1" a="1"/>
  <c r="K42" i="1"/>
  <c r="Q37" i="1"/>
  <c r="E37" i="1"/>
  <c r="U32" i="1"/>
  <c r="M53" i="1"/>
  <c r="O53" i="1"/>
  <c r="K38" i="1"/>
  <c r="R56" i="1"/>
  <c r="E56" i="1"/>
  <c r="J36" i="1"/>
  <c r="J48" i="1"/>
  <c r="U48" i="1"/>
  <c r="T44" i="1"/>
  <c r="D50" i="1" a="1"/>
  <c r="N50" i="1"/>
  <c r="O45" i="1"/>
  <c r="E46" i="1"/>
  <c r="F46" i="1"/>
  <c r="P31" i="1"/>
  <c r="S55" i="1"/>
  <c r="N55" i="1"/>
  <c r="N41" i="1"/>
  <c r="R42" i="1"/>
  <c r="H37" i="1"/>
  <c r="O37" i="1"/>
  <c r="I32" i="1"/>
  <c r="E53" i="1"/>
  <c r="P53" i="1"/>
  <c r="L38" i="1"/>
  <c r="J56" i="1"/>
  <c r="F56" i="1"/>
  <c r="S36" i="1"/>
  <c r="Q48" i="1"/>
  <c r="F48" i="1"/>
  <c r="P44" i="1"/>
  <c r="P50" i="1"/>
  <c r="R50" i="1"/>
  <c r="P45" i="1"/>
  <c r="T46" i="1"/>
  <c r="G46" i="1"/>
  <c r="N31" i="1"/>
  <c r="K55" i="1"/>
  <c r="O55" i="1"/>
  <c r="S41" i="1"/>
  <c r="S39" i="1"/>
  <c r="H39" i="1"/>
  <c r="F34" i="1"/>
  <c r="N35" i="1"/>
  <c r="L35" i="1"/>
  <c r="M47" i="1"/>
  <c r="G51" i="1"/>
  <c r="R51" i="1"/>
  <c r="Q54" i="1"/>
  <c r="I49" i="1"/>
  <c r="E49" i="1"/>
  <c r="P40" i="1"/>
  <c r="N43" i="1"/>
  <c r="J43" i="1"/>
  <c r="H52" i="1"/>
  <c r="L33" i="1"/>
  <c r="S33" i="1"/>
  <c r="N42" i="1"/>
  <c r="P37" i="1"/>
  <c r="S37" i="1"/>
  <c r="E32" i="1"/>
  <c r="T53" i="1"/>
  <c r="Q53" i="1"/>
  <c r="J38" i="1"/>
  <c r="Q56" i="1"/>
  <c r="T56" i="1"/>
  <c r="K36" i="1"/>
  <c r="I48" i="1"/>
  <c r="N48" i="1"/>
  <c r="R44" i="1"/>
  <c r="H50" i="1"/>
  <c r="S50" i="1"/>
  <c r="K45" i="1"/>
  <c r="L46" i="1"/>
  <c r="H46" i="1"/>
  <c r="O31" i="1"/>
  <c r="R55" i="1"/>
  <c r="U55" i="1"/>
  <c r="K41" i="1"/>
  <c r="J39" i="1"/>
  <c r="Q39" i="1"/>
  <c r="H34" i="1"/>
  <c r="E35" i="1"/>
  <c r="U35" i="1"/>
  <c r="I47" i="1"/>
  <c r="N51" i="1"/>
  <c r="K51" i="1"/>
  <c r="I54" i="1"/>
  <c r="P49" i="1"/>
  <c r="U49" i="1"/>
  <c r="G40" i="1"/>
  <c r="F43" i="1"/>
  <c r="E43" i="1"/>
  <c r="J52" i="1"/>
  <c r="E33" i="1"/>
  <c r="Q42" i="1"/>
  <c r="F42" i="1"/>
  <c r="G37" i="1"/>
  <c r="D32" i="1" a="1"/>
  <c r="N32" i="1"/>
  <c r="L53" i="1"/>
  <c r="U38" i="1"/>
  <c r="N38" i="1"/>
  <c r="I56" i="1"/>
  <c r="O36" i="1"/>
  <c r="T36" i="1"/>
  <c r="O48" i="1"/>
  <c r="O44" i="1"/>
  <c r="I44" i="1"/>
  <c r="O50" i="1"/>
  <c r="T50" i="1"/>
  <c r="E45" i="1"/>
  <c r="S46" i="1"/>
  <c r="D46" i="1" a="1"/>
  <c r="G31" i="1"/>
  <c r="J55" i="1"/>
  <c r="E55" i="1"/>
  <c r="U41" i="1"/>
  <c r="M39" i="1"/>
  <c r="U39" i="1"/>
  <c r="R34" i="1"/>
  <c r="M35" i="1"/>
  <c r="Q35" i="1"/>
  <c r="Q47" i="1"/>
  <c r="F51" i="1"/>
  <c r="S51" i="1"/>
  <c r="F54" i="1"/>
  <c r="H49" i="1"/>
  <c r="L49" i="1"/>
  <c r="R40" i="1"/>
  <c r="T43" i="1"/>
  <c r="R43" i="1"/>
  <c r="T52" i="1"/>
  <c r="T33" i="1"/>
  <c r="G33" i="1"/>
  <c r="S42" i="1"/>
  <c r="R53" i="1"/>
  <c r="M38" i="1"/>
  <c r="O38" i="1"/>
  <c r="G36" i="1"/>
  <c r="U36" i="1"/>
  <c r="G48" i="1"/>
  <c r="J44" i="1"/>
  <c r="S45" i="1"/>
  <c r="E47" i="1"/>
  <c r="D51" i="1" a="1"/>
  <c r="U54" i="1"/>
  <c r="D54" i="1" a="1"/>
  <c r="I42" i="1"/>
  <c r="K37" i="1"/>
  <c r="T32" i="1"/>
  <c r="P32" i="1"/>
  <c r="P56" i="1"/>
  <c r="G44" i="1"/>
  <c r="G50" i="1"/>
  <c r="N45" i="1"/>
  <c r="K46" i="1"/>
  <c r="D31" i="1" a="1"/>
  <c r="I31" i="1"/>
  <c r="Q55" i="1"/>
  <c r="R41" i="1"/>
  <c r="I41" i="1"/>
  <c r="R39" i="1"/>
  <c r="Q34" i="1"/>
  <c r="O34" i="1"/>
  <c r="I35" i="1"/>
  <c r="T47" i="1"/>
  <c r="O42" i="1"/>
  <c r="H42" i="1"/>
  <c r="T37" i="1"/>
  <c r="L32" i="1"/>
  <c r="J32" i="1"/>
  <c r="J53" i="1"/>
  <c r="E38" i="1"/>
  <c r="T38" i="1"/>
  <c r="H56" i="1"/>
  <c r="P36" i="1"/>
  <c r="L36" i="1"/>
  <c r="L48" i="1"/>
  <c r="D44" i="1" a="1"/>
  <c r="H44" i="1"/>
  <c r="U50" i="1"/>
  <c r="F45" i="1"/>
  <c r="G45" i="1"/>
  <c r="Q46" i="1"/>
  <c r="U31" i="1"/>
  <c r="R31" i="1"/>
  <c r="I55" i="1"/>
  <c r="J41" i="1"/>
  <c r="L41" i="1"/>
  <c r="I39" i="1"/>
  <c r="I34" i="1"/>
  <c r="S34" i="1"/>
  <c r="R35" i="1"/>
  <c r="L47" i="1"/>
  <c r="U47" i="1"/>
  <c r="T51" i="1"/>
  <c r="M54" i="1"/>
  <c r="N54" i="1"/>
  <c r="N49" i="1"/>
  <c r="K40" i="1"/>
  <c r="H40" i="1"/>
  <c r="U43" i="1"/>
  <c r="G52" i="1"/>
  <c r="L52" i="1"/>
  <c r="N33" i="1"/>
  <c r="N46" i="1"/>
  <c r="S31" i="1"/>
  <c r="H55" i="1"/>
  <c r="H41" i="1"/>
  <c r="M41" i="1"/>
  <c r="E39" i="1"/>
  <c r="E34" i="1"/>
  <c r="J35" i="1"/>
  <c r="K47" i="1"/>
  <c r="N47" i="1"/>
  <c r="I51" i="1"/>
  <c r="T54" i="1"/>
  <c r="K49" i="1"/>
  <c r="N40" i="1"/>
  <c r="F52" i="1"/>
  <c r="I38" i="1"/>
  <c r="E44" i="1"/>
  <c r="F44" i="1"/>
  <c r="J50" i="1"/>
  <c r="T45" i="1"/>
  <c r="F31" i="1"/>
  <c r="Q31" i="1"/>
  <c r="Q41" i="1"/>
  <c r="D34" i="1" a="1"/>
  <c r="G42" i="1"/>
  <c r="T42" i="1"/>
  <c r="J37" i="1"/>
  <c r="S32" i="1"/>
  <c r="R32" i="1"/>
  <c r="G53" i="1"/>
  <c r="D38" i="1" a="1"/>
  <c r="F38" i="1"/>
  <c r="O56" i="1"/>
  <c r="F36" i="1"/>
  <c r="M36" i="1"/>
  <c r="H48" i="1"/>
  <c r="U44" i="1"/>
  <c r="L44" i="1"/>
  <c r="M50" i="1"/>
  <c r="U45" i="1"/>
  <c r="H45" i="1"/>
  <c r="I46" i="1"/>
  <c r="M31" i="1"/>
  <c r="K31" i="1"/>
  <c r="P55" i="1"/>
  <c r="P41" i="1"/>
  <c r="G41" i="1"/>
  <c r="K39" i="1"/>
  <c r="M34" i="1"/>
  <c r="K34" i="1"/>
  <c r="O35" i="1"/>
  <c r="S47" i="1"/>
  <c r="F47" i="1"/>
  <c r="L51" i="1"/>
  <c r="E54" i="1"/>
  <c r="O54" i="1"/>
  <c r="F49" i="1"/>
  <c r="Q40" i="1"/>
  <c r="T40" i="1"/>
  <c r="I43" i="1"/>
  <c r="N52" i="1"/>
  <c r="P52" i="1"/>
  <c r="F33" i="1"/>
  <c r="G38" i="1"/>
  <c r="G56" i="1"/>
  <c r="R36" i="1"/>
  <c r="D36" i="1" a="1"/>
  <c r="M48" i="1"/>
  <c r="M44" i="1"/>
  <c r="N44" i="1"/>
  <c r="E50" i="1"/>
  <c r="M45" i="1"/>
  <c r="D45" i="1" a="1"/>
  <c r="E31" i="1"/>
  <c r="T34" i="1"/>
  <c r="H54" i="1"/>
  <c r="I40" i="1"/>
  <c r="S43" i="1"/>
  <c r="Q52" i="1"/>
  <c r="O33" i="1"/>
  <c r="U42" i="1"/>
  <c r="J42" i="1"/>
  <c r="U37" i="1"/>
  <c r="M32" i="1"/>
  <c r="Q32" i="1"/>
  <c r="S53" i="1"/>
  <c r="P38" i="1"/>
  <c r="M56" i="1"/>
  <c r="N36" i="1"/>
  <c r="H36" i="1"/>
  <c r="P48" i="1"/>
  <c r="I45" i="1"/>
  <c r="J46" i="1"/>
  <c r="D55" i="1" a="1"/>
  <c r="S35" i="1"/>
  <c r="U51" i="1"/>
  <c r="D40" i="1" a="1"/>
  <c r="U52" i="1"/>
  <c r="D42" i="1" a="1"/>
  <c r="P42" i="1"/>
  <c r="L37" i="1"/>
  <c r="K32" i="1"/>
  <c r="F32" i="1"/>
  <c r="D53" i="1" a="1"/>
  <c r="R38" i="1"/>
  <c r="D33" i="1" l="1"/>
  <c r="D52" i="1"/>
  <c r="D43" i="1"/>
  <c r="D40" i="1"/>
  <c r="D49" i="1"/>
  <c r="D54" i="1"/>
  <c r="D51" i="1"/>
  <c r="D47" i="1"/>
  <c r="D35" i="1"/>
  <c r="D34" i="1"/>
  <c r="D39" i="1"/>
  <c r="D41" i="1"/>
  <c r="D55" i="1"/>
  <c r="D31" i="1"/>
  <c r="D46" i="1"/>
  <c r="D45" i="1"/>
  <c r="D50" i="1"/>
  <c r="F52" i="2"/>
  <c r="D44" i="1"/>
  <c r="D48" i="1"/>
  <c r="D36" i="1"/>
  <c r="D56" i="1"/>
  <c r="D38" i="1"/>
  <c r="D53" i="1"/>
  <c r="D32" i="1"/>
  <c r="D37" i="1"/>
  <c r="D42" i="1"/>
  <c r="C55" i="2"/>
  <c r="C57" i="2"/>
  <c r="C59" i="2" l="1" a="1"/>
  <c r="C72" i="2" l="1"/>
  <c r="C60" i="2"/>
  <c r="C62" i="2"/>
  <c r="C77" i="2"/>
  <c r="C78" i="2"/>
  <c r="C64" i="2"/>
  <c r="C83" i="2"/>
  <c r="C79" i="2"/>
  <c r="C80" i="2"/>
  <c r="C68" i="2"/>
  <c r="C70" i="2"/>
  <c r="C75" i="2"/>
  <c r="C63" i="2"/>
  <c r="C65" i="2"/>
  <c r="C76" i="2"/>
  <c r="C69" i="2"/>
  <c r="C71" i="2"/>
  <c r="C73" i="2"/>
  <c r="C84" i="2"/>
  <c r="C81" i="2"/>
  <c r="C61" i="2"/>
  <c r="C74" i="2"/>
  <c r="C66" i="2"/>
  <c r="C82" i="2"/>
  <c r="C59" i="2"/>
  <c r="C67" i="2"/>
  <c r="D62" i="2" a="1"/>
  <c r="D76" i="2" a="1"/>
  <c r="D77" i="2" a="1"/>
  <c r="D69" i="2" a="1"/>
  <c r="D78" i="2" a="1"/>
  <c r="D71" i="2" a="1"/>
  <c r="D64" i="2" a="1"/>
  <c r="D73" i="2" a="1"/>
  <c r="D83" i="2" a="1"/>
  <c r="D84" i="2" a="1"/>
  <c r="D79" i="2" a="1"/>
  <c r="D81" i="2" a="1"/>
  <c r="D80" i="2" a="1"/>
  <c r="D61" i="2" a="1"/>
  <c r="D68" i="2" a="1"/>
  <c r="D74" i="2" a="1"/>
  <c r="D70" i="2" a="1"/>
  <c r="D66" i="2" a="1"/>
  <c r="D75" i="2" a="1"/>
  <c r="D82" i="2" a="1"/>
  <c r="D72" i="2" a="1"/>
  <c r="D63" i="2" a="1"/>
  <c r="D59" i="2" a="1"/>
  <c r="D60" i="2" a="1"/>
  <c r="D65" i="2" a="1"/>
  <c r="D67" i="2" a="1"/>
  <c r="D67" i="2" l="1"/>
  <c r="D65" i="2"/>
  <c r="D60" i="2"/>
  <c r="D59" i="2"/>
  <c r="D63" i="2"/>
  <c r="D72" i="2"/>
  <c r="D82" i="2"/>
  <c r="D75" i="2"/>
  <c r="D66" i="2"/>
  <c r="D70" i="2"/>
  <c r="D74" i="2"/>
  <c r="D68" i="2"/>
  <c r="D61" i="2"/>
  <c r="D80" i="2"/>
  <c r="D81" i="2"/>
  <c r="D79" i="2"/>
  <c r="D84" i="2"/>
  <c r="D83" i="2"/>
  <c r="D73" i="2"/>
  <c r="D64" i="2"/>
  <c r="D71" i="2"/>
  <c r="D78" i="2"/>
  <c r="D69" i="2"/>
  <c r="D77" i="2"/>
  <c r="D76" i="2"/>
  <c r="D62" i="2"/>
</calcChain>
</file>

<file path=xl/sharedStrings.xml><?xml version="1.0" encoding="utf-8"?>
<sst xmlns="http://schemas.openxmlformats.org/spreadsheetml/2006/main" count="66" uniqueCount="55">
  <si>
    <t xml:space="preserve">Пример работы с макросами Унфлок VBA </t>
  </si>
  <si>
    <t>Построение графиков завивимости свойств флюидов от давления и температуры</t>
  </si>
  <si>
    <t>gamma_gas</t>
  </si>
  <si>
    <t>gamma_oil</t>
  </si>
  <si>
    <t>gamma_wat</t>
  </si>
  <si>
    <t>rsb_m3m3</t>
  </si>
  <si>
    <t>pb_atma</t>
  </si>
  <si>
    <t>t_res_C</t>
  </si>
  <si>
    <t>bob_m3m3</t>
  </si>
  <si>
    <t>muob_cP</t>
  </si>
  <si>
    <t>pvt_corr_set</t>
  </si>
  <si>
    <t>PVT</t>
  </si>
  <si>
    <t>P</t>
  </si>
  <si>
    <t>T</t>
  </si>
  <si>
    <t>Задание диапазона давления</t>
  </si>
  <si>
    <t>Начало</t>
  </si>
  <si>
    <t>Конец</t>
  </si>
  <si>
    <t>Количество точек</t>
  </si>
  <si>
    <t>Массив точек</t>
  </si>
  <si>
    <t>Температура</t>
  </si>
  <si>
    <r>
      <t>R</t>
    </r>
    <r>
      <rPr>
        <vertAlign val="subscript"/>
        <sz val="10"/>
        <rFont val="Arial Cyr"/>
        <charset val="204"/>
      </rPr>
      <t>s</t>
    </r>
  </si>
  <si>
    <r>
      <t>B</t>
    </r>
    <r>
      <rPr>
        <vertAlign val="subscript"/>
        <sz val="10"/>
        <rFont val="Arial Cyr"/>
        <charset val="204"/>
      </rPr>
      <t>o</t>
    </r>
  </si>
  <si>
    <r>
      <rPr>
        <sz val="10"/>
        <rFont val="Calibri"/>
        <family val="2"/>
        <charset val="204"/>
      </rPr>
      <t>μ</t>
    </r>
    <r>
      <rPr>
        <vertAlign val="subscript"/>
        <sz val="10"/>
        <rFont val="Arial Cyr"/>
        <charset val="204"/>
      </rPr>
      <t>o</t>
    </r>
  </si>
  <si>
    <r>
      <t>μ</t>
    </r>
    <r>
      <rPr>
        <vertAlign val="subscript"/>
        <sz val="10"/>
        <rFont val="Calibri"/>
        <family val="2"/>
        <charset val="204"/>
      </rPr>
      <t>g</t>
    </r>
  </si>
  <si>
    <r>
      <t>μ</t>
    </r>
    <r>
      <rPr>
        <vertAlign val="subscript"/>
        <sz val="10"/>
        <rFont val="Calibri"/>
        <family val="2"/>
        <charset val="204"/>
      </rPr>
      <t>w</t>
    </r>
  </si>
  <si>
    <r>
      <t>ρ</t>
    </r>
    <r>
      <rPr>
        <vertAlign val="subscript"/>
        <sz val="10"/>
        <rFont val="Arial Cyr"/>
        <charset val="204"/>
      </rPr>
      <t>g</t>
    </r>
  </si>
  <si>
    <r>
      <t>ρ</t>
    </r>
    <r>
      <rPr>
        <vertAlign val="subscript"/>
        <sz val="10"/>
        <rFont val="Arial Cyr"/>
        <charset val="204"/>
      </rPr>
      <t>w</t>
    </r>
  </si>
  <si>
    <r>
      <t>ρ</t>
    </r>
    <r>
      <rPr>
        <vertAlign val="subscript"/>
        <sz val="10"/>
        <rFont val="Arial Cyr"/>
        <charset val="204"/>
      </rPr>
      <t>o</t>
    </r>
  </si>
  <si>
    <r>
      <t>B</t>
    </r>
    <r>
      <rPr>
        <vertAlign val="subscript"/>
        <sz val="10"/>
        <rFont val="Arial Cyr"/>
      </rPr>
      <t>g</t>
    </r>
  </si>
  <si>
    <r>
      <t>B</t>
    </r>
    <r>
      <rPr>
        <vertAlign val="subscript"/>
        <sz val="10"/>
        <rFont val="Arial Cyr"/>
      </rPr>
      <t>w</t>
    </r>
  </si>
  <si>
    <t>ST_oilgas</t>
  </si>
  <si>
    <t>ST_watgas</t>
  </si>
  <si>
    <t>cpo</t>
  </si>
  <si>
    <t>cpg</t>
  </si>
  <si>
    <t>cpw</t>
  </si>
  <si>
    <t>cw</t>
  </si>
  <si>
    <t>co</t>
  </si>
  <si>
    <t>cg</t>
  </si>
  <si>
    <t>1. Задание свойств флюидов</t>
  </si>
  <si>
    <t>2. Задание параметров построения графиков</t>
  </si>
  <si>
    <t>3. Построение графиков</t>
  </si>
  <si>
    <t>Расчет давления насыщения от газосодержания при давлении насыщения</t>
  </si>
  <si>
    <t>rsb</t>
  </si>
  <si>
    <t>Базовый набор данных</t>
  </si>
  <si>
    <t>корр. Стендинга</t>
  </si>
  <si>
    <t>корр. Валко Маккейн</t>
  </si>
  <si>
    <t>расчет</t>
  </si>
  <si>
    <t>feed</t>
  </si>
  <si>
    <t>Расчет газосодержания при разгазировании</t>
  </si>
  <si>
    <t>Pb</t>
  </si>
  <si>
    <t>val_from</t>
  </si>
  <si>
    <t>val_to</t>
  </si>
  <si>
    <t>num</t>
  </si>
  <si>
    <t>linspace</t>
  </si>
  <si>
    <t>обратный расчет rsb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</si>
</sst>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E+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0"/>
      <name val="Arial Cyr"/>
      <charset val="204"/>
    </font>
    <font>
      <sz val="10"/>
      <name val="Arial Cyr"/>
      <family val="2"/>
      <charset val="204"/>
    </font>
    <font>
      <sz val="10"/>
      <name val="Calibri"/>
      <family val="2"/>
      <charset val="204"/>
    </font>
    <font>
      <vertAlign val="subscript"/>
      <sz val="10"/>
      <name val="Calibri"/>
      <family val="2"/>
      <charset val="204"/>
    </font>
    <font>
      <vertAlign val="subscript"/>
      <sz val="10"/>
      <name val="Arial Cy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0FA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0" fillId="6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1" fillId="7" borderId="0" xfId="0" applyFont="1" applyFill="1"/>
    <xf numFmtId="0" fontId="1" fillId="0" borderId="0" xfId="0" applyFont="1"/>
    <xf numFmtId="0" fontId="0" fillId="8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4" borderId="0" xfId="0" applyFont="1" applyFill="1"/>
    <xf numFmtId="2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/>
              <a:t>Газосодержание </a:t>
            </a:r>
            <a:r>
              <a:rPr lang="en-US" sz="1100" b="0" i="0" u="none" strike="noStrike" baseline="0">
                <a:effectLst/>
              </a:rPr>
              <a:t>𝑅𝑠</a:t>
            </a:r>
            <a:r>
              <a:rPr lang="ru-RU" sz="1100"/>
              <a:t> от давления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'графики от давления'!$D$30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давления'!$D$31:$D$56</c:f>
              <c:numCache>
                <c:formatCode>0.00</c:formatCode>
                <c:ptCount val="26"/>
                <c:pt idx="0">
                  <c:v>0.40799738531524365</c:v>
                </c:pt>
                <c:pt idx="1">
                  <c:v>7.2876798732693953</c:v>
                </c:pt>
                <c:pt idx="2">
                  <c:v>15.871341736906061</c:v>
                </c:pt>
                <c:pt idx="3">
                  <c:v>25.364647959839644</c:v>
                </c:pt>
                <c:pt idx="4">
                  <c:v>35.514409899723034</c:v>
                </c:pt>
                <c:pt idx="5">
                  <c:v>46.186737869660284</c:v>
                </c:pt>
                <c:pt idx="6">
                  <c:v>57.297169628895659</c:v>
                </c:pt>
                <c:pt idx="7">
                  <c:v>68.786981354050553</c:v>
                </c:pt>
                <c:pt idx="8">
                  <c:v>80.61270806753825</c:v>
                </c:pt>
                <c:pt idx="9">
                  <c:v>92.740735470779853</c:v>
                </c:pt>
                <c:pt idx="10">
                  <c:v>105.1442067038592</c:v>
                </c:pt>
                <c:pt idx="11">
                  <c:v>117.80111687961006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A9-48C6-B4B5-7F08E614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71232"/>
        <c:axId val="338671808"/>
      </c:scatterChart>
      <c:valAx>
        <c:axId val="3386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Давление, атм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808"/>
        <c:crosses val="autoZero"/>
        <c:crossBetween val="midCat"/>
      </c:valAx>
      <c:valAx>
        <c:axId val="338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Газосодержание </a:t>
                </a:r>
                <a:r>
                  <a:rPr lang="en-US" sz="1000" b="0" i="0" u="none" strike="noStrike" baseline="0">
                    <a:effectLst/>
                  </a:rPr>
                  <a:t>𝑅𝑠</a:t>
                </a:r>
                <a:r>
                  <a:rPr lang="ru-RU"/>
                  <a:t>, м3/м3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Объемный коэффициент нефти, газа и воды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'графики от давления'!$E$30</c:f>
              <c:strCache>
                <c:ptCount val="1"/>
                <c:pt idx="0">
                  <c:v>Bo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давления'!$E$31:$E$56</c:f>
              <c:numCache>
                <c:formatCode>0.00</c:formatCode>
                <c:ptCount val="26"/>
                <c:pt idx="0">
                  <c:v>1.0101291210759702</c:v>
                </c:pt>
                <c:pt idx="1">
                  <c:v>1.0179607432402868</c:v>
                </c:pt>
                <c:pt idx="2">
                  <c:v>1.0281158014393958</c:v>
                </c:pt>
                <c:pt idx="3">
                  <c:v>1.0397635791746314</c:v>
                </c:pt>
                <c:pt idx="4">
                  <c:v>1.0526284121419127</c:v>
                </c:pt>
                <c:pt idx="5">
                  <c:v>1.0665526535566601</c:v>
                </c:pt>
                <c:pt idx="6">
                  <c:v>1.0814285796104861</c:v>
                </c:pt>
                <c:pt idx="7">
                  <c:v>1.0971756568922424</c:v>
                </c:pt>
                <c:pt idx="8">
                  <c:v>1.1137303581908791</c:v>
                </c:pt>
                <c:pt idx="9">
                  <c:v>1.1310407504926361</c:v>
                </c:pt>
                <c:pt idx="10">
                  <c:v>1.1490632800419989</c:v>
                </c:pt>
                <c:pt idx="11">
                  <c:v>1.1677607082700996</c:v>
                </c:pt>
                <c:pt idx="12">
                  <c:v>1.1681208648753281</c:v>
                </c:pt>
                <c:pt idx="13">
                  <c:v>1.1653095028377118</c:v>
                </c:pt>
                <c:pt idx="14">
                  <c:v>1.1629022995124061</c:v>
                </c:pt>
                <c:pt idx="15">
                  <c:v>1.1608179512669565</c:v>
                </c:pt>
                <c:pt idx="16">
                  <c:v>1.158995590664182</c:v>
                </c:pt>
                <c:pt idx="17">
                  <c:v>1.1573887453687508</c:v>
                </c:pt>
                <c:pt idx="18">
                  <c:v>1.1559613203126462</c:v>
                </c:pt>
                <c:pt idx="19">
                  <c:v>1.154684854379308</c:v>
                </c:pt>
                <c:pt idx="20">
                  <c:v>1.1535366036244399</c:v>
                </c:pt>
                <c:pt idx="21">
                  <c:v>1.1524981743992879</c:v>
                </c:pt>
                <c:pt idx="22">
                  <c:v>1.1515545307250845</c:v>
                </c:pt>
                <c:pt idx="23">
                  <c:v>1.1506932615900212</c:v>
                </c:pt>
                <c:pt idx="24">
                  <c:v>1.1499040320855165</c:v>
                </c:pt>
                <c:pt idx="25">
                  <c:v>1.149178166728744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2-4025-8A0D-5C43FF3E8DD4}"/>
            </c:ext>
          </c:extLst>
        </c:ser>
        <c:ser>
          <c:idx val="0"/>
          <c:order val="1"/>
          <c:tx>
            <c:strRef>
              <c:f>'графики от давления'!$L$30</c:f>
              <c:strCache>
                <c:ptCount val="1"/>
                <c:pt idx="0">
                  <c:v>Bg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давления'!$L$31:$L$56</c:f>
              <c:numCache>
                <c:formatCode>0.000</c:formatCode>
                <c:ptCount val="26"/>
                <c:pt idx="0">
                  <c:v>1.0708724189280916</c:v>
                </c:pt>
                <c:pt idx="1">
                  <c:v>9.6109856165750726E-2</c:v>
                </c:pt>
                <c:pt idx="2">
                  <c:v>4.9471364513937736E-2</c:v>
                </c:pt>
                <c:pt idx="3">
                  <c:v>3.2889633443549199E-2</c:v>
                </c:pt>
                <c:pt idx="4">
                  <c:v>2.4380684165360093E-2</c:v>
                </c:pt>
                <c:pt idx="5">
                  <c:v>1.9205142672414868E-2</c:v>
                </c:pt>
                <c:pt idx="6">
                  <c:v>1.5732975062920214E-2</c:v>
                </c:pt>
                <c:pt idx="7">
                  <c:v>1.3252751759032448E-2</c:v>
                </c:pt>
                <c:pt idx="8">
                  <c:v>1.1403718927349827E-2</c:v>
                </c:pt>
                <c:pt idx="9">
                  <c:v>9.9825502937632253E-3</c:v>
                </c:pt>
                <c:pt idx="10">
                  <c:v>8.8651544161101083E-3</c:v>
                </c:pt>
                <c:pt idx="11">
                  <c:v>7.9709595167177984E-3</c:v>
                </c:pt>
                <c:pt idx="12">
                  <c:v>7.2450472603989326E-3</c:v>
                </c:pt>
                <c:pt idx="13">
                  <c:v>6.6485393070144045E-3</c:v>
                </c:pt>
                <c:pt idx="14">
                  <c:v>6.1530936470736543E-3</c:v>
                </c:pt>
                <c:pt idx="15">
                  <c:v>5.7375767199946684E-3</c:v>
                </c:pt>
                <c:pt idx="16">
                  <c:v>5.385951121139803E-3</c:v>
                </c:pt>
                <c:pt idx="17">
                  <c:v>5.0858769654652343E-3</c:v>
                </c:pt>
                <c:pt idx="18">
                  <c:v>4.8277520838183943E-3</c:v>
                </c:pt>
                <c:pt idx="19">
                  <c:v>4.604033785957304E-3</c:v>
                </c:pt>
                <c:pt idx="20">
                  <c:v>4.4087482379972188E-3</c:v>
                </c:pt>
                <c:pt idx="21">
                  <c:v>4.2371289485194606E-3</c:v>
                </c:pt>
                <c:pt idx="22">
                  <c:v>4.0853464950866506E-3</c:v>
                </c:pt>
                <c:pt idx="23">
                  <c:v>3.9503041209294218E-3</c:v>
                </c:pt>
                <c:pt idx="24">
                  <c:v>3.8294816963589679E-3</c:v>
                </c:pt>
                <c:pt idx="25">
                  <c:v>3.7208156688107053E-3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72-4025-8A0D-5C43FF3E8DD4}"/>
            </c:ext>
          </c:extLst>
        </c:ser>
        <c:ser>
          <c:idx val="1"/>
          <c:order val="2"/>
          <c:tx>
            <c:strRef>
              <c:f>'графики от давления'!$M$30</c:f>
              <c:strCache>
                <c:ptCount val="1"/>
                <c:pt idx="0">
                  <c:v>Bw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давления'!$M$31:$M$56</c:f>
              <c:numCache>
                <c:formatCode>0.000</c:formatCode>
                <c:ptCount val="26"/>
                <c:pt idx="0">
                  <c:v>1.0096706043181007</c:v>
                </c:pt>
                <c:pt idx="1">
                  <c:v>1.0095813961309568</c:v>
                </c:pt>
                <c:pt idx="2">
                  <c:v>1.0094816652760843</c:v>
                </c:pt>
                <c:pt idx="3">
                  <c:v>1.0093714117534831</c:v>
                </c:pt>
                <c:pt idx="4">
                  <c:v>1.0092506355631534</c:v>
                </c:pt>
                <c:pt idx="5">
                  <c:v>1.0091193367050952</c:v>
                </c:pt>
                <c:pt idx="6">
                  <c:v>1.0089775151793081</c:v>
                </c:pt>
                <c:pt idx="7">
                  <c:v>1.0088251709857927</c:v>
                </c:pt>
                <c:pt idx="8">
                  <c:v>1.0086623041245486</c:v>
                </c:pt>
                <c:pt idx="9">
                  <c:v>1.008488914595576</c:v>
                </c:pt>
                <c:pt idx="10">
                  <c:v>1.0083050023988747</c:v>
                </c:pt>
                <c:pt idx="11">
                  <c:v>1.0081105675344446</c:v>
                </c:pt>
                <c:pt idx="12">
                  <c:v>1.0079056100022863</c:v>
                </c:pt>
                <c:pt idx="13">
                  <c:v>1.007690129802399</c:v>
                </c:pt>
                <c:pt idx="14">
                  <c:v>1.0074641269347835</c:v>
                </c:pt>
                <c:pt idx="15">
                  <c:v>1.0072276013994392</c:v>
                </c:pt>
                <c:pt idx="16">
                  <c:v>1.0069805531963663</c:v>
                </c:pt>
                <c:pt idx="17">
                  <c:v>1.0067229823255648</c:v>
                </c:pt>
                <c:pt idx="18">
                  <c:v>1.0064548887870346</c:v>
                </c:pt>
                <c:pt idx="19">
                  <c:v>1.0061762725807759</c:v>
                </c:pt>
                <c:pt idx="20">
                  <c:v>1.0058871337067887</c:v>
                </c:pt>
                <c:pt idx="21">
                  <c:v>1.0055874721650728</c:v>
                </c:pt>
                <c:pt idx="22">
                  <c:v>1.0052772879556284</c:v>
                </c:pt>
                <c:pt idx="23">
                  <c:v>1.0049565810784553</c:v>
                </c:pt>
                <c:pt idx="24">
                  <c:v>1.0046253515335535</c:v>
                </c:pt>
                <c:pt idx="25">
                  <c:v>1.0042835993209234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72-4025-8A0D-5C43FF3E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71232"/>
        <c:axId val="338671808"/>
      </c:scatterChart>
      <c:valAx>
        <c:axId val="3386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Давление, атм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808"/>
        <c:crosses val="autoZero"/>
        <c:crossBetween val="midCat"/>
      </c:valAx>
      <c:valAx>
        <c:axId val="338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Объемный коэффициент газа </a:t>
                </a:r>
                <a:r>
                  <a:rPr lang="en-US"/>
                  <a:t>Bg, </a:t>
                </a:r>
                <a:r>
                  <a:rPr lang="ru-RU"/>
                  <a:t>м3/м3</a:t>
                </a:r>
              </a:p>
            </c:rich>
          </c:tx>
          <c:layout>
            <c:manualLayout>
              <c:xMode val="edge"/>
              <c:yMode val="edge"/>
              <c:x val="3.2967032967032968E-2"/>
              <c:y val="0.145301204819277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u="none" strike="noStrike" baseline="0">
                <a:effectLst/>
              </a:rPr>
              <a:t>Вязкость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'графики от давления'!$F$30</c:f>
              <c:strCache>
                <c:ptCount val="1"/>
                <c:pt idx="0">
                  <c:v>μo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давления'!$F$31:$F$56</c:f>
              <c:numCache>
                <c:formatCode>0.0</c:formatCode>
                <c:ptCount val="26"/>
                <c:pt idx="0">
                  <c:v>9.7713156529231888</c:v>
                </c:pt>
                <c:pt idx="1">
                  <c:v>6.9930993456852466</c:v>
                </c:pt>
                <c:pt idx="2">
                  <c:v>5.1397568149463062</c:v>
                </c:pt>
                <c:pt idx="3">
                  <c:v>3.9709702064959602</c:v>
                </c:pt>
                <c:pt idx="4">
                  <c:v>3.1972861301457325</c:v>
                </c:pt>
                <c:pt idx="5">
                  <c:v>2.6582574292633616</c:v>
                </c:pt>
                <c:pt idx="6">
                  <c:v>2.2659362081661159</c:v>
                </c:pt>
                <c:pt idx="7">
                  <c:v>1.9699222555167235</c:v>
                </c:pt>
                <c:pt idx="8">
                  <c:v>1.7398587672578572</c:v>
                </c:pt>
                <c:pt idx="9">
                  <c:v>1.556606911111144</c:v>
                </c:pt>
                <c:pt idx="10">
                  <c:v>1.4076080220116916</c:v>
                </c:pt>
                <c:pt idx="11">
                  <c:v>1.2843310127570022</c:v>
                </c:pt>
                <c:pt idx="12">
                  <c:v>1.2926930197501152</c:v>
                </c:pt>
                <c:pt idx="13">
                  <c:v>1.3261910177947958</c:v>
                </c:pt>
                <c:pt idx="14">
                  <c:v>1.3622131528629118</c:v>
                </c:pt>
                <c:pt idx="15">
                  <c:v>1.4005814298483223</c:v>
                </c:pt>
                <c:pt idx="16">
                  <c:v>1.4411346327141066</c:v>
                </c:pt>
                <c:pt idx="17">
                  <c:v>1.4837236136051819</c:v>
                </c:pt>
                <c:pt idx="18">
                  <c:v>1.5282077500006936</c:v>
                </c:pt>
                <c:pt idx="19">
                  <c:v>1.5744522715735518</c:v>
                </c:pt>
                <c:pt idx="20">
                  <c:v>1.6223262473590112</c:v>
                </c:pt>
                <c:pt idx="21">
                  <c:v>1.6717010831085291</c:v>
                </c:pt>
                <c:pt idx="22">
                  <c:v>1.7224494190043653</c:v>
                </c:pt>
                <c:pt idx="23">
                  <c:v>1.7744443457903811</c:v>
                </c:pt>
                <c:pt idx="24">
                  <c:v>1.8275588769643218</c:v>
                </c:pt>
                <c:pt idx="25">
                  <c:v>1.8816656286382238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2-4025-8A0D-5C43FF3E8DD4}"/>
            </c:ext>
          </c:extLst>
        </c:ser>
        <c:ser>
          <c:idx val="0"/>
          <c:order val="1"/>
          <c:tx>
            <c:strRef>
              <c:f>'графики от давления'!$H$30</c:f>
              <c:strCache>
                <c:ptCount val="1"/>
                <c:pt idx="0">
                  <c:v>μw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давления'!$H$31:$H$56</c:f>
              <c:numCache>
                <c:formatCode>0.00</c:formatCode>
                <c:ptCount val="26"/>
                <c:pt idx="0">
                  <c:v>0.82711135330023133</c:v>
                </c:pt>
                <c:pt idx="1">
                  <c:v>0.83205590390069484</c:v>
                </c:pt>
                <c:pt idx="2">
                  <c:v>0.83711054604977453</c:v>
                </c:pt>
                <c:pt idx="3">
                  <c:v>0.84227527974747018</c:v>
                </c:pt>
                <c:pt idx="4">
                  <c:v>0.84755010499378214</c:v>
                </c:pt>
                <c:pt idx="5">
                  <c:v>0.85293502178871006</c:v>
                </c:pt>
                <c:pt idx="6">
                  <c:v>0.85843003013225416</c:v>
                </c:pt>
                <c:pt idx="7">
                  <c:v>0.86403513002441446</c:v>
                </c:pt>
                <c:pt idx="8">
                  <c:v>0.86975032146519071</c:v>
                </c:pt>
                <c:pt idx="9">
                  <c:v>0.87557560445458327</c:v>
                </c:pt>
                <c:pt idx="10">
                  <c:v>0.88151097899259179</c:v>
                </c:pt>
                <c:pt idx="11">
                  <c:v>0.88755644507921649</c:v>
                </c:pt>
                <c:pt idx="12">
                  <c:v>0.89371200271445739</c:v>
                </c:pt>
                <c:pt idx="13">
                  <c:v>0.89997765189831436</c:v>
                </c:pt>
                <c:pt idx="14">
                  <c:v>0.9063533926307874</c:v>
                </c:pt>
                <c:pt idx="15">
                  <c:v>0.91283922491187663</c:v>
                </c:pt>
                <c:pt idx="16">
                  <c:v>0.91943514874158194</c:v>
                </c:pt>
                <c:pt idx="17">
                  <c:v>0.92614116411990333</c:v>
                </c:pt>
                <c:pt idx="18">
                  <c:v>0.9329572710468409</c:v>
                </c:pt>
                <c:pt idx="19">
                  <c:v>0.93988346952239465</c:v>
                </c:pt>
                <c:pt idx="20">
                  <c:v>0.94691975954656449</c:v>
                </c:pt>
                <c:pt idx="21">
                  <c:v>0.9540661411193504</c:v>
                </c:pt>
                <c:pt idx="22">
                  <c:v>0.96132261424075238</c:v>
                </c:pt>
                <c:pt idx="23">
                  <c:v>0.96868917891077067</c:v>
                </c:pt>
                <c:pt idx="24">
                  <c:v>0.97616583512940491</c:v>
                </c:pt>
                <c:pt idx="25">
                  <c:v>0.98375258289665535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72-4025-8A0D-5C43FF3E8DD4}"/>
            </c:ext>
          </c:extLst>
        </c:ser>
        <c:ser>
          <c:idx val="1"/>
          <c:order val="2"/>
          <c:tx>
            <c:strRef>
              <c:f>'графики от давления'!$G$30</c:f>
              <c:strCache>
                <c:ptCount val="1"/>
                <c:pt idx="0">
                  <c:v>μg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давления'!$G$31:$G$56</c:f>
              <c:numCache>
                <c:formatCode>0.000</c:formatCode>
                <c:ptCount val="26"/>
                <c:pt idx="0">
                  <c:v>1.1670786174954272E-2</c:v>
                </c:pt>
                <c:pt idx="1">
                  <c:v>1.1803262208544711E-2</c:v>
                </c:pt>
                <c:pt idx="2">
                  <c:v>1.1986250575720442E-2</c:v>
                </c:pt>
                <c:pt idx="3">
                  <c:v>1.220611654701194E-2</c:v>
                </c:pt>
                <c:pt idx="4">
                  <c:v>1.2460827496596714E-2</c:v>
                </c:pt>
                <c:pt idx="5">
                  <c:v>1.2750782199815394E-2</c:v>
                </c:pt>
                <c:pt idx="6">
                  <c:v>1.3076968510634203E-2</c:v>
                </c:pt>
                <c:pt idx="7">
                  <c:v>1.3440112930067173E-2</c:v>
                </c:pt>
                <c:pt idx="8">
                  <c:v>1.3840188691857097E-2</c:v>
                </c:pt>
                <c:pt idx="9">
                  <c:v>1.4276159115543989E-2</c:v>
                </c:pt>
                <c:pt idx="10">
                  <c:v>1.4745918799782596E-2</c:v>
                </c:pt>
                <c:pt idx="11">
                  <c:v>1.5246397964708501E-2</c:v>
                </c:pt>
                <c:pt idx="12">
                  <c:v>1.5773782410755829E-2</c:v>
                </c:pt>
                <c:pt idx="13">
                  <c:v>1.6323793809058018E-2</c:v>
                </c:pt>
                <c:pt idx="14">
                  <c:v>1.6891977917657237E-2</c:v>
                </c:pt>
                <c:pt idx="15">
                  <c:v>1.7473960164598037E-2</c:v>
                </c:pt>
                <c:pt idx="16">
                  <c:v>1.8065644186917872E-2</c:v>
                </c:pt>
                <c:pt idx="17">
                  <c:v>1.866334463351299E-2</c:v>
                </c:pt>
                <c:pt idx="18">
                  <c:v>1.9263857676805881E-2</c:v>
                </c:pt>
                <c:pt idx="19">
                  <c:v>1.9864480053938104E-2</c:v>
                </c:pt>
                <c:pt idx="20">
                  <c:v>2.0462990438987645E-2</c:v>
                </c:pt>
                <c:pt idx="21">
                  <c:v>2.1057606715007234E-2</c:v>
                </c:pt>
                <c:pt idx="22">
                  <c:v>2.164693062048741E-2</c:v>
                </c:pt>
                <c:pt idx="23">
                  <c:v>2.222988841787437E-2</c:v>
                </c:pt>
                <c:pt idx="24">
                  <c:v>2.2805673430647554E-2</c:v>
                </c:pt>
                <c:pt idx="25">
                  <c:v>2.3373693925737973E-2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72-4025-8A0D-5C43FF3E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71232"/>
        <c:axId val="338671808"/>
      </c:scatterChart>
      <c:valAx>
        <c:axId val="3386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Давление, атм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808"/>
        <c:crossesAt val="1.0000000000000002E-2"/>
        <c:crossBetween val="midCat"/>
      </c:valAx>
      <c:valAx>
        <c:axId val="338671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Вязкость , сП</a:t>
                </a:r>
              </a:p>
            </c:rich>
          </c:tx>
          <c:layout>
            <c:manualLayout>
              <c:xMode val="edge"/>
              <c:yMode val="edge"/>
              <c:x val="3.2966995850627075E-2"/>
              <c:y val="0.3386546772287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Плотность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'графики от давления'!$I$30</c:f>
              <c:strCache>
                <c:ptCount val="1"/>
                <c:pt idx="0">
                  <c:v>ρg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давления'!$I$31:$I$56</c:f>
              <c:numCache>
                <c:formatCode>0.0</c:formatCode>
                <c:ptCount val="26"/>
                <c:pt idx="0">
                  <c:v>0.68450731108914831</c:v>
                </c:pt>
                <c:pt idx="1">
                  <c:v>7.6268972740510215</c:v>
                </c:pt>
                <c:pt idx="2">
                  <c:v>14.817056436627773</c:v>
                </c:pt>
                <c:pt idx="3">
                  <c:v>22.287265720310746</c:v>
                </c:pt>
                <c:pt idx="4">
                  <c:v>30.065604190118247</c:v>
                </c:pt>
                <c:pt idx="5">
                  <c:v>38.167901822091984</c:v>
                </c:pt>
                <c:pt idx="6">
                  <c:v>46.591315187907213</c:v>
                </c:pt>
                <c:pt idx="7">
                  <c:v>55.310777212770795</c:v>
                </c:pt>
                <c:pt idx="8">
                  <c:v>64.279030785472941</c:v>
                </c:pt>
                <c:pt idx="9">
                  <c:v>73.430133425720598</c:v>
                </c:pt>
                <c:pt idx="10">
                  <c:v>82.685530966942565</c:v>
                </c:pt>
                <c:pt idx="11">
                  <c:v>91.96132516576067</c:v>
                </c:pt>
                <c:pt idx="12">
                  <c:v>101.1753234525675</c:v>
                </c:pt>
                <c:pt idx="13">
                  <c:v>110.25278879326807</c:v>
                </c:pt>
                <c:pt idx="14">
                  <c:v>119.13031753524773</c:v>
                </c:pt>
                <c:pt idx="15">
                  <c:v>127.75776878861171</c:v>
                </c:pt>
                <c:pt idx="16">
                  <c:v>136.09852438558232</c:v>
                </c:pt>
                <c:pt idx="17">
                  <c:v>144.12853574269397</c:v>
                </c:pt>
                <c:pt idx="18">
                  <c:v>151.83464007129285</c:v>
                </c:pt>
                <c:pt idx="19">
                  <c:v>159.21255882955802</c:v>
                </c:pt>
                <c:pt idx="20">
                  <c:v>166.26488073925313</c:v>
                </c:pt>
                <c:pt idx="21">
                  <c:v>172.99921926051653</c:v>
                </c:pt>
                <c:pt idx="22">
                  <c:v>179.42664126080513</c:v>
                </c:pt>
                <c:pt idx="23">
                  <c:v>185.56039675941105</c:v>
                </c:pt>
                <c:pt idx="24">
                  <c:v>191.41493761334542</c:v>
                </c:pt>
                <c:pt idx="25">
                  <c:v>197.00519059421646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F8-45D4-9725-977C6676675F}"/>
            </c:ext>
          </c:extLst>
        </c:ser>
        <c:ser>
          <c:idx val="0"/>
          <c:order val="1"/>
          <c:tx>
            <c:strRef>
              <c:f>'графики от давления'!$K$30</c:f>
              <c:strCache>
                <c:ptCount val="1"/>
                <c:pt idx="0">
                  <c:v>ρo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давления'!$K$31:$K$56</c:f>
              <c:numCache>
                <c:formatCode>0</c:formatCode>
                <c:ptCount val="26"/>
                <c:pt idx="0">
                  <c:v>851.67237761347747</c:v>
                </c:pt>
                <c:pt idx="1">
                  <c:v>850.07405329425592</c:v>
                </c:pt>
                <c:pt idx="2">
                  <c:v>847.79750461929552</c:v>
                </c:pt>
                <c:pt idx="3">
                  <c:v>844.99285399566725</c:v>
                </c:pt>
                <c:pt idx="4">
                  <c:v>841.73366643388897</c:v>
                </c:pt>
                <c:pt idx="5">
                  <c:v>838.07939496700408</c:v>
                </c:pt>
                <c:pt idx="6">
                  <c:v>834.08186937898347</c:v>
                </c:pt>
                <c:pt idx="7">
                  <c:v>829.78712419752674</c:v>
                </c:pt>
                <c:pt idx="8">
                  <c:v>825.23630653349448</c:v>
                </c:pt>
                <c:pt idx="9">
                  <c:v>820.46629487982614</c:v>
                </c:pt>
                <c:pt idx="10">
                  <c:v>815.51018353298377</c:v>
                </c:pt>
                <c:pt idx="11">
                  <c:v>810.39768506768735</c:v>
                </c:pt>
                <c:pt idx="12">
                  <c:v>811.52766678915089</c:v>
                </c:pt>
                <c:pt idx="13">
                  <c:v>813.48551409866866</c:v>
                </c:pt>
                <c:pt idx="14">
                  <c:v>815.16942601065591</c:v>
                </c:pt>
                <c:pt idx="15">
                  <c:v>816.63313266766875</c:v>
                </c:pt>
                <c:pt idx="16">
                  <c:v>817.91717555780701</c:v>
                </c:pt>
                <c:pt idx="17">
                  <c:v>819.05272000720345</c:v>
                </c:pt>
                <c:pt idx="18">
                  <c:v>820.06411749452832</c:v>
                </c:pt>
                <c:pt idx="19">
                  <c:v>820.97067126559818</c:v>
                </c:pt>
                <c:pt idx="20">
                  <c:v>821.78788000439624</c:v>
                </c:pt>
                <c:pt idx="21">
                  <c:v>822.52833111349844</c:v>
                </c:pt>
                <c:pt idx="22">
                  <c:v>823.20235360726576</c:v>
                </c:pt>
                <c:pt idx="23">
                  <c:v>823.81850284767563</c:v>
                </c:pt>
                <c:pt idx="24">
                  <c:v>824.38392557049622</c:v>
                </c:pt>
                <c:pt idx="25">
                  <c:v>824.90463832816647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F8-45D4-9725-977C6676675F}"/>
            </c:ext>
          </c:extLst>
        </c:ser>
        <c:ser>
          <c:idx val="1"/>
          <c:order val="2"/>
          <c:tx>
            <c:strRef>
              <c:f>'графики от давления'!$J$30</c:f>
              <c:strCache>
                <c:ptCount val="1"/>
                <c:pt idx="0">
                  <c:v>ρw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'графики от давления'!$B$31:$B$56</c:f>
              <c:numCache>
                <c:formatCode>0</c:formatCode>
                <c:ptCount val="26"/>
                <c:pt idx="0">
                  <c:v>1</c:v>
                </c:pt>
                <c:pt idx="1">
                  <c:v>10.96</c:v>
                </c:pt>
                <c:pt idx="2">
                  <c:v>20.92</c:v>
                </c:pt>
                <c:pt idx="3">
                  <c:v>30.88</c:v>
                </c:pt>
                <c:pt idx="4">
                  <c:v>40.840000000000003</c:v>
                </c:pt>
                <c:pt idx="5">
                  <c:v>50.8</c:v>
                </c:pt>
                <c:pt idx="6">
                  <c:v>60.76</c:v>
                </c:pt>
                <c:pt idx="7">
                  <c:v>70.72</c:v>
                </c:pt>
                <c:pt idx="8">
                  <c:v>80.680000000000007</c:v>
                </c:pt>
                <c:pt idx="9">
                  <c:v>90.64</c:v>
                </c:pt>
                <c:pt idx="10">
                  <c:v>100.6</c:v>
                </c:pt>
                <c:pt idx="11">
                  <c:v>110.56</c:v>
                </c:pt>
                <c:pt idx="12">
                  <c:v>120.52</c:v>
                </c:pt>
                <c:pt idx="13">
                  <c:v>130.47999999999999</c:v>
                </c:pt>
                <c:pt idx="14">
                  <c:v>140.44</c:v>
                </c:pt>
                <c:pt idx="15">
                  <c:v>150.4</c:v>
                </c:pt>
                <c:pt idx="16">
                  <c:v>160.36000000000001</c:v>
                </c:pt>
                <c:pt idx="17">
                  <c:v>170.32</c:v>
                </c:pt>
                <c:pt idx="18">
                  <c:v>180.28</c:v>
                </c:pt>
                <c:pt idx="19">
                  <c:v>190.24</c:v>
                </c:pt>
                <c:pt idx="20">
                  <c:v>200.2</c:v>
                </c:pt>
                <c:pt idx="21">
                  <c:v>210.16</c:v>
                </c:pt>
                <c:pt idx="22">
                  <c:v>220.12</c:v>
                </c:pt>
                <c:pt idx="23">
                  <c:v>230.08</c:v>
                </c:pt>
                <c:pt idx="24">
                  <c:v>240.04</c:v>
                </c:pt>
                <c:pt idx="25">
                  <c:v>250</c:v>
                </c:pt>
              </c:numCache>
            </c:numRef>
          </c:xVal>
          <c:yVal>
            <c:numRef>
              <c:f>'графики от давления'!$J$31:$J$56</c:f>
              <c:numCache>
                <c:formatCode>0</c:formatCode>
                <c:ptCount val="26"/>
                <c:pt idx="0">
                  <c:v>1089.4642225846567</c:v>
                </c:pt>
                <c:pt idx="1">
                  <c:v>1089.5604893429661</c:v>
                </c:pt>
                <c:pt idx="2">
                  <c:v>1089.668131514959</c:v>
                </c:pt>
                <c:pt idx="3">
                  <c:v>1089.7871558389759</c:v>
                </c:pt>
                <c:pt idx="4">
                  <c:v>1089.9175697681967</c:v>
                </c:pt>
                <c:pt idx="5">
                  <c:v>1090.0593814718109</c:v>
                </c:pt>
                <c:pt idx="6">
                  <c:v>1090.2125998362967</c:v>
                </c:pt>
                <c:pt idx="7">
                  <c:v>1090.3772344668146</c:v>
                </c:pt>
                <c:pt idx="8">
                  <c:v>1090.5532956887157</c:v>
                </c:pt>
                <c:pt idx="9">
                  <c:v>1090.7407945491616</c:v>
                </c:pt>
                <c:pt idx="10">
                  <c:v>1090.9397428188618</c:v>
                </c:pt>
                <c:pt idx="11">
                  <c:v>1091.1501529939233</c:v>
                </c:pt>
                <c:pt idx="12">
                  <c:v>1091.3720382978172</c:v>
                </c:pt>
                <c:pt idx="13">
                  <c:v>1091.6054126834629</c:v>
                </c:pt>
                <c:pt idx="14">
                  <c:v>1091.8502908354242</c:v>
                </c:pt>
                <c:pt idx="15">
                  <c:v>1092.1066881722295</c:v>
                </c:pt>
                <c:pt idx="16">
                  <c:v>1092.3746208488046</c:v>
                </c:pt>
                <c:pt idx="17">
                  <c:v>1092.6541057590264</c:v>
                </c:pt>
                <c:pt idx="18">
                  <c:v>1092.945160538397</c:v>
                </c:pt>
                <c:pt idx="19">
                  <c:v>1093.2478035668366</c:v>
                </c:pt>
                <c:pt idx="20">
                  <c:v>1093.5620539715987</c:v>
                </c:pt>
                <c:pt idx="21">
                  <c:v>1093.8879316303066</c:v>
                </c:pt>
                <c:pt idx="22">
                  <c:v>1094.2254571741132</c:v>
                </c:pt>
                <c:pt idx="23">
                  <c:v>1094.5746519909849</c:v>
                </c:pt>
                <c:pt idx="24">
                  <c:v>1094.9355382291099</c:v>
                </c:pt>
                <c:pt idx="25">
                  <c:v>1095.3081388004327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F8-45D4-9725-977C6676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71232"/>
        <c:axId val="338671808"/>
      </c:scatterChart>
      <c:valAx>
        <c:axId val="3386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Давление, атм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808"/>
        <c:crosses val="autoZero"/>
        <c:crossBetween val="midCat"/>
      </c:valAx>
      <c:valAx>
        <c:axId val="338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Плотность  кг/м3</a:t>
                </a:r>
              </a:p>
            </c:rich>
          </c:tx>
          <c:layout>
            <c:manualLayout>
              <c:xMode val="edge"/>
              <c:yMode val="edge"/>
              <c:x val="2.5817757469687508E-2"/>
              <c:y val="0.35073926937380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67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давления насыщения</a:t>
            </a:r>
            <a:r>
              <a:rPr lang="ru-RU" baseline="0"/>
              <a:t> от газосодержания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 vs rsb'!$C$22</c:f>
              <c:strCache>
                <c:ptCount val="1"/>
                <c:pt idx="0">
                  <c:v>корр. Стендинга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rsb'!$C$23:$C$43</c:f>
              <c:numCache>
                <c:formatCode>0.00</c:formatCode>
                <c:ptCount val="21"/>
                <c:pt idx="0">
                  <c:v>3.9516569619629691</c:v>
                </c:pt>
                <c:pt idx="1">
                  <c:v>26.20426525769534</c:v>
                </c:pt>
                <c:pt idx="2">
                  <c:v>65.220275414584904</c:v>
                </c:pt>
                <c:pt idx="3">
                  <c:v>99.659129780601489</c:v>
                </c:pt>
                <c:pt idx="4">
                  <c:v>131.76599936161296</c:v>
                </c:pt>
                <c:pt idx="5">
                  <c:v>162.32793720118292</c:v>
                </c:pt>
                <c:pt idx="6">
                  <c:v>191.74670764006237</c:v>
                </c:pt>
                <c:pt idx="7">
                  <c:v>248.04343216453705</c:v>
                </c:pt>
                <c:pt idx="8">
                  <c:v>301.81267586222066</c:v>
                </c:pt>
                <c:pt idx="9">
                  <c:v>353.67640780212275</c:v>
                </c:pt>
                <c:pt idx="10">
                  <c:v>404.02097397611681</c:v>
                </c:pt>
                <c:pt idx="11">
                  <c:v>453.10848286447026</c:v>
                </c:pt>
                <c:pt idx="12">
                  <c:v>501.12776305350866</c:v>
                </c:pt>
                <c:pt idx="13">
                  <c:v>548.22092849987689</c:v>
                </c:pt>
                <c:pt idx="14">
                  <c:v>594.49855745182049</c:v>
                </c:pt>
                <c:pt idx="15">
                  <c:v>640.04897894804401</c:v>
                </c:pt>
                <c:pt idx="16">
                  <c:v>684.9442641679459</c:v>
                </c:pt>
                <c:pt idx="17">
                  <c:v>729.24425980965975</c:v>
                </c:pt>
                <c:pt idx="18">
                  <c:v>772.99939974004769</c:v>
                </c:pt>
                <c:pt idx="19">
                  <c:v>816.25272295477441</c:v>
                </c:pt>
                <c:pt idx="20">
                  <c:v>859.04135817139502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1-40A3-BD4C-4177A7F624F8}"/>
            </c:ext>
          </c:extLst>
        </c:ser>
        <c:ser>
          <c:idx val="1"/>
          <c:order val="1"/>
          <c:tx>
            <c:strRef>
              <c:f>'pb vs rsb'!$D$22</c:f>
              <c:strCache>
                <c:ptCount val="1"/>
                <c:pt idx="0">
                  <c:v>корр. Валко Маккейн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rsb'!$D$23:$D$43</c:f>
              <c:numCache>
                <c:formatCode>0.00</c:formatCode>
                <c:ptCount val="21"/>
                <c:pt idx="0">
                  <c:v>4.7652176471718688</c:v>
                </c:pt>
                <c:pt idx="1">
                  <c:v>27.622604514708939</c:v>
                </c:pt>
                <c:pt idx="2">
                  <c:v>70.525292114122379</c:v>
                </c:pt>
                <c:pt idx="3">
                  <c:v>108.56201380760596</c:v>
                </c:pt>
                <c:pt idx="4">
                  <c:v>142.80213140879411</c:v>
                </c:pt>
                <c:pt idx="5">
                  <c:v>173.89555548851553</c:v>
                </c:pt>
                <c:pt idx="6">
                  <c:v>202.31347221879295</c:v>
                </c:pt>
                <c:pt idx="7">
                  <c:v>252.49547384519579</c:v>
                </c:pt>
                <c:pt idx="8">
                  <c:v>295.46729132686249</c:v>
                </c:pt>
                <c:pt idx="9">
                  <c:v>332.67223073950203</c:v>
                </c:pt>
                <c:pt idx="10">
                  <c:v>365.15217984314586</c:v>
                </c:pt>
                <c:pt idx="11">
                  <c:v>393.69006660795321</c:v>
                </c:pt>
                <c:pt idx="12">
                  <c:v>418.89203273740918</c:v>
                </c:pt>
                <c:pt idx="13">
                  <c:v>441.23836560123277</c:v>
                </c:pt>
                <c:pt idx="14">
                  <c:v>461.11679300751973</c:v>
                </c:pt>
                <c:pt idx="15">
                  <c:v>478.84516848321897</c:v>
                </c:pt>
                <c:pt idx="16">
                  <c:v>494.68745080004754</c:v>
                </c:pt>
                <c:pt idx="17">
                  <c:v>508.86527275976425</c:v>
                </c:pt>
                <c:pt idx="18">
                  <c:v>521.56651174046658</c:v>
                </c:pt>
                <c:pt idx="19">
                  <c:v>532.9517649485374</c:v>
                </c:pt>
                <c:pt idx="20">
                  <c:v>543.15932534142394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1-40A3-BD4C-4177A7F6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96351"/>
        <c:axId val="1729492191"/>
      </c:scatterChart>
      <c:valAx>
        <c:axId val="172949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газосодержание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2191"/>
        <c:crosses val="autoZero"/>
        <c:crossBetween val="midCat"/>
      </c:valAx>
      <c:valAx>
        <c:axId val="17294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 насыщения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давления насыщения</a:t>
            </a:r>
            <a:r>
              <a:rPr lang="ru-RU" baseline="0"/>
              <a:t> от газосодержания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 vs rsb'!$C$22</c:f>
              <c:strCache>
                <c:ptCount val="1"/>
                <c:pt idx="0">
                  <c:v>корр. Стендинга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rsb'!$C$23:$C$43</c:f>
              <c:numCache>
                <c:formatCode>0.00</c:formatCode>
                <c:ptCount val="21"/>
                <c:pt idx="0">
                  <c:v>3.9516569619629691</c:v>
                </c:pt>
                <c:pt idx="1">
                  <c:v>26.20426525769534</c:v>
                </c:pt>
                <c:pt idx="2">
                  <c:v>65.220275414584904</c:v>
                </c:pt>
                <c:pt idx="3">
                  <c:v>99.659129780601489</c:v>
                </c:pt>
                <c:pt idx="4">
                  <c:v>131.76599936161296</c:v>
                </c:pt>
                <c:pt idx="5">
                  <c:v>162.32793720118292</c:v>
                </c:pt>
                <c:pt idx="6">
                  <c:v>191.74670764006237</c:v>
                </c:pt>
                <c:pt idx="7">
                  <c:v>248.04343216453705</c:v>
                </c:pt>
                <c:pt idx="8">
                  <c:v>301.81267586222066</c:v>
                </c:pt>
                <c:pt idx="9">
                  <c:v>353.67640780212275</c:v>
                </c:pt>
                <c:pt idx="10">
                  <c:v>404.02097397611681</c:v>
                </c:pt>
                <c:pt idx="11">
                  <c:v>453.10848286447026</c:v>
                </c:pt>
                <c:pt idx="12">
                  <c:v>501.12776305350866</c:v>
                </c:pt>
                <c:pt idx="13">
                  <c:v>548.22092849987689</c:v>
                </c:pt>
                <c:pt idx="14">
                  <c:v>594.49855745182049</c:v>
                </c:pt>
                <c:pt idx="15">
                  <c:v>640.04897894804401</c:v>
                </c:pt>
                <c:pt idx="16">
                  <c:v>684.9442641679459</c:v>
                </c:pt>
                <c:pt idx="17">
                  <c:v>729.24425980965975</c:v>
                </c:pt>
                <c:pt idx="18">
                  <c:v>772.99939974004769</c:v>
                </c:pt>
                <c:pt idx="19">
                  <c:v>816.25272295477441</c:v>
                </c:pt>
                <c:pt idx="20">
                  <c:v>859.04135817139502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F5-4FE3-AAA3-10DE680EC2DC}"/>
            </c:ext>
          </c:extLst>
        </c:ser>
        <c:ser>
          <c:idx val="1"/>
          <c:order val="1"/>
          <c:tx>
            <c:strRef>
              <c:f>'pb vs rsb'!$D$22</c:f>
              <c:strCache>
                <c:ptCount val="1"/>
                <c:pt idx="0">
                  <c:v>корр. Валко Маккейн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rsb'!$D$23:$D$43</c:f>
              <c:numCache>
                <c:formatCode>0.00</c:formatCode>
                <c:ptCount val="21"/>
                <c:pt idx="0">
                  <c:v>4.7652176471718688</c:v>
                </c:pt>
                <c:pt idx="1">
                  <c:v>27.622604514708939</c:v>
                </c:pt>
                <c:pt idx="2">
                  <c:v>70.525292114122379</c:v>
                </c:pt>
                <c:pt idx="3">
                  <c:v>108.56201380760596</c:v>
                </c:pt>
                <c:pt idx="4">
                  <c:v>142.80213140879411</c:v>
                </c:pt>
                <c:pt idx="5">
                  <c:v>173.89555548851553</c:v>
                </c:pt>
                <c:pt idx="6">
                  <c:v>202.31347221879295</c:v>
                </c:pt>
                <c:pt idx="7">
                  <c:v>252.49547384519579</c:v>
                </c:pt>
                <c:pt idx="8">
                  <c:v>295.46729132686249</c:v>
                </c:pt>
                <c:pt idx="9">
                  <c:v>332.67223073950203</c:v>
                </c:pt>
                <c:pt idx="10">
                  <c:v>365.15217984314586</c:v>
                </c:pt>
                <c:pt idx="11">
                  <c:v>393.69006660795321</c:v>
                </c:pt>
                <c:pt idx="12">
                  <c:v>418.89203273740918</c:v>
                </c:pt>
                <c:pt idx="13">
                  <c:v>441.23836560123277</c:v>
                </c:pt>
                <c:pt idx="14">
                  <c:v>461.11679300751973</c:v>
                </c:pt>
                <c:pt idx="15">
                  <c:v>478.84516848321897</c:v>
                </c:pt>
                <c:pt idx="16">
                  <c:v>494.68745080004754</c:v>
                </c:pt>
                <c:pt idx="17">
                  <c:v>508.86527275976425</c:v>
                </c:pt>
                <c:pt idx="18">
                  <c:v>521.56651174046658</c:v>
                </c:pt>
                <c:pt idx="19">
                  <c:v>532.9517649485374</c:v>
                </c:pt>
                <c:pt idx="20">
                  <c:v>543.15932534142394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F5-4FE3-AAA3-10DE680EC2DC}"/>
            </c:ext>
          </c:extLst>
        </c:ser>
        <c:ser>
          <c:idx val="2"/>
          <c:order val="2"/>
          <c:tx>
            <c:strRef>
              <c:f>'pb vs rsb'!$G$22</c:f>
              <c:strCache>
                <c:ptCount val="1"/>
                <c:pt idx="0">
                  <c:v>расчет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rsb'!$G$23:$G$43</c:f>
              <c:numCache>
                <c:formatCode>General</c:formatCode>
                <c:ptCount val="21"/>
                <c:pt idx="0">
                  <c:v>4.7652176471718688</c:v>
                </c:pt>
                <c:pt idx="1">
                  <c:v>27.622604514708939</c:v>
                </c:pt>
                <c:pt idx="2">
                  <c:v>70.525292114122365</c:v>
                </c:pt>
                <c:pt idx="3">
                  <c:v>108.56201380760596</c:v>
                </c:pt>
                <c:pt idx="4">
                  <c:v>142.80213140879411</c:v>
                </c:pt>
                <c:pt idx="5">
                  <c:v>173.89555548851553</c:v>
                </c:pt>
                <c:pt idx="6">
                  <c:v>202.31347221879295</c:v>
                </c:pt>
                <c:pt idx="7">
                  <c:v>252.49547384519579</c:v>
                </c:pt>
                <c:pt idx="8">
                  <c:v>295.46729132686249</c:v>
                </c:pt>
                <c:pt idx="9">
                  <c:v>332.67223073950203</c:v>
                </c:pt>
                <c:pt idx="10">
                  <c:v>365.15217984314586</c:v>
                </c:pt>
                <c:pt idx="11">
                  <c:v>393.69006660795321</c:v>
                </c:pt>
                <c:pt idx="12">
                  <c:v>418.89203273740918</c:v>
                </c:pt>
                <c:pt idx="13">
                  <c:v>441.23836560123283</c:v>
                </c:pt>
                <c:pt idx="14">
                  <c:v>461.11679300751973</c:v>
                </c:pt>
                <c:pt idx="15">
                  <c:v>478.84516848321897</c:v>
                </c:pt>
                <c:pt idx="16">
                  <c:v>494.68745080004754</c:v>
                </c:pt>
                <c:pt idx="17">
                  <c:v>508.8652727597642</c:v>
                </c:pt>
                <c:pt idx="18">
                  <c:v>521.56651174046658</c:v>
                </c:pt>
                <c:pt idx="19">
                  <c:v>532.9517649485374</c:v>
                </c:pt>
                <c:pt idx="20">
                  <c:v>543.15932534142382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F5-4FE3-AAA3-10DE680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96351"/>
        <c:axId val="1729492191"/>
      </c:scatterChart>
      <c:valAx>
        <c:axId val="172949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газосодержание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2191"/>
        <c:crosses val="autoZero"/>
        <c:crossBetween val="midCat"/>
      </c:valAx>
      <c:valAx>
        <c:axId val="17294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 насыщения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давления насыщения</a:t>
            </a:r>
            <a:r>
              <a:rPr lang="ru-RU" baseline="0"/>
              <a:t> от газосодержания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pb vs rsb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'pb vs rsb'!$G$23:$G$43</c:f>
              <c:numCache>
                <c:formatCode>General</c:formatCode>
                <c:ptCount val="21"/>
                <c:pt idx="0">
                  <c:v>4.7652176471718688</c:v>
                </c:pt>
                <c:pt idx="1">
                  <c:v>27.622604514708939</c:v>
                </c:pt>
                <c:pt idx="2">
                  <c:v>70.525292114122365</c:v>
                </c:pt>
                <c:pt idx="3">
                  <c:v>108.56201380760596</c:v>
                </c:pt>
                <c:pt idx="4">
                  <c:v>142.80213140879411</c:v>
                </c:pt>
                <c:pt idx="5">
                  <c:v>173.89555548851553</c:v>
                </c:pt>
                <c:pt idx="6">
                  <c:v>202.31347221879295</c:v>
                </c:pt>
                <c:pt idx="7">
                  <c:v>252.49547384519579</c:v>
                </c:pt>
                <c:pt idx="8">
                  <c:v>295.46729132686249</c:v>
                </c:pt>
                <c:pt idx="9">
                  <c:v>332.67223073950203</c:v>
                </c:pt>
                <c:pt idx="10">
                  <c:v>365.15217984314586</c:v>
                </c:pt>
                <c:pt idx="11">
                  <c:v>393.69006660795321</c:v>
                </c:pt>
                <c:pt idx="12">
                  <c:v>418.89203273740918</c:v>
                </c:pt>
                <c:pt idx="13">
                  <c:v>441.23836560123283</c:v>
                </c:pt>
                <c:pt idx="14">
                  <c:v>461.11679300751973</c:v>
                </c:pt>
                <c:pt idx="15">
                  <c:v>478.84516848321897</c:v>
                </c:pt>
                <c:pt idx="16">
                  <c:v>494.68745080004754</c:v>
                </c:pt>
                <c:pt idx="17">
                  <c:v>508.8652727597642</c:v>
                </c:pt>
                <c:pt idx="18">
                  <c:v>521.56651174046658</c:v>
                </c:pt>
                <c:pt idx="19">
                  <c:v>532.9517649485374</c:v>
                </c:pt>
                <c:pt idx="20">
                  <c:v>543.15932534142382</c:v>
                </c:pt>
              </c:numCache>
            </c:numRef>
          </c:xVal>
          <c:y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6-42F7-8BF0-64A682076D8E}"/>
            </c:ext>
          </c:extLst>
        </c:ser>
        <c:ser>
          <c:idx val="1"/>
          <c:order val="1"/>
          <c:tx>
            <c:v>rs vs 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'pb vs rsb'!$C$59:$C$84</c:f>
              <c:numCache>
                <c:formatCode>General</c:formatCode>
                <c:ptCount val="26"/>
                <c:pt idx="0">
                  <c:v>1</c:v>
                </c:pt>
                <c:pt idx="1">
                  <c:v>14.608000000000001</c:v>
                </c:pt>
                <c:pt idx="2">
                  <c:v>28.216000000000001</c:v>
                </c:pt>
                <c:pt idx="3">
                  <c:v>41.823999999999998</c:v>
                </c:pt>
                <c:pt idx="4">
                  <c:v>55.432000000000002</c:v>
                </c:pt>
                <c:pt idx="5">
                  <c:v>69.040000000000006</c:v>
                </c:pt>
                <c:pt idx="6">
                  <c:v>82.647999999999996</c:v>
                </c:pt>
                <c:pt idx="7">
                  <c:v>96.256</c:v>
                </c:pt>
                <c:pt idx="8">
                  <c:v>109.864</c:v>
                </c:pt>
                <c:pt idx="9">
                  <c:v>123.47199999999999</c:v>
                </c:pt>
                <c:pt idx="10">
                  <c:v>137.08000000000001</c:v>
                </c:pt>
                <c:pt idx="11">
                  <c:v>150.68799999999999</c:v>
                </c:pt>
                <c:pt idx="12">
                  <c:v>164.29599999999999</c:v>
                </c:pt>
                <c:pt idx="13">
                  <c:v>177.904</c:v>
                </c:pt>
                <c:pt idx="14">
                  <c:v>191.51300000000001</c:v>
                </c:pt>
                <c:pt idx="15">
                  <c:v>205.12100000000001</c:v>
                </c:pt>
                <c:pt idx="16">
                  <c:v>218.72900000000001</c:v>
                </c:pt>
                <c:pt idx="17">
                  <c:v>232.33699999999999</c:v>
                </c:pt>
                <c:pt idx="18">
                  <c:v>245.94499999999999</c:v>
                </c:pt>
                <c:pt idx="19">
                  <c:v>259.553</c:v>
                </c:pt>
                <c:pt idx="20">
                  <c:v>273.161</c:v>
                </c:pt>
                <c:pt idx="21">
                  <c:v>286.76900000000001</c:v>
                </c:pt>
                <c:pt idx="22">
                  <c:v>300.37700000000001</c:v>
                </c:pt>
                <c:pt idx="23">
                  <c:v>313.98500000000001</c:v>
                </c:pt>
                <c:pt idx="24">
                  <c:v>327.59300000000002</c:v>
                </c:pt>
                <c:pt idx="25">
                  <c:v>341.20100000000002</c:v>
                </c:pt>
              </c:numCache>
            </c:numRef>
          </c:xVal>
          <c:yVal>
            <c:numRef>
              <c:f>'pb vs rsb'!$D$59:$D$84</c:f>
              <c:numCache>
                <c:formatCode>General</c:formatCode>
                <c:ptCount val="26"/>
                <c:pt idx="0">
                  <c:v>8.2271659062697899E-2</c:v>
                </c:pt>
                <c:pt idx="1">
                  <c:v>18.022014659826571</c:v>
                </c:pt>
                <c:pt idx="2">
                  <c:v>28.259056830115654</c:v>
                </c:pt>
                <c:pt idx="3">
                  <c:v>36.880577262600646</c:v>
                </c:pt>
                <c:pt idx="4">
                  <c:v>44.700919980779858</c:v>
                </c:pt>
                <c:pt idx="5">
                  <c:v>52.074681365632486</c:v>
                </c:pt>
                <c:pt idx="6">
                  <c:v>59.2054516936917</c:v>
                </c:pt>
                <c:pt idx="7">
                  <c:v>66.229037764954583</c:v>
                </c:pt>
                <c:pt idx="8">
                  <c:v>73.245164700554881</c:v>
                </c:pt>
                <c:pt idx="9">
                  <c:v>80.332105990458729</c:v>
                </c:pt>
                <c:pt idx="10">
                  <c:v>87.554340117432034</c:v>
                </c:pt>
                <c:pt idx="11">
                  <c:v>94.96693491792567</c:v>
                </c:pt>
                <c:pt idx="12">
                  <c:v>102.61823487507657</c:v>
                </c:pt>
                <c:pt idx="13">
                  <c:v>110.55159866234952</c:v>
                </c:pt>
                <c:pt idx="14">
                  <c:v>118.80719158854971</c:v>
                </c:pt>
                <c:pt idx="15">
                  <c:v>127.42035661422511</c:v>
                </c:pt>
                <c:pt idx="16">
                  <c:v>136.42584203788834</c:v>
                </c:pt>
                <c:pt idx="17">
                  <c:v>145.85583986198873</c:v>
                </c:pt>
                <c:pt idx="18">
                  <c:v>155.74091151119103</c:v>
                </c:pt>
                <c:pt idx="19">
                  <c:v>166.11024348451087</c:v>
                </c:pt>
                <c:pt idx="20">
                  <c:v>176.99184801102425</c:v>
                </c:pt>
                <c:pt idx="21">
                  <c:v>188.41272296709593</c:v>
                </c:pt>
                <c:pt idx="22">
                  <c:v>200.39898108307841</c:v>
                </c:pt>
                <c:pt idx="23">
                  <c:v>212.97595563227983</c:v>
                </c:pt>
                <c:pt idx="24">
                  <c:v>226.16828785320072</c:v>
                </c:pt>
                <c:pt idx="25">
                  <c:v>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26-42F7-8BF0-64A682076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96351"/>
        <c:axId val="1729492191"/>
      </c:scatterChart>
      <c:valAx>
        <c:axId val="172949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</a:t>
                </a:r>
                <a:r>
                  <a:rPr lang="ru-RU" baseline="0"/>
                  <a:t> насыщения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2191"/>
        <c:crosses val="autoZero"/>
        <c:crossBetween val="midCat"/>
      </c:valAx>
      <c:valAx>
        <c:axId val="17294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Газосодержание</a:t>
                </a:r>
              </a:p>
            </c:rich>
          </c:tx>
          <c:layout>
            <c:manualLayout>
              <c:xMode val="edge"/>
              <c:yMode val="edge"/>
              <c:x val="2.9038118055574082E-2"/>
              <c:y val="0.34632971380785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давления насыщения</a:t>
            </a:r>
            <a:r>
              <a:rPr lang="ru-RU" baseline="0"/>
              <a:t> от газосодержания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 vs rsb'!$C$22</c:f>
              <c:strCache>
                <c:ptCount val="1"/>
                <c:pt idx="0">
                  <c:v>корр. Стендинга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rsb'!$C$23:$C$43</c:f>
              <c:numCache>
                <c:formatCode>0.00</c:formatCode>
                <c:ptCount val="21"/>
                <c:pt idx="0">
                  <c:v>3.9516569619629691</c:v>
                </c:pt>
                <c:pt idx="1">
                  <c:v>26.20426525769534</c:v>
                </c:pt>
                <c:pt idx="2">
                  <c:v>65.220275414584904</c:v>
                </c:pt>
                <c:pt idx="3">
                  <c:v>99.659129780601489</c:v>
                </c:pt>
                <c:pt idx="4">
                  <c:v>131.76599936161296</c:v>
                </c:pt>
                <c:pt idx="5">
                  <c:v>162.32793720118292</c:v>
                </c:pt>
                <c:pt idx="6">
                  <c:v>191.74670764006237</c:v>
                </c:pt>
                <c:pt idx="7">
                  <c:v>248.04343216453705</c:v>
                </c:pt>
                <c:pt idx="8">
                  <c:v>301.81267586222066</c:v>
                </c:pt>
                <c:pt idx="9">
                  <c:v>353.67640780212275</c:v>
                </c:pt>
                <c:pt idx="10">
                  <c:v>404.02097397611681</c:v>
                </c:pt>
                <c:pt idx="11">
                  <c:v>453.10848286447026</c:v>
                </c:pt>
                <c:pt idx="12">
                  <c:v>501.12776305350866</c:v>
                </c:pt>
                <c:pt idx="13">
                  <c:v>548.22092849987689</c:v>
                </c:pt>
                <c:pt idx="14">
                  <c:v>594.49855745182049</c:v>
                </c:pt>
                <c:pt idx="15">
                  <c:v>640.04897894804401</c:v>
                </c:pt>
                <c:pt idx="16">
                  <c:v>684.9442641679459</c:v>
                </c:pt>
                <c:pt idx="17">
                  <c:v>729.24425980965975</c:v>
                </c:pt>
                <c:pt idx="18">
                  <c:v>772.99939974004769</c:v>
                </c:pt>
                <c:pt idx="19">
                  <c:v>816.25272295477441</c:v>
                </c:pt>
                <c:pt idx="20">
                  <c:v>859.04135817139502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4D-462D-BBF5-FF7E59BF95F1}"/>
            </c:ext>
          </c:extLst>
        </c:ser>
        <c:ser>
          <c:idx val="1"/>
          <c:order val="1"/>
          <c:tx>
            <c:strRef>
              <c:f>'pb vs rsb'!$D$22</c:f>
              <c:strCache>
                <c:ptCount val="1"/>
                <c:pt idx="0">
                  <c:v>корр. Валко Маккейн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'pb vs rsb'!$B$23:$B$43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150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310</c:v>
                </c:pt>
                <c:pt idx="12">
                  <c:v>350</c:v>
                </c:pt>
                <c:pt idx="13">
                  <c:v>390</c:v>
                </c:pt>
                <c:pt idx="14">
                  <c:v>430</c:v>
                </c:pt>
                <c:pt idx="15">
                  <c:v>470</c:v>
                </c:pt>
                <c:pt idx="16">
                  <c:v>510</c:v>
                </c:pt>
                <c:pt idx="17">
                  <c:v>550</c:v>
                </c:pt>
                <c:pt idx="18">
                  <c:v>590</c:v>
                </c:pt>
                <c:pt idx="19">
                  <c:v>630</c:v>
                </c:pt>
                <c:pt idx="20">
                  <c:v>670</c:v>
                </c:pt>
              </c:numCache>
            </c:numRef>
          </c:xVal>
          <c:yVal>
            <c:numRef>
              <c:f>'pb vs rsb'!$D$23:$D$43</c:f>
              <c:numCache>
                <c:formatCode>0.00</c:formatCode>
                <c:ptCount val="21"/>
                <c:pt idx="0">
                  <c:v>4.7652176471718688</c:v>
                </c:pt>
                <c:pt idx="1">
                  <c:v>27.622604514708939</c:v>
                </c:pt>
                <c:pt idx="2">
                  <c:v>70.525292114122379</c:v>
                </c:pt>
                <c:pt idx="3">
                  <c:v>108.56201380760596</c:v>
                </c:pt>
                <c:pt idx="4">
                  <c:v>142.80213140879411</c:v>
                </c:pt>
                <c:pt idx="5">
                  <c:v>173.89555548851553</c:v>
                </c:pt>
                <c:pt idx="6">
                  <c:v>202.31347221879295</c:v>
                </c:pt>
                <c:pt idx="7">
                  <c:v>252.49547384519579</c:v>
                </c:pt>
                <c:pt idx="8">
                  <c:v>295.46729132686249</c:v>
                </c:pt>
                <c:pt idx="9">
                  <c:v>332.67223073950203</c:v>
                </c:pt>
                <c:pt idx="10">
                  <c:v>365.15217984314586</c:v>
                </c:pt>
                <c:pt idx="11">
                  <c:v>393.69006660795321</c:v>
                </c:pt>
                <c:pt idx="12">
                  <c:v>418.89203273740918</c:v>
                </c:pt>
                <c:pt idx="13">
                  <c:v>441.23836560123277</c:v>
                </c:pt>
                <c:pt idx="14">
                  <c:v>461.11679300751973</c:v>
                </c:pt>
                <c:pt idx="15">
                  <c:v>478.84516848321897</c:v>
                </c:pt>
                <c:pt idx="16">
                  <c:v>494.68745080004754</c:v>
                </c:pt>
                <c:pt idx="17">
                  <c:v>508.86527275976425</c:v>
                </c:pt>
                <c:pt idx="18">
                  <c:v>521.56651174046658</c:v>
                </c:pt>
                <c:pt idx="19">
                  <c:v>532.9517649485374</c:v>
                </c:pt>
                <c:pt idx="20">
                  <c:v>543.15932534142394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4D-462D-BBF5-FF7E59BF95F1}"/>
            </c:ext>
          </c:extLst>
        </c:ser>
        <c:ser>
          <c:idx val="2"/>
          <c:order val="2"/>
          <c:tx>
            <c:strRef>
              <c:f>'pb vs rsb'!$G$22</c:f>
              <c:strCache>
                <c:ptCount val="1"/>
                <c:pt idx="0">
                  <c:v>расчет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'pb vs rsb'!$I$23:$I$43</c:f>
              <c:numCache>
                <c:formatCode>0</c:formatCode>
                <c:ptCount val="21"/>
                <c:pt idx="0">
                  <c:v>1.0000000000000002</c:v>
                </c:pt>
                <c:pt idx="1">
                  <c:v>10.11627514475664</c:v>
                </c:pt>
                <c:pt idx="2">
                  <c:v>30.027970672961324</c:v>
                </c:pt>
                <c:pt idx="3">
                  <c:v>50.016124941183307</c:v>
                </c:pt>
                <c:pt idx="4">
                  <c:v>70.011337046209462</c:v>
                </c:pt>
                <c:pt idx="5">
                  <c:v>90.008743154762044</c:v>
                </c:pt>
                <c:pt idx="6">
                  <c:v>110.00711568881246</c:v>
                </c:pt>
                <c:pt idx="7">
                  <c:v>150.00518563484465</c:v>
                </c:pt>
                <c:pt idx="8">
                  <c:v>190.0040793277731</c:v>
                </c:pt>
                <c:pt idx="9">
                  <c:v>230.00336210460028</c:v>
                </c:pt>
                <c:pt idx="10">
                  <c:v>270.00285938923201</c:v>
                </c:pt>
                <c:pt idx="11">
                  <c:v>310.00248746260195</c:v>
                </c:pt>
                <c:pt idx="12">
                  <c:v>350.00220115787874</c:v>
                </c:pt>
                <c:pt idx="13">
                  <c:v>390.00197395933083</c:v>
                </c:pt>
                <c:pt idx="14">
                  <c:v>430.00178927573404</c:v>
                </c:pt>
                <c:pt idx="15">
                  <c:v>470.00163619429253</c:v>
                </c:pt>
                <c:pt idx="16">
                  <c:v>510.00150724273357</c:v>
                </c:pt>
                <c:pt idx="17">
                  <c:v>550.00139713245892</c:v>
                </c:pt>
                <c:pt idx="18">
                  <c:v>590.0013020151564</c:v>
                </c:pt>
                <c:pt idx="19">
                  <c:v>630.0012190237419</c:v>
                </c:pt>
                <c:pt idx="20">
                  <c:v>670.00114597835807</c:v>
                </c:pt>
              </c:numCache>
            </c:numRef>
          </c:xVal>
          <c:yVal>
            <c:numRef>
              <c:f>'pb vs rsb'!$C$23:$C$43</c:f>
              <c:numCache>
                <c:formatCode>0.00</c:formatCode>
                <c:ptCount val="21"/>
                <c:pt idx="0">
                  <c:v>3.9516569619629691</c:v>
                </c:pt>
                <c:pt idx="1">
                  <c:v>26.20426525769534</c:v>
                </c:pt>
                <c:pt idx="2">
                  <c:v>65.220275414584904</c:v>
                </c:pt>
                <c:pt idx="3">
                  <c:v>99.659129780601489</c:v>
                </c:pt>
                <c:pt idx="4">
                  <c:v>131.76599936161296</c:v>
                </c:pt>
                <c:pt idx="5">
                  <c:v>162.32793720118292</c:v>
                </c:pt>
                <c:pt idx="6">
                  <c:v>191.74670764006237</c:v>
                </c:pt>
                <c:pt idx="7">
                  <c:v>248.04343216453705</c:v>
                </c:pt>
                <c:pt idx="8">
                  <c:v>301.81267586222066</c:v>
                </c:pt>
                <c:pt idx="9">
                  <c:v>353.67640780212275</c:v>
                </c:pt>
                <c:pt idx="10">
                  <c:v>404.02097397611681</c:v>
                </c:pt>
                <c:pt idx="11">
                  <c:v>453.10848286447026</c:v>
                </c:pt>
                <c:pt idx="12">
                  <c:v>501.12776305350866</c:v>
                </c:pt>
                <c:pt idx="13">
                  <c:v>548.22092849987689</c:v>
                </c:pt>
                <c:pt idx="14">
                  <c:v>594.49855745182049</c:v>
                </c:pt>
                <c:pt idx="15">
                  <c:v>640.04897894804401</c:v>
                </c:pt>
                <c:pt idx="16">
                  <c:v>684.9442641679459</c:v>
                </c:pt>
                <c:pt idx="17">
                  <c:v>729.24425980965975</c:v>
                </c:pt>
                <c:pt idx="18">
                  <c:v>772.99939974004769</c:v>
                </c:pt>
                <c:pt idx="19">
                  <c:v>816.25272295477441</c:v>
                </c:pt>
                <c:pt idx="20">
                  <c:v>859.04135817139502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4D-462D-BBF5-FF7E59BF9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96351"/>
        <c:axId val="1729492191"/>
      </c:scatterChart>
      <c:valAx>
        <c:axId val="172949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газосодержание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2191"/>
        <c:crosses val="autoZero"/>
        <c:crossBetween val="midCat"/>
      </c:valAx>
      <c:valAx>
        <c:axId val="17294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 насыщения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4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66676</xdr:rowOff>
    </xdr:from>
    <xdr:to>
      <xdr:col>5</xdr:col>
      <xdr:colOff>323850</xdr:colOff>
      <xdr:row>72</xdr:row>
      <xdr:rowOff>180976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A6BF0A-7C23-4FD0-8D45-89D7C3B9B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390525</xdr:colOff>
      <xdr:row>56</xdr:row>
      <xdr:rowOff>57150</xdr:rowOff>
    </xdr:from>
    <xdr:to>
      <xdr:col>11</xdr:col>
      <xdr:colOff>285751</xdr:colOff>
      <xdr:row>72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487585-5507-44DA-876A-9F96AA7C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390525</xdr:colOff>
      <xdr:row>56</xdr:row>
      <xdr:rowOff>57150</xdr:rowOff>
    </xdr:from>
    <xdr:to>
      <xdr:col>17</xdr:col>
      <xdr:colOff>285751</xdr:colOff>
      <xdr:row>72</xdr:row>
      <xdr:rowOff>161925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E9A7DB-E8CB-4432-8569-D695F2461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352425</xdr:colOff>
      <xdr:row>56</xdr:row>
      <xdr:rowOff>47625</xdr:rowOff>
    </xdr:from>
    <xdr:to>
      <xdr:col>23</xdr:col>
      <xdr:colOff>247651</xdr:colOff>
      <xdr:row>72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2F2E0F2-1AE7-47D3-A96D-29999A1F6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123265</xdr:colOff>
      <xdr:row>0</xdr:row>
      <xdr:rowOff>100853</xdr:rowOff>
    </xdr:from>
    <xdr:to>
      <xdr:col>15</xdr:col>
      <xdr:colOff>49126</xdr:colOff>
      <xdr:row>22</xdr:row>
      <xdr:rowOff>62440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F783B9-21F7-41A3-B740-D368264220DD}"/>
            </a:ext>
          </a:extLst>
        </xdr:cNvPr>
        <xdr:cNvSpPr txBox="1"/>
      </xdr:nvSpPr>
      <xdr:spPr>
        <a:xfrm>
          <a:off x="5076265" y="100853"/>
          <a:ext cx="4766802" cy="41525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>
            <a:buFont typeface="Arial" panose="020B0604020202020204" pitchFamily="34" charset="0"/>
            <a:buNone/>
          </a:pPr>
          <a:r>
            <a:rPr lang="ru-RU" sz="1100" baseline="0"/>
            <a:t>Пример показывает механизм работы с функциями Унифлок </a:t>
          </a:r>
          <a:r>
            <a:rPr lang="en-US" sz="1100" baseline="0"/>
            <a:t>VBA </a:t>
          </a:r>
          <a:r>
            <a:rPr lang="ru-RU" sz="1100" baseline="0"/>
            <a:t>для построения графиков зависимости базовых </a:t>
          </a:r>
          <a:r>
            <a:rPr lang="en-US" sz="1100" baseline="0"/>
            <a:t>PVT </a:t>
          </a:r>
          <a:r>
            <a:rPr lang="ru-RU" sz="1100" baseline="0"/>
            <a:t>свойств пластовых флюидов от давления и температуры</a:t>
          </a:r>
        </a:p>
        <a:p>
          <a:pPr marL="0" indent="0">
            <a:buFont typeface="Arial" panose="020B0604020202020204" pitchFamily="34" charset="0"/>
            <a:buNone/>
          </a:pPr>
          <a:endParaRPr lang="ru-RU" sz="1100" baseline="0"/>
        </a:p>
        <a:p>
          <a:pPr marL="0" indent="0">
            <a:buFont typeface="Arial" panose="020B0604020202020204" pitchFamily="34" charset="0"/>
            <a:buNone/>
          </a:pPr>
          <a:r>
            <a:rPr lang="ru-RU" sz="1100" baseline="0"/>
            <a:t>Ключевые шаги построения графиков</a:t>
          </a:r>
        </a:p>
        <a:p>
          <a:pPr marL="0" indent="0">
            <a:buFont typeface="Arial" panose="020B0604020202020204" pitchFamily="34" charset="0"/>
            <a:buNone/>
          </a:pPr>
          <a:r>
            <a:rPr lang="ru-RU" sz="1100" baseline="0"/>
            <a:t>1. </a:t>
          </a:r>
          <a:r>
            <a:rPr lang="ru-RU" sz="1100"/>
            <a:t>Задание свойств флюидов</a:t>
          </a:r>
          <a:r>
            <a:rPr lang="ru-RU" sz="1100" baseline="0"/>
            <a:t> </a:t>
          </a:r>
        </a:p>
        <a:p>
          <a:pPr marL="0" indent="0">
            <a:buFont typeface="Arial" panose="020B0604020202020204" pitchFamily="34" charset="0"/>
            <a:buNone/>
          </a:pPr>
          <a:r>
            <a:rPr lang="ru-RU" sz="1100" baseline="0"/>
            <a:t>2. Задание диапазона давления для построения графиков </a:t>
          </a:r>
        </a:p>
        <a:p>
          <a:pPr marL="0" indent="0">
            <a:buFont typeface="Arial" panose="020B0604020202020204" pitchFamily="34" charset="0"/>
            <a:buNone/>
          </a:pPr>
          <a:r>
            <a:rPr lang="ru-RU" sz="1100" baseline="0"/>
            <a:t>3. Построение графиков с использованием </a:t>
          </a:r>
          <a:r>
            <a:rPr lang="en-US" sz="1100" baseline="0"/>
            <a:t>PVT </a:t>
          </a:r>
          <a:r>
            <a:rPr lang="ru-RU" sz="1100" baseline="0"/>
            <a:t>функций</a:t>
          </a:r>
          <a:endParaRPr lang="en-US" sz="1100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/>
        </a:p>
        <a:p>
          <a:r>
            <a:rPr lang="ru-RU" sz="1100"/>
            <a:t>Используются</a:t>
          </a:r>
          <a:r>
            <a:rPr lang="ru-RU" sz="1100" baseline="0"/>
            <a:t> функции</a:t>
          </a:r>
          <a:r>
            <a:rPr lang="en-US" sz="1100" baseline="0"/>
            <a:t>:</a:t>
          </a: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encode_PVT</a:t>
          </a:r>
          <a:endParaRPr lang="ru-RU" sz="1100">
            <a:solidFill>
              <a:schemeClr val="dk1"/>
            </a:solidFill>
            <a:effectLst/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encode_linspace</a:t>
          </a:r>
          <a:endParaRPr lang="ru-RU" sz="1100" baseline="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GB" sz="1100" baseline="0">
              <a:latin typeface="Courier New" panose="02070309020205020404" pitchFamily="49" charset="0"/>
              <a:cs typeface="Courier New" panose="02070309020205020404" pitchFamily="49" charset="0"/>
            </a:rPr>
            <a:t>PVT_calc</a:t>
          </a:r>
          <a:r>
            <a:rPr lang="ru-RU" sz="1100" baseline="0"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PVT_rs_m3m3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PVT_bo_m3m3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PVT_mu_oil_cP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PVT_mu_gas_cP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PVT_mu_wat_cP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PVT_rho_gas_kgm3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PVT_rho_wat_kgm3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PVT_rho_oil_kgm3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PVT_bg_m3m3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597353</xdr:colOff>
      <xdr:row>21</xdr:row>
      <xdr:rowOff>159883</xdr:rowOff>
    </xdr:from>
    <xdr:to>
      <xdr:col>19</xdr:col>
      <xdr:colOff>356507</xdr:colOff>
      <xdr:row>44</xdr:row>
      <xdr:rowOff>174171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218D42-1178-4147-8533-3ED575401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438149</xdr:colOff>
      <xdr:row>43</xdr:row>
      <xdr:rowOff>84365</xdr:rowOff>
    </xdr:from>
    <xdr:to>
      <xdr:col>40</xdr:col>
      <xdr:colOff>197304</xdr:colOff>
      <xdr:row>66</xdr:row>
      <xdr:rowOff>98653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E12CB19-DB0C-4692-9559-0D826DEC6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136073</xdr:colOff>
      <xdr:row>59</xdr:row>
      <xdr:rowOff>27214</xdr:rowOff>
    </xdr:from>
    <xdr:to>
      <xdr:col>19</xdr:col>
      <xdr:colOff>507547</xdr:colOff>
      <xdr:row>82</xdr:row>
      <xdr:rowOff>41502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C65B308-F8A7-4C40-BC16-028BE6C2B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435428</xdr:colOff>
      <xdr:row>19</xdr:row>
      <xdr:rowOff>108857</xdr:rowOff>
    </xdr:from>
    <xdr:to>
      <xdr:col>40</xdr:col>
      <xdr:colOff>194582</xdr:colOff>
      <xdr:row>42</xdr:row>
      <xdr:rowOff>123145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9B5FA93-3813-464E-9559-46E24D0FD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unifloc\unifloc_vba\UniflocVBA_7.xlam" TargetMode="External"/><Relationship Id="rId1" Type="http://schemas.openxmlformats.org/officeDocument/2006/relationships/externalLinkPath" Target="/unifloc/unifloc_vba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</sheetNames>
    <definedNames>
      <definedName name="decode_json"/>
      <definedName name="encode_linspace"/>
      <definedName name="encode_PVT"/>
      <definedName name="PVT_bg_m3m3"/>
      <definedName name="PVT_bo_m3m3"/>
      <definedName name="PVT_bw_m3m3"/>
      <definedName name="PVT_compressibility_gas_1atm"/>
      <definedName name="PVT_compressibility_oil_1atm"/>
      <definedName name="PVT_compressibility_wat_1atm"/>
      <definedName name="PVT_cp_gas_JkgC"/>
      <definedName name="PVT_cp_oil_JkgC"/>
      <definedName name="PVT_cp_wat_JkgC"/>
      <definedName name="PVT_mu_gas_cP"/>
      <definedName name="PVT_mu_oil_cP"/>
      <definedName name="PVT_mu_wat_cP"/>
      <definedName name="PVT_pb_atma"/>
      <definedName name="PVT_rho_gas_kgm3"/>
      <definedName name="PVT_rho_oil_kgm3"/>
      <definedName name="PVT_rho_wat_kgm3"/>
      <definedName name="PVT_rs_m3m3"/>
      <definedName name="PVT_rsb_m3m3"/>
      <definedName name="PVT_ST_oilgas_Nm"/>
      <definedName name="PVT_ST_watgas_Nm"/>
      <definedName name="unf_pvt_pb_Standing_MPa"/>
      <definedName name="unf_pvt_pb_Valko_McCain_MPa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U56"/>
  <sheetViews>
    <sheetView tabSelected="1" zoomScale="85" zoomScaleNormal="85" workbookViewId="0">
      <selection activeCell="S5" sqref="S5"/>
    </sheetView>
  </sheetViews>
  <sheetFormatPr defaultRowHeight="15" x14ac:dyDescent="0.25"/>
  <cols>
    <col min="2" max="2" width="16.140625" customWidth="1"/>
    <col min="3" max="3" width="12.710937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5" spans="1:3" x14ac:dyDescent="0.25">
      <c r="B5" s="16" t="s">
        <v>38</v>
      </c>
    </row>
    <row r="7" spans="1:3" x14ac:dyDescent="0.25">
      <c r="B7" s="2" t="s">
        <v>2</v>
      </c>
      <c r="C7" s="1">
        <v>0.6</v>
      </c>
    </row>
    <row r="8" spans="1:3" x14ac:dyDescent="0.25">
      <c r="B8" s="2" t="s">
        <v>3</v>
      </c>
      <c r="C8" s="1">
        <v>0.86</v>
      </c>
    </row>
    <row r="9" spans="1:3" x14ac:dyDescent="0.25">
      <c r="B9" s="2" t="s">
        <v>4</v>
      </c>
      <c r="C9" s="1">
        <v>1.1000000000000001</v>
      </c>
    </row>
    <row r="10" spans="1:3" x14ac:dyDescent="0.25">
      <c r="B10" s="2" t="s">
        <v>5</v>
      </c>
      <c r="C10" s="1">
        <v>120</v>
      </c>
    </row>
    <row r="11" spans="1:3" x14ac:dyDescent="0.25">
      <c r="B11" s="2" t="s">
        <v>6</v>
      </c>
      <c r="C11" s="1">
        <v>130</v>
      </c>
    </row>
    <row r="12" spans="1:3" x14ac:dyDescent="0.25">
      <c r="B12" s="2" t="s">
        <v>7</v>
      </c>
      <c r="C12" s="1">
        <v>80</v>
      </c>
    </row>
    <row r="13" spans="1:3" x14ac:dyDescent="0.25">
      <c r="B13" s="2" t="s">
        <v>8</v>
      </c>
      <c r="C13" s="1">
        <v>1.2</v>
      </c>
    </row>
    <row r="14" spans="1:3" x14ac:dyDescent="0.25">
      <c r="B14" s="2" t="s">
        <v>9</v>
      </c>
      <c r="C14" s="1">
        <v>0.6</v>
      </c>
    </row>
    <row r="15" spans="1:3" x14ac:dyDescent="0.25">
      <c r="B15" s="2" t="s">
        <v>10</v>
      </c>
      <c r="C15" s="1">
        <v>0</v>
      </c>
    </row>
    <row r="16" spans="1:3" x14ac:dyDescent="0.25">
      <c r="B16" s="2" t="s">
        <v>11</v>
      </c>
      <c r="C16" s="3" t="str">
        <f>[1]!encode_PVT(C7,C8,C9,C10,C11,C12,C13,C14,C15)</f>
        <v>{"gamma_gas":0.6,"gamma_oil":0.86,"gamma_wat":1.1,"rsb_m3m3":120,"pb_atma":130,"t_res_C":80,"bob_m3m3":1.2,"muob_cP":0.6,"PVT_corr_set":0}</v>
      </c>
    </row>
    <row r="19" spans="2:21" x14ac:dyDescent="0.25">
      <c r="B19" s="15" t="s">
        <v>39</v>
      </c>
    </row>
    <row r="21" spans="2:21" x14ac:dyDescent="0.25">
      <c r="B21" t="s">
        <v>14</v>
      </c>
    </row>
    <row r="22" spans="2:21" x14ac:dyDescent="0.25">
      <c r="B22" s="2" t="s">
        <v>15</v>
      </c>
      <c r="C22" s="1">
        <v>1</v>
      </c>
    </row>
    <row r="23" spans="2:21" x14ac:dyDescent="0.25">
      <c r="B23" s="2" t="s">
        <v>16</v>
      </c>
      <c r="C23" s="1">
        <v>250</v>
      </c>
    </row>
    <row r="24" spans="2:21" x14ac:dyDescent="0.25">
      <c r="B24" s="2" t="s">
        <v>17</v>
      </c>
      <c r="C24" s="1">
        <v>25</v>
      </c>
    </row>
    <row r="25" spans="2:21" x14ac:dyDescent="0.25">
      <c r="B25" s="2" t="s">
        <v>18</v>
      </c>
      <c r="C25" s="3" t="str">
        <f t="array" ref="C25">[1]!encode_linspace(C22,C23,C24)</f>
        <v>[1,10.96,20.92,30.88,40.84,50.8,60.76,70.72,80.68,90.64,100.6,110.56,120.52,130.48,140.44,150.4,160.36,170.32,180.28,190.24,200.2,210.16,220.12,230.08,240.04,250]</v>
      </c>
    </row>
    <row r="26" spans="2:21" x14ac:dyDescent="0.25">
      <c r="B26" s="2" t="s">
        <v>19</v>
      </c>
      <c r="C26" s="1">
        <v>40</v>
      </c>
    </row>
    <row r="28" spans="2:21" x14ac:dyDescent="0.25">
      <c r="B28" s="15" t="s">
        <v>40</v>
      </c>
    </row>
    <row r="30" spans="2:21" ht="15.75" x14ac:dyDescent="0.25">
      <c r="B30" s="4" t="s">
        <v>12</v>
      </c>
      <c r="C30" s="4" t="s">
        <v>13</v>
      </c>
      <c r="D30" s="4" t="s">
        <v>20</v>
      </c>
      <c r="E30" s="4" t="s">
        <v>21</v>
      </c>
      <c r="F30" s="5" t="s">
        <v>22</v>
      </c>
      <c r="G30" s="6" t="s">
        <v>23</v>
      </c>
      <c r="H30" s="6" t="s">
        <v>24</v>
      </c>
      <c r="I30" s="4" t="s">
        <v>25</v>
      </c>
      <c r="J30" s="4" t="s">
        <v>26</v>
      </c>
      <c r="K30" s="4" t="s">
        <v>27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33</v>
      </c>
      <c r="R30" s="4" t="s">
        <v>34</v>
      </c>
      <c r="S30" s="4" t="s">
        <v>35</v>
      </c>
      <c r="T30" s="4" t="s">
        <v>36</v>
      </c>
      <c r="U30" s="4" t="s">
        <v>37</v>
      </c>
    </row>
    <row r="31" spans="2:21" x14ac:dyDescent="0.25">
      <c r="B31" s="7">
        <f t="array" ref="B31:B56">[1]!decode_json(Массив_точек)</f>
        <v>1</v>
      </c>
      <c r="C31" s="7">
        <f t="shared" ref="C31:C56" si="0">Температура</f>
        <v>40</v>
      </c>
      <c r="D31" s="8">
        <f t="array" ref="D31">[1]!PVT_rs_m3m3(B31,C31,PVT_json)</f>
        <v>0.40799738531524365</v>
      </c>
      <c r="E31" s="8">
        <f>[1]!PVT_bo_m3m3(B31,C31,PVT_json)</f>
        <v>1.0101291210759702</v>
      </c>
      <c r="F31" s="9">
        <f>[1]!PVT_mu_oil_cP(B31,C31,PVT_json)</f>
        <v>9.7713156529231888</v>
      </c>
      <c r="G31" s="10">
        <f>[1]!PVT_mu_gas_cP(B31,C31,PVT_json)</f>
        <v>1.1670786174954272E-2</v>
      </c>
      <c r="H31" s="8">
        <f>[1]!PVT_mu_wat_cP(B31,C31,PVT_json)</f>
        <v>0.82711135330023133</v>
      </c>
      <c r="I31" s="9">
        <f>[1]!PVT_rho_gas_kgm3(B31,C31,PVT_json)</f>
        <v>0.68450731108914831</v>
      </c>
      <c r="J31" s="11">
        <f>[1]!PVT_rho_wat_kgm3(B31,C31,PVT_json)</f>
        <v>1089.4642225846567</v>
      </c>
      <c r="K31" s="11">
        <f>[1]!PVT_rho_oil_kgm3(B31,C31,PVT_json)</f>
        <v>851.67237761347747</v>
      </c>
      <c r="L31" s="12">
        <f>[1]!PVT_bg_m3m3(B31,C31,PVT_json)</f>
        <v>1.0708724189280916</v>
      </c>
      <c r="M31" s="12">
        <f>[1]!PVT_bw_m3m3(B31,C31,PVT_json)</f>
        <v>1.0096706043181007</v>
      </c>
      <c r="N31" s="10">
        <f>[1]!PVT_ST_oilgas_Nm(B31,C31,PVT_json)</f>
        <v>2.8969477236995007E-2</v>
      </c>
      <c r="O31" s="12">
        <f>[1]!PVT_ST_watgas_Nm(B31,C31,PVT_json)</f>
        <v>6.4550360938274251E-2</v>
      </c>
      <c r="P31" s="13">
        <f>[1]!PVT_cp_oil_JkgC(B31,C31,PVT_json)</f>
        <v>2436.6600000000003</v>
      </c>
      <c r="Q31" s="13">
        <f>[1]!PVT_cp_gas_JkgC(B31,C31,PVT_json)</f>
        <v>2180.5754923629329</v>
      </c>
      <c r="R31" s="13">
        <f>[1]!PVT_cp_wat_JkgC(B31,C31,PVT_json)</f>
        <v>4176</v>
      </c>
      <c r="S31" s="14">
        <f>[1]!PVT_compressibility_wat_1atm(B31,C31,PVT_json)</f>
        <v>3.4370661312794921E-5</v>
      </c>
      <c r="T31" s="14">
        <f>[1]!PVT_compressibility_oil_1atm(B31,C31,PVT_json)</f>
        <v>0.28872011800328556</v>
      </c>
      <c r="U31" s="14">
        <f>[1]!PVT_compressibility_gas_1atm(B31,C31,PVT_json)</f>
        <v>1.0016044501325005</v>
      </c>
    </row>
    <row r="32" spans="2:21" x14ac:dyDescent="0.25">
      <c r="B32" s="7">
        <v>10.96</v>
      </c>
      <c r="C32" s="7">
        <f t="shared" si="0"/>
        <v>40</v>
      </c>
      <c r="D32" s="8">
        <f t="array" ref="D32">[1]!PVT_rs_m3m3(B32,C32,PVT_json)</f>
        <v>7.2876798732693953</v>
      </c>
      <c r="E32" s="8">
        <f>[1]!PVT_bo_m3m3(B32,C32,PVT_json)</f>
        <v>1.0179607432402868</v>
      </c>
      <c r="F32" s="9">
        <f>[1]!PVT_mu_oil_cP(B32,C32,PVT_json)</f>
        <v>6.9930993456852466</v>
      </c>
      <c r="G32" s="10">
        <f>[1]!PVT_mu_gas_cP(B32,C32,PVT_json)</f>
        <v>1.1803262208544711E-2</v>
      </c>
      <c r="H32" s="8">
        <f>[1]!PVT_mu_wat_cP(B32,C32,PVT_json)</f>
        <v>0.83205590390069484</v>
      </c>
      <c r="I32" s="9">
        <f>[1]!PVT_rho_gas_kgm3(B32,C32,PVT_json)</f>
        <v>7.6268972740510215</v>
      </c>
      <c r="J32" s="11">
        <f>[1]!PVT_rho_wat_kgm3(B32,C32,PVT_json)</f>
        <v>1089.5604893429661</v>
      </c>
      <c r="K32" s="11">
        <f>[1]!PVT_rho_oil_kgm3(B32,C32,PVT_json)</f>
        <v>850.07405329425592</v>
      </c>
      <c r="L32" s="12">
        <f>[1]!PVT_bg_m3m3(B32,C32,PVT_json)</f>
        <v>9.6109856165750726E-2</v>
      </c>
      <c r="M32" s="12">
        <f>[1]!PVT_bw_m3m3(B32,C32,PVT_json)</f>
        <v>1.0095813961309568</v>
      </c>
      <c r="N32" s="10">
        <f>[1]!PVT_ST_oilgas_Nm(B32,C32,PVT_json)</f>
        <v>2.8601027331509519E-2</v>
      </c>
      <c r="O32" s="12">
        <f>[1]!PVT_ST_watgas_Nm(B32,C32,PVT_json)</f>
        <v>6.440053541134963E-2</v>
      </c>
      <c r="P32" s="13">
        <f>[1]!PVT_cp_oil_JkgC(B32,C32,PVT_json)</f>
        <v>2436.6600000000003</v>
      </c>
      <c r="Q32" s="13">
        <f>[1]!PVT_cp_gas_JkgC(B32,C32,PVT_json)</f>
        <v>2144.9238338280929</v>
      </c>
      <c r="R32" s="13">
        <f>[1]!PVT_cp_wat_JkgC(B32,C32,PVT_json)</f>
        <v>4176</v>
      </c>
      <c r="S32" s="14">
        <f>[1]!PVT_compressibility_wat_1atm(B32,C32,PVT_json)</f>
        <v>3.4287017433847835E-5</v>
      </c>
      <c r="T32" s="14">
        <f>[1]!PVT_compressibility_oil_1atm(B32,C32,PVT_json)</f>
        <v>4.1443404591609029E-2</v>
      </c>
      <c r="U32" s="14">
        <f>[1]!PVT_compressibility_gas_1atm(B32,C32,PVT_json)</f>
        <v>9.2952069162459822E-2</v>
      </c>
    </row>
    <row r="33" spans="2:21" x14ac:dyDescent="0.25">
      <c r="B33" s="7">
        <v>20.92</v>
      </c>
      <c r="C33" s="7">
        <f t="shared" si="0"/>
        <v>40</v>
      </c>
      <c r="D33" s="8">
        <f t="array" ref="D33">[1]!PVT_rs_m3m3(B33,C33,PVT_json)</f>
        <v>15.871341736906061</v>
      </c>
      <c r="E33" s="8">
        <f>[1]!PVT_bo_m3m3(B33,C33,PVT_json)</f>
        <v>1.0281158014393958</v>
      </c>
      <c r="F33" s="9">
        <f>[1]!PVT_mu_oil_cP(B33,C33,PVT_json)</f>
        <v>5.1397568149463062</v>
      </c>
      <c r="G33" s="10">
        <f>[1]!PVT_mu_gas_cP(B33,C33,PVT_json)</f>
        <v>1.1986250575720442E-2</v>
      </c>
      <c r="H33" s="8">
        <f>[1]!PVT_mu_wat_cP(B33,C33,PVT_json)</f>
        <v>0.83711054604977453</v>
      </c>
      <c r="I33" s="9">
        <f>[1]!PVT_rho_gas_kgm3(B33,C33,PVT_json)</f>
        <v>14.817056436627773</v>
      </c>
      <c r="J33" s="11">
        <f>[1]!PVT_rho_wat_kgm3(B33,C33,PVT_json)</f>
        <v>1089.668131514959</v>
      </c>
      <c r="K33" s="11">
        <f>[1]!PVT_rho_oil_kgm3(B33,C33,PVT_json)</f>
        <v>847.79750461929552</v>
      </c>
      <c r="L33" s="12">
        <f>[1]!PVT_bg_m3m3(B33,C33,PVT_json)</f>
        <v>4.9471364513937736E-2</v>
      </c>
      <c r="M33" s="12">
        <f>[1]!PVT_bw_m3m3(B33,C33,PVT_json)</f>
        <v>1.0094816652760843</v>
      </c>
      <c r="N33" s="10">
        <f>[1]!PVT_ST_oilgas_Nm(B33,C33,PVT_json)</f>
        <v>2.8237263576614238E-2</v>
      </c>
      <c r="O33" s="12">
        <f>[1]!PVT_ST_watgas_Nm(B33,C33,PVT_json)</f>
        <v>6.4251057639080331E-2</v>
      </c>
      <c r="P33" s="13">
        <f>[1]!PVT_cp_oil_JkgC(B33,C33,PVT_json)</f>
        <v>2436.6600000000003</v>
      </c>
      <c r="Q33" s="13">
        <f>[1]!PVT_cp_gas_JkgC(B33,C33,PVT_json)</f>
        <v>2107.4096430143254</v>
      </c>
      <c r="R33" s="13">
        <f>[1]!PVT_cp_wat_JkgC(B33,C33,PVT_json)</f>
        <v>4176</v>
      </c>
      <c r="S33" s="14">
        <f>[1]!PVT_compressibility_wat_1atm(B33,C33,PVT_json)</f>
        <v>3.4203779675322932E-5</v>
      </c>
      <c r="T33" s="14">
        <f>[1]!PVT_compressibility_oil_1atm(B33,C33,PVT_json)</f>
        <v>2.3799326989926185E-2</v>
      </c>
      <c r="U33" s="14">
        <f>[1]!PVT_compressibility_gas_1atm(B33,C33,PVT_json)</f>
        <v>4.9634378950722882E-2</v>
      </c>
    </row>
    <row r="34" spans="2:21" x14ac:dyDescent="0.25">
      <c r="B34" s="7">
        <v>30.88</v>
      </c>
      <c r="C34" s="7">
        <f t="shared" si="0"/>
        <v>40</v>
      </c>
      <c r="D34" s="8">
        <f t="array" ref="D34">[1]!PVT_rs_m3m3(B34,C34,PVT_json)</f>
        <v>25.364647959839644</v>
      </c>
      <c r="E34" s="8">
        <f>[1]!PVT_bo_m3m3(B34,C34,PVT_json)</f>
        <v>1.0397635791746314</v>
      </c>
      <c r="F34" s="9">
        <f>[1]!PVT_mu_oil_cP(B34,C34,PVT_json)</f>
        <v>3.9709702064959602</v>
      </c>
      <c r="G34" s="10">
        <f>[1]!PVT_mu_gas_cP(B34,C34,PVT_json)</f>
        <v>1.220611654701194E-2</v>
      </c>
      <c r="H34" s="8">
        <f>[1]!PVT_mu_wat_cP(B34,C34,PVT_json)</f>
        <v>0.84227527974747018</v>
      </c>
      <c r="I34" s="9">
        <f>[1]!PVT_rho_gas_kgm3(B34,C34,PVT_json)</f>
        <v>22.287265720310746</v>
      </c>
      <c r="J34" s="11">
        <f>[1]!PVT_rho_wat_kgm3(B34,C34,PVT_json)</f>
        <v>1089.7871558389759</v>
      </c>
      <c r="K34" s="11">
        <f>[1]!PVT_rho_oil_kgm3(B34,C34,PVT_json)</f>
        <v>844.99285399566725</v>
      </c>
      <c r="L34" s="12">
        <f>[1]!PVT_bg_m3m3(B34,C34,PVT_json)</f>
        <v>3.2889633443549199E-2</v>
      </c>
      <c r="M34" s="12">
        <f>[1]!PVT_bw_m3m3(B34,C34,PVT_json)</f>
        <v>1.0093714117534831</v>
      </c>
      <c r="N34" s="10">
        <f>[1]!PVT_ST_oilgas_Nm(B34,C34,PVT_json)</f>
        <v>2.7878126371242578E-2</v>
      </c>
      <c r="O34" s="12">
        <f>[1]!PVT_ST_watgas_Nm(B34,C34,PVT_json)</f>
        <v>6.4101926814305474E-2</v>
      </c>
      <c r="P34" s="13">
        <f>[1]!PVT_cp_oil_JkgC(B34,C34,PVT_json)</f>
        <v>2436.6600000000003</v>
      </c>
      <c r="Q34" s="13">
        <f>[1]!PVT_cp_gas_JkgC(B34,C34,PVT_json)</f>
        <v>2068.0913517353838</v>
      </c>
      <c r="R34" s="13">
        <f>[1]!PVT_cp_wat_JkgC(B34,C34,PVT_json)</f>
        <v>4176</v>
      </c>
      <c r="S34" s="14">
        <f>[1]!PVT_compressibility_wat_1atm(B34,C34,PVT_json)</f>
        <v>3.4120945086597352E-5</v>
      </c>
      <c r="T34" s="14">
        <f>[1]!PVT_compressibility_oil_1atm(B34,C34,PVT_json)</f>
        <v>1.6702949182722176E-2</v>
      </c>
      <c r="U34" s="14">
        <f>[1]!PVT_compressibility_gas_1atm(B34,C34,PVT_json)</f>
        <v>3.4329183017041652E-2</v>
      </c>
    </row>
    <row r="35" spans="2:21" x14ac:dyDescent="0.25">
      <c r="B35" s="7">
        <v>40.840000000000003</v>
      </c>
      <c r="C35" s="7">
        <f t="shared" si="0"/>
        <v>40</v>
      </c>
      <c r="D35" s="8">
        <f t="array" ref="D35">[1]!PVT_rs_m3m3(B35,C35,PVT_json)</f>
        <v>35.514409899723034</v>
      </c>
      <c r="E35" s="8">
        <f>[1]!PVT_bo_m3m3(B35,C35,PVT_json)</f>
        <v>1.0526284121419127</v>
      </c>
      <c r="F35" s="9">
        <f>[1]!PVT_mu_oil_cP(B35,C35,PVT_json)</f>
        <v>3.1972861301457325</v>
      </c>
      <c r="G35" s="10">
        <f>[1]!PVT_mu_gas_cP(B35,C35,PVT_json)</f>
        <v>1.2460827496596714E-2</v>
      </c>
      <c r="H35" s="8">
        <f>[1]!PVT_mu_wat_cP(B35,C35,PVT_json)</f>
        <v>0.84755010499378214</v>
      </c>
      <c r="I35" s="9">
        <f>[1]!PVT_rho_gas_kgm3(B35,C35,PVT_json)</f>
        <v>30.065604190118247</v>
      </c>
      <c r="J35" s="11">
        <f>[1]!PVT_rho_wat_kgm3(B35,C35,PVT_json)</f>
        <v>1089.9175697681967</v>
      </c>
      <c r="K35" s="11">
        <f>[1]!PVT_rho_oil_kgm3(B35,C35,PVT_json)</f>
        <v>841.73366643388897</v>
      </c>
      <c r="L35" s="12">
        <f>[1]!PVT_bg_m3m3(B35,C35,PVT_json)</f>
        <v>2.4380684165360093E-2</v>
      </c>
      <c r="M35" s="12">
        <f>[1]!PVT_bw_m3m3(B35,C35,PVT_json)</f>
        <v>1.0092506355631534</v>
      </c>
      <c r="N35" s="10">
        <f>[1]!PVT_ST_oilgas_Nm(B35,C35,PVT_json)</f>
        <v>2.7523556872367409E-2</v>
      </c>
      <c r="O35" s="12">
        <f>[1]!PVT_ST_watgas_Nm(B35,C35,PVT_json)</f>
        <v>6.3953142131737709E-2</v>
      </c>
      <c r="P35" s="13">
        <f>[1]!PVT_cp_oil_JkgC(B35,C35,PVT_json)</f>
        <v>2436.6600000000003</v>
      </c>
      <c r="Q35" s="13">
        <f>[1]!PVT_cp_gas_JkgC(B35,C35,PVT_json)</f>
        <v>2027.5193865688188</v>
      </c>
      <c r="R35" s="13">
        <f>[1]!PVT_cp_wat_JkgC(B35,C35,PVT_json)</f>
        <v>4176</v>
      </c>
      <c r="S35" s="14">
        <f>[1]!PVT_compressibility_wat_1atm(B35,C35,PVT_json)</f>
        <v>3.4038510745562402E-5</v>
      </c>
      <c r="T35" s="14">
        <f>[1]!PVT_compressibility_oil_1atm(B35,C35,PVT_json)</f>
        <v>1.2748477737173858E-2</v>
      </c>
      <c r="U35" s="14">
        <f>[1]!PVT_compressibility_gas_1atm(B35,C35,PVT_json)</f>
        <v>2.6511926884427977E-2</v>
      </c>
    </row>
    <row r="36" spans="2:21" x14ac:dyDescent="0.25">
      <c r="B36" s="7">
        <v>50.8</v>
      </c>
      <c r="C36" s="7">
        <f t="shared" si="0"/>
        <v>40</v>
      </c>
      <c r="D36" s="8">
        <f t="array" ref="D36">[1]!PVT_rs_m3m3(B36,C36,PVT_json)</f>
        <v>46.186737869660284</v>
      </c>
      <c r="E36" s="8">
        <f>[1]!PVT_bo_m3m3(B36,C36,PVT_json)</f>
        <v>1.0665526535566601</v>
      </c>
      <c r="F36" s="9">
        <f>[1]!PVT_mu_oil_cP(B36,C36,PVT_json)</f>
        <v>2.6582574292633616</v>
      </c>
      <c r="G36" s="10">
        <f>[1]!PVT_mu_gas_cP(B36,C36,PVT_json)</f>
        <v>1.2750782199815394E-2</v>
      </c>
      <c r="H36" s="8">
        <f>[1]!PVT_mu_wat_cP(B36,C36,PVT_json)</f>
        <v>0.85293502178871006</v>
      </c>
      <c r="I36" s="9">
        <f>[1]!PVT_rho_gas_kgm3(B36,C36,PVT_json)</f>
        <v>38.167901822091984</v>
      </c>
      <c r="J36" s="11">
        <f>[1]!PVT_rho_wat_kgm3(B36,C36,PVT_json)</f>
        <v>1090.0593814718109</v>
      </c>
      <c r="K36" s="11">
        <f>[1]!PVT_rho_oil_kgm3(B36,C36,PVT_json)</f>
        <v>838.07939496700408</v>
      </c>
      <c r="L36" s="12">
        <f>[1]!PVT_bg_m3m3(B36,C36,PVT_json)</f>
        <v>1.9205142672414868E-2</v>
      </c>
      <c r="M36" s="12">
        <f>[1]!PVT_bw_m3m3(B36,C36,PVT_json)</f>
        <v>1.0091193367050952</v>
      </c>
      <c r="N36" s="10">
        <f>[1]!PVT_ST_oilgas_Nm(B36,C36,PVT_json)</f>
        <v>2.7173496985359927E-2</v>
      </c>
      <c r="O36" s="12">
        <f>[1]!PVT_ST_watgas_Nm(B36,C36,PVT_json)</f>
        <v>6.3804702787958772E-2</v>
      </c>
      <c r="P36" s="13">
        <f>[1]!PVT_cp_oil_JkgC(B36,C36,PVT_json)</f>
        <v>2436.6600000000003</v>
      </c>
      <c r="Q36" s="13">
        <f>[1]!PVT_cp_gas_JkgC(B36,C36,PVT_json)</f>
        <v>1986.6192695676916</v>
      </c>
      <c r="R36" s="13">
        <f>[1]!PVT_cp_wat_JkgC(B36,C36,PVT_json)</f>
        <v>4176</v>
      </c>
      <c r="S36" s="14">
        <f>[1]!PVT_compressibility_wat_1atm(B36,C36,PVT_json)</f>
        <v>3.3956473758279953E-5</v>
      </c>
      <c r="T36" s="14">
        <f>[1]!PVT_compressibility_oil_1atm(B36,C36,PVT_json)</f>
        <v>1.0186447936970619E-2</v>
      </c>
      <c r="U36" s="14">
        <f>[1]!PVT_compressibility_gas_1atm(B36,C36,PVT_json)</f>
        <v>2.1741398826457058E-2</v>
      </c>
    </row>
    <row r="37" spans="2:21" x14ac:dyDescent="0.25">
      <c r="B37" s="7">
        <v>60.76</v>
      </c>
      <c r="C37" s="7">
        <f t="shared" si="0"/>
        <v>40</v>
      </c>
      <c r="D37" s="8">
        <f t="array" ref="D37">[1]!PVT_rs_m3m3(B37,C37,PVT_json)</f>
        <v>57.297169628895659</v>
      </c>
      <c r="E37" s="8">
        <f>[1]!PVT_bo_m3m3(B37,C37,PVT_json)</f>
        <v>1.0814285796104861</v>
      </c>
      <c r="F37" s="9">
        <f>[1]!PVT_mu_oil_cP(B37,C37,PVT_json)</f>
        <v>2.2659362081661159</v>
      </c>
      <c r="G37" s="10">
        <f>[1]!PVT_mu_gas_cP(B37,C37,PVT_json)</f>
        <v>1.3076968510634203E-2</v>
      </c>
      <c r="H37" s="8">
        <f>[1]!PVT_mu_wat_cP(B37,C37,PVT_json)</f>
        <v>0.85843003013225416</v>
      </c>
      <c r="I37" s="9">
        <f>[1]!PVT_rho_gas_kgm3(B37,C37,PVT_json)</f>
        <v>46.591315187907213</v>
      </c>
      <c r="J37" s="11">
        <f>[1]!PVT_rho_wat_kgm3(B37,C37,PVT_json)</f>
        <v>1090.2125998362967</v>
      </c>
      <c r="K37" s="11">
        <f>[1]!PVT_rho_oil_kgm3(B37,C37,PVT_json)</f>
        <v>834.08186937898347</v>
      </c>
      <c r="L37" s="12">
        <f>[1]!PVT_bg_m3m3(B37,C37,PVT_json)</f>
        <v>1.5732975062920214E-2</v>
      </c>
      <c r="M37" s="12">
        <f>[1]!PVT_bw_m3m3(B37,C37,PVT_json)</f>
        <v>1.0089775151793081</v>
      </c>
      <c r="N37" s="10">
        <f>[1]!PVT_ST_oilgas_Nm(B37,C37,PVT_json)</f>
        <v>2.6827889354471078E-2</v>
      </c>
      <c r="O37" s="12">
        <f>[1]!PVT_ST_watgas_Nm(B37,C37,PVT_json)</f>
        <v>6.3656607981415148E-2</v>
      </c>
      <c r="P37" s="13">
        <f>[1]!PVT_cp_oil_JkgC(B37,C37,PVT_json)</f>
        <v>2436.6600000000003</v>
      </c>
      <c r="Q37" s="13">
        <f>[1]!PVT_cp_gas_JkgC(B37,C37,PVT_json)</f>
        <v>1946.5340857482613</v>
      </c>
      <c r="R37" s="13">
        <f>[1]!PVT_cp_wat_JkgC(B37,C37,PVT_json)</f>
        <v>4176</v>
      </c>
      <c r="S37" s="14">
        <f>[1]!PVT_compressibility_wat_1atm(B37,C37,PVT_json)</f>
        <v>3.3874831258643775E-5</v>
      </c>
      <c r="T37" s="14">
        <f>[1]!PVT_compressibility_oil_1atm(B37,C37,PVT_json)</f>
        <v>8.3777197633504198E-3</v>
      </c>
      <c r="U37" s="14">
        <f>[1]!PVT_compressibility_gas_1atm(B37,C37,PVT_json)</f>
        <v>1.8483563307189196E-2</v>
      </c>
    </row>
    <row r="38" spans="2:21" x14ac:dyDescent="0.25">
      <c r="B38" s="7">
        <v>70.72</v>
      </c>
      <c r="C38" s="7">
        <f t="shared" si="0"/>
        <v>40</v>
      </c>
      <c r="D38" s="8">
        <f t="array" ref="D38">[1]!PVT_rs_m3m3(B38,C38,PVT_json)</f>
        <v>68.786981354050553</v>
      </c>
      <c r="E38" s="8">
        <f>[1]!PVT_bo_m3m3(B38,C38,PVT_json)</f>
        <v>1.0971756568922424</v>
      </c>
      <c r="F38" s="9">
        <f>[1]!PVT_mu_oil_cP(B38,C38,PVT_json)</f>
        <v>1.9699222555167235</v>
      </c>
      <c r="G38" s="10">
        <f>[1]!PVT_mu_gas_cP(B38,C38,PVT_json)</f>
        <v>1.3440112930067173E-2</v>
      </c>
      <c r="H38" s="8">
        <f>[1]!PVT_mu_wat_cP(B38,C38,PVT_json)</f>
        <v>0.86403513002441446</v>
      </c>
      <c r="I38" s="9">
        <f>[1]!PVT_rho_gas_kgm3(B38,C38,PVT_json)</f>
        <v>55.310777212770795</v>
      </c>
      <c r="J38" s="11">
        <f>[1]!PVT_rho_wat_kgm3(B38,C38,PVT_json)</f>
        <v>1090.3772344668146</v>
      </c>
      <c r="K38" s="11">
        <f>[1]!PVT_rho_oil_kgm3(B38,C38,PVT_json)</f>
        <v>829.78712419752674</v>
      </c>
      <c r="L38" s="12">
        <f>[1]!PVT_bg_m3m3(B38,C38,PVT_json)</f>
        <v>1.3252751759032448E-2</v>
      </c>
      <c r="M38" s="12">
        <f>[1]!PVT_bw_m3m3(B38,C38,PVT_json)</f>
        <v>1.0088251709857927</v>
      </c>
      <c r="N38" s="10">
        <f>[1]!PVT_ST_oilgas_Nm(B38,C38,PVT_json)</f>
        <v>2.6486677353434109E-2</v>
      </c>
      <c r="O38" s="12">
        <f>[1]!PVT_ST_watgas_Nm(B38,C38,PVT_json)</f>
        <v>6.3508856912413869E-2</v>
      </c>
      <c r="P38" s="13">
        <f>[1]!PVT_cp_oil_JkgC(B38,C38,PVT_json)</f>
        <v>2436.6600000000003</v>
      </c>
      <c r="Q38" s="13">
        <f>[1]!PVT_cp_gas_JkgC(B38,C38,PVT_json)</f>
        <v>1908.4540537444457</v>
      </c>
      <c r="R38" s="13">
        <f>[1]!PVT_cp_wat_JkgC(B38,C38,PVT_json)</f>
        <v>4176</v>
      </c>
      <c r="S38" s="14">
        <f>[1]!PVT_compressibility_wat_1atm(B38,C38,PVT_json)</f>
        <v>3.3793580408045776E-5</v>
      </c>
      <c r="T38" s="14">
        <f>[1]!PVT_compressibility_oil_1atm(B38,C38,PVT_json)</f>
        <v>7.0299160758970549E-3</v>
      </c>
      <c r="U38" s="14">
        <f>[1]!PVT_compressibility_gas_1atm(B38,C38,PVT_json)</f>
        <v>1.6070225769133948E-2</v>
      </c>
    </row>
    <row r="39" spans="2:21" x14ac:dyDescent="0.25">
      <c r="B39" s="7">
        <v>80.680000000000007</v>
      </c>
      <c r="C39" s="7">
        <f t="shared" si="0"/>
        <v>40</v>
      </c>
      <c r="D39" s="8">
        <f t="array" ref="D39">[1]!PVT_rs_m3m3(B39,C39,PVT_json)</f>
        <v>80.61270806753825</v>
      </c>
      <c r="E39" s="8">
        <f>[1]!PVT_bo_m3m3(B39,C39,PVT_json)</f>
        <v>1.1137303581908791</v>
      </c>
      <c r="F39" s="9">
        <f>[1]!PVT_mu_oil_cP(B39,C39,PVT_json)</f>
        <v>1.7398587672578572</v>
      </c>
      <c r="G39" s="10">
        <f>[1]!PVT_mu_gas_cP(B39,C39,PVT_json)</f>
        <v>1.3840188691857097E-2</v>
      </c>
      <c r="H39" s="8">
        <f>[1]!PVT_mu_wat_cP(B39,C39,PVT_json)</f>
        <v>0.86975032146519071</v>
      </c>
      <c r="I39" s="9">
        <f>[1]!PVT_rho_gas_kgm3(B39,C39,PVT_json)</f>
        <v>64.279030785472941</v>
      </c>
      <c r="J39" s="11">
        <f>[1]!PVT_rho_wat_kgm3(B39,C39,PVT_json)</f>
        <v>1090.5532956887157</v>
      </c>
      <c r="K39" s="11">
        <f>[1]!PVT_rho_oil_kgm3(B39,C39,PVT_json)</f>
        <v>825.23630653349448</v>
      </c>
      <c r="L39" s="12">
        <f>[1]!PVT_bg_m3m3(B39,C39,PVT_json)</f>
        <v>1.1403718927349827E-2</v>
      </c>
      <c r="M39" s="12">
        <f>[1]!PVT_bw_m3m3(B39,C39,PVT_json)</f>
        <v>1.0086623041245486</v>
      </c>
      <c r="N39" s="10">
        <f>[1]!PVT_ST_oilgas_Nm(B39,C39,PVT_json)</f>
        <v>2.6149805076186566E-2</v>
      </c>
      <c r="O39" s="12">
        <f>[1]!PVT_ST_watgas_Nm(B39,C39,PVT_json)</f>
        <v>6.3361448783118016E-2</v>
      </c>
      <c r="P39" s="13">
        <f>[1]!PVT_cp_oil_JkgC(B39,C39,PVT_json)</f>
        <v>2436.6600000000003</v>
      </c>
      <c r="Q39" s="13">
        <f>[1]!PVT_cp_gas_JkgC(B39,C39,PVT_json)</f>
        <v>1873.4658782230829</v>
      </c>
      <c r="R39" s="13">
        <f>[1]!PVT_cp_wat_JkgC(B39,C39,PVT_json)</f>
        <v>4176</v>
      </c>
      <c r="S39" s="14">
        <f>[1]!PVT_compressibility_wat_1atm(B39,C39,PVT_json)</f>
        <v>3.3712718395046981E-5</v>
      </c>
      <c r="T39" s="14">
        <f>[1]!PVT_compressibility_oil_1atm(B39,C39,PVT_json)</f>
        <v>5.9886551116846501E-3</v>
      </c>
      <c r="U39" s="14">
        <f>[1]!PVT_compressibility_gas_1atm(B39,C39,PVT_json)</f>
        <v>1.4169013400171022E-2</v>
      </c>
    </row>
    <row r="40" spans="2:21" x14ac:dyDescent="0.25">
      <c r="B40" s="7">
        <v>90.64</v>
      </c>
      <c r="C40" s="7">
        <f t="shared" si="0"/>
        <v>40</v>
      </c>
      <c r="D40" s="8">
        <f t="array" ref="D40">[1]!PVT_rs_m3m3(B40,C40,PVT_json)</f>
        <v>92.740735470779853</v>
      </c>
      <c r="E40" s="8">
        <f>[1]!PVT_bo_m3m3(B40,C40,PVT_json)</f>
        <v>1.1310407504926361</v>
      </c>
      <c r="F40" s="9">
        <f>[1]!PVT_mu_oil_cP(B40,C40,PVT_json)</f>
        <v>1.556606911111144</v>
      </c>
      <c r="G40" s="10">
        <f>[1]!PVT_mu_gas_cP(B40,C40,PVT_json)</f>
        <v>1.4276159115543989E-2</v>
      </c>
      <c r="H40" s="8">
        <f>[1]!PVT_mu_wat_cP(B40,C40,PVT_json)</f>
        <v>0.87557560445458327</v>
      </c>
      <c r="I40" s="9">
        <f>[1]!PVT_rho_gas_kgm3(B40,C40,PVT_json)</f>
        <v>73.430133425720598</v>
      </c>
      <c r="J40" s="11">
        <f>[1]!PVT_rho_wat_kgm3(B40,C40,PVT_json)</f>
        <v>1090.7407945491616</v>
      </c>
      <c r="K40" s="11">
        <f>[1]!PVT_rho_oil_kgm3(B40,C40,PVT_json)</f>
        <v>820.46629487982614</v>
      </c>
      <c r="L40" s="12">
        <f>[1]!PVT_bg_m3m3(B40,C40,PVT_json)</f>
        <v>9.9825502937632253E-3</v>
      </c>
      <c r="M40" s="12">
        <f>[1]!PVT_bw_m3m3(B40,C40,PVT_json)</f>
        <v>1.008488914595576</v>
      </c>
      <c r="N40" s="10">
        <f>[1]!PVT_ST_oilgas_Nm(B40,C40,PVT_json)</f>
        <v>2.5817217327710352E-2</v>
      </c>
      <c r="O40" s="12">
        <f>[1]!PVT_ST_watgas_Nm(B40,C40,PVT_json)</f>
        <v>6.3214382797542601E-2</v>
      </c>
      <c r="P40" s="13">
        <f>[1]!PVT_cp_oil_JkgC(B40,C40,PVT_json)</f>
        <v>2436.6600000000003</v>
      </c>
      <c r="Q40" s="13">
        <f>[1]!PVT_cp_gas_JkgC(B40,C40,PVT_json)</f>
        <v>1842.4461242884263</v>
      </c>
      <c r="R40" s="13">
        <f>[1]!PVT_cp_wat_JkgC(B40,C40,PVT_json)</f>
        <v>4176</v>
      </c>
      <c r="S40" s="14">
        <f>[1]!PVT_compressibility_wat_1atm(B40,C40,PVT_json)</f>
        <v>3.363224243505328E-5</v>
      </c>
      <c r="T40" s="14">
        <f>[1]!PVT_compressibility_oil_1atm(B40,C40,PVT_json)</f>
        <v>5.1635950123179704E-3</v>
      </c>
      <c r="U40" s="14">
        <f>[1]!PVT_compressibility_gas_1atm(B40,C40,PVT_json)</f>
        <v>1.2601282976993014E-2</v>
      </c>
    </row>
    <row r="41" spans="2:21" x14ac:dyDescent="0.25">
      <c r="B41" s="7">
        <v>100.6</v>
      </c>
      <c r="C41" s="7">
        <f t="shared" si="0"/>
        <v>40</v>
      </c>
      <c r="D41" s="8">
        <f t="array" ref="D41">[1]!PVT_rs_m3m3(B41,C41,PVT_json)</f>
        <v>105.1442067038592</v>
      </c>
      <c r="E41" s="8">
        <f>[1]!PVT_bo_m3m3(B41,C41,PVT_json)</f>
        <v>1.1490632800419989</v>
      </c>
      <c r="F41" s="9">
        <f>[1]!PVT_mu_oil_cP(B41,C41,PVT_json)</f>
        <v>1.4076080220116916</v>
      </c>
      <c r="G41" s="10">
        <f>[1]!PVT_mu_gas_cP(B41,C41,PVT_json)</f>
        <v>1.4745918799782596E-2</v>
      </c>
      <c r="H41" s="8">
        <f>[1]!PVT_mu_wat_cP(B41,C41,PVT_json)</f>
        <v>0.88151097899259179</v>
      </c>
      <c r="I41" s="9">
        <f>[1]!PVT_rho_gas_kgm3(B41,C41,PVT_json)</f>
        <v>82.685530966942565</v>
      </c>
      <c r="J41" s="11">
        <f>[1]!PVT_rho_wat_kgm3(B41,C41,PVT_json)</f>
        <v>1090.9397428188618</v>
      </c>
      <c r="K41" s="11">
        <f>[1]!PVT_rho_oil_kgm3(B41,C41,PVT_json)</f>
        <v>815.51018353298377</v>
      </c>
      <c r="L41" s="12">
        <f>[1]!PVT_bg_m3m3(B41,C41,PVT_json)</f>
        <v>8.8651544161101083E-3</v>
      </c>
      <c r="M41" s="12">
        <f>[1]!PVT_bw_m3m3(B41,C41,PVT_json)</f>
        <v>1.0083050023988747</v>
      </c>
      <c r="N41" s="10">
        <f>[1]!PVT_ST_oilgas_Nm(B41,C41,PVT_json)</f>
        <v>2.5488859614988299E-2</v>
      </c>
      <c r="O41" s="12">
        <f>[1]!PVT_ST_watgas_Nm(B41,C41,PVT_json)</f>
        <v>6.3067658161550036E-2</v>
      </c>
      <c r="P41" s="13">
        <f>[1]!PVT_cp_oil_JkgC(B41,C41,PVT_json)</f>
        <v>2436.6600000000003</v>
      </c>
      <c r="Q41" s="13">
        <f>[1]!PVT_cp_gas_JkgC(B41,C41,PVT_json)</f>
        <v>1816.0076721355251</v>
      </c>
      <c r="R41" s="13">
        <f>[1]!PVT_cp_wat_JkgC(B41,C41,PVT_json)</f>
        <v>4176</v>
      </c>
      <c r="S41" s="14">
        <f>[1]!PVT_compressibility_wat_1atm(B41,C41,PVT_json)</f>
        <v>3.3552149769995756E-5</v>
      </c>
      <c r="T41" s="14">
        <f>[1]!PVT_compressibility_oil_1atm(B41,C41,PVT_json)</f>
        <v>4.4975548856352838E-3</v>
      </c>
      <c r="U41" s="14">
        <f>[1]!PVT_compressibility_gas_1atm(B41,C41,PVT_json)</f>
        <v>1.1266546320236766E-2</v>
      </c>
    </row>
    <row r="42" spans="2:21" x14ac:dyDescent="0.25">
      <c r="B42" s="7">
        <v>110.56</v>
      </c>
      <c r="C42" s="7">
        <f t="shared" si="0"/>
        <v>40</v>
      </c>
      <c r="D42" s="8">
        <f t="array" ref="D42">[1]!PVT_rs_m3m3(B42,C42,PVT_json)</f>
        <v>117.80111687961006</v>
      </c>
      <c r="E42" s="8">
        <f>[1]!PVT_bo_m3m3(B42,C42,PVT_json)</f>
        <v>1.1677607082700996</v>
      </c>
      <c r="F42" s="9">
        <f>[1]!PVT_mu_oil_cP(B42,C42,PVT_json)</f>
        <v>1.2843310127570022</v>
      </c>
      <c r="G42" s="10">
        <f>[1]!PVT_mu_gas_cP(B42,C42,PVT_json)</f>
        <v>1.5246397964708501E-2</v>
      </c>
      <c r="H42" s="8">
        <f>[1]!PVT_mu_wat_cP(B42,C42,PVT_json)</f>
        <v>0.88755644507921649</v>
      </c>
      <c r="I42" s="9">
        <f>[1]!PVT_rho_gas_kgm3(B42,C42,PVT_json)</f>
        <v>91.96132516576067</v>
      </c>
      <c r="J42" s="11">
        <f>[1]!PVT_rho_wat_kgm3(B42,C42,PVT_json)</f>
        <v>1091.1501529939233</v>
      </c>
      <c r="K42" s="11">
        <f>[1]!PVT_rho_oil_kgm3(B42,C42,PVT_json)</f>
        <v>810.39768506768735</v>
      </c>
      <c r="L42" s="12">
        <f>[1]!PVT_bg_m3m3(B42,C42,PVT_json)</f>
        <v>7.9709595167177984E-3</v>
      </c>
      <c r="M42" s="12">
        <f>[1]!PVT_bw_m3m3(B42,C42,PVT_json)</f>
        <v>1.0081105675344446</v>
      </c>
      <c r="N42" s="10">
        <f>[1]!PVT_ST_oilgas_Nm(B42,C42,PVT_json)</f>
        <v>2.5164678138075682E-2</v>
      </c>
      <c r="O42" s="12">
        <f>[1]!PVT_ST_watgas_Nm(B42,C42,PVT_json)</f>
        <v>6.2921274082846118E-2</v>
      </c>
      <c r="P42" s="13">
        <f>[1]!PVT_cp_oil_JkgC(B42,C42,PVT_json)</f>
        <v>2436.6600000000003</v>
      </c>
      <c r="Q42" s="13">
        <f>[1]!PVT_cp_gas_JkgC(B42,C42,PVT_json)</f>
        <v>1794.4940678864402</v>
      </c>
      <c r="R42" s="13">
        <f>[1]!PVT_cp_wat_JkgC(B42,C42,PVT_json)</f>
        <v>4176</v>
      </c>
      <c r="S42" s="14">
        <f>[1]!PVT_compressibility_wat_1atm(B42,C42,PVT_json)</f>
        <v>3.347243766801564E-5</v>
      </c>
      <c r="T42" s="14">
        <f>[1]!PVT_compressibility_oil_1atm(B42,C42,PVT_json)</f>
        <v>3.9520610510919542E-3</v>
      </c>
      <c r="U42" s="14">
        <f>[1]!PVT_compressibility_gas_1atm(B42,C42,PVT_json)</f>
        <v>1.010645707425032E-2</v>
      </c>
    </row>
    <row r="43" spans="2:21" x14ac:dyDescent="0.25">
      <c r="B43" s="7">
        <v>120.52</v>
      </c>
      <c r="C43" s="7">
        <f t="shared" si="0"/>
        <v>40</v>
      </c>
      <c r="D43" s="8">
        <f t="array" ref="D43">[1]!PVT_rs_m3m3(B43,C43,PVT_json)</f>
        <v>120</v>
      </c>
      <c r="E43" s="8">
        <f>[1]!PVT_bo_m3m3(B43,C43,PVT_json)</f>
        <v>1.1681208648753281</v>
      </c>
      <c r="F43" s="9">
        <f>[1]!PVT_mu_oil_cP(B43,C43,PVT_json)</f>
        <v>1.2926930197501152</v>
      </c>
      <c r="G43" s="10">
        <f>[1]!PVT_mu_gas_cP(B43,C43,PVT_json)</f>
        <v>1.5773782410755829E-2</v>
      </c>
      <c r="H43" s="8">
        <f>[1]!PVT_mu_wat_cP(B43,C43,PVT_json)</f>
        <v>0.89371200271445739</v>
      </c>
      <c r="I43" s="9">
        <f>[1]!PVT_rho_gas_kgm3(B43,C43,PVT_json)</f>
        <v>101.1753234525675</v>
      </c>
      <c r="J43" s="11">
        <f>[1]!PVT_rho_wat_kgm3(B43,C43,PVT_json)</f>
        <v>1091.3720382978172</v>
      </c>
      <c r="K43" s="11">
        <f>[1]!PVT_rho_oil_kgm3(B43,C43,PVT_json)</f>
        <v>811.52766678915089</v>
      </c>
      <c r="L43" s="12">
        <f>[1]!PVT_bg_m3m3(B43,C43,PVT_json)</f>
        <v>7.2450472603989326E-3</v>
      </c>
      <c r="M43" s="12">
        <f>[1]!PVT_bw_m3m3(B43,C43,PVT_json)</f>
        <v>1.0079056100022863</v>
      </c>
      <c r="N43" s="10">
        <f>[1]!PVT_ST_oilgas_Nm(B43,C43,PVT_json)</f>
        <v>2.4844619781285382E-2</v>
      </c>
      <c r="O43" s="12">
        <f>[1]!PVT_ST_watgas_Nm(B43,C43,PVT_json)</f>
        <v>6.2775229770975507E-2</v>
      </c>
      <c r="P43" s="13">
        <f>[1]!PVT_cp_oil_JkgC(B43,C43,PVT_json)</f>
        <v>2436.6600000000003</v>
      </c>
      <c r="Q43" s="13">
        <f>[1]!PVT_cp_gas_JkgC(B43,C43,PVT_json)</f>
        <v>1778.0081172029581</v>
      </c>
      <c r="R43" s="13">
        <f>[1]!PVT_cp_wat_JkgC(B43,C43,PVT_json)</f>
        <v>4176</v>
      </c>
      <c r="S43" s="14">
        <f>[1]!PVT_compressibility_wat_1atm(B43,C43,PVT_json)</f>
        <v>3.3393103423153651E-5</v>
      </c>
      <c r="T43" s="14">
        <f>[1]!PVT_compressibility_oil_1atm(B43,C43,PVT_json)</f>
        <v>1.5685504418005018E-4</v>
      </c>
      <c r="U43" s="14">
        <f>[1]!PVT_compressibility_gas_1atm(B43,C43,PVT_json)</f>
        <v>9.0859261789447837E-3</v>
      </c>
    </row>
    <row r="44" spans="2:21" x14ac:dyDescent="0.25">
      <c r="B44" s="7">
        <v>130.47999999999999</v>
      </c>
      <c r="C44" s="7">
        <f t="shared" si="0"/>
        <v>40</v>
      </c>
      <c r="D44" s="8">
        <f t="array" ref="D44">[1]!PVT_rs_m3m3(B44,C44,PVT_json)</f>
        <v>120</v>
      </c>
      <c r="E44" s="8">
        <f>[1]!PVT_bo_m3m3(B44,C44,PVT_json)</f>
        <v>1.1653095028377118</v>
      </c>
      <c r="F44" s="9">
        <f>[1]!PVT_mu_oil_cP(B44,C44,PVT_json)</f>
        <v>1.3261910177947958</v>
      </c>
      <c r="G44" s="10">
        <f>[1]!PVT_mu_gas_cP(B44,C44,PVT_json)</f>
        <v>1.6323793809058018E-2</v>
      </c>
      <c r="H44" s="8">
        <f>[1]!PVT_mu_wat_cP(B44,C44,PVT_json)</f>
        <v>0.89997765189831436</v>
      </c>
      <c r="I44" s="9">
        <f>[1]!PVT_rho_gas_kgm3(B44,C44,PVT_json)</f>
        <v>110.25278879326807</v>
      </c>
      <c r="J44" s="11">
        <f>[1]!PVT_rho_wat_kgm3(B44,C44,PVT_json)</f>
        <v>1091.6054126834629</v>
      </c>
      <c r="K44" s="11">
        <f>[1]!PVT_rho_oil_kgm3(B44,C44,PVT_json)</f>
        <v>813.48551409866866</v>
      </c>
      <c r="L44" s="12">
        <f>[1]!PVT_bg_m3m3(B44,C44,PVT_json)</f>
        <v>6.6485393070144045E-3</v>
      </c>
      <c r="M44" s="12">
        <f>[1]!PVT_bw_m3m3(B44,C44,PVT_json)</f>
        <v>1.007690129802399</v>
      </c>
      <c r="N44" s="10">
        <f>[1]!PVT_ST_oilgas_Nm(B44,C44,PVT_json)</f>
        <v>2.4528632104485072E-2</v>
      </c>
      <c r="O44" s="12">
        <f>[1]!PVT_ST_watgas_Nm(B44,C44,PVT_json)</f>
        <v>6.2629524437317577E-2</v>
      </c>
      <c r="P44" s="13">
        <f>[1]!PVT_cp_oil_JkgC(B44,C44,PVT_json)</f>
        <v>2436.6600000000003</v>
      </c>
      <c r="Q44" s="13">
        <f>[1]!PVT_cp_gas_JkgC(B44,C44,PVT_json)</f>
        <v>1766.4590833965171</v>
      </c>
      <c r="R44" s="13">
        <f>[1]!PVT_cp_wat_JkgC(B44,C44,PVT_json)</f>
        <v>4176</v>
      </c>
      <c r="S44" s="14">
        <f>[1]!PVT_compressibility_wat_1atm(B44,C44,PVT_json)</f>
        <v>3.3314144355043821E-5</v>
      </c>
      <c r="T44" s="14">
        <f>[1]!PVT_compressibility_oil_1atm(B44,C44,PVT_json)</f>
        <v>1.4488174375061044E-4</v>
      </c>
      <c r="U44" s="14">
        <f>[1]!PVT_compressibility_gas_1atm(B44,C44,PVT_json)</f>
        <v>8.1826702166252763E-3</v>
      </c>
    </row>
    <row r="45" spans="2:21" x14ac:dyDescent="0.25">
      <c r="B45" s="7">
        <v>140.44</v>
      </c>
      <c r="C45" s="7">
        <f t="shared" si="0"/>
        <v>40</v>
      </c>
      <c r="D45" s="8">
        <f t="array" ref="D45">[1]!PVT_rs_m3m3(B45,C45,PVT_json)</f>
        <v>120</v>
      </c>
      <c r="E45" s="8">
        <f>[1]!PVT_bo_m3m3(B45,C45,PVT_json)</f>
        <v>1.1629022995124061</v>
      </c>
      <c r="F45" s="9">
        <f>[1]!PVT_mu_oil_cP(B45,C45,PVT_json)</f>
        <v>1.3622131528629118</v>
      </c>
      <c r="G45" s="10">
        <f>[1]!PVT_mu_gas_cP(B45,C45,PVT_json)</f>
        <v>1.6891977917657237E-2</v>
      </c>
      <c r="H45" s="8">
        <f>[1]!PVT_mu_wat_cP(B45,C45,PVT_json)</f>
        <v>0.9063533926307874</v>
      </c>
      <c r="I45" s="9">
        <f>[1]!PVT_rho_gas_kgm3(B45,C45,PVT_json)</f>
        <v>119.13031753524773</v>
      </c>
      <c r="J45" s="11">
        <f>[1]!PVT_rho_wat_kgm3(B45,C45,PVT_json)</f>
        <v>1091.8502908354242</v>
      </c>
      <c r="K45" s="11">
        <f>[1]!PVT_rho_oil_kgm3(B45,C45,PVT_json)</f>
        <v>815.16942601065591</v>
      </c>
      <c r="L45" s="12">
        <f>[1]!PVT_bg_m3m3(B45,C45,PVT_json)</f>
        <v>6.1530936470736543E-3</v>
      </c>
      <c r="M45" s="12">
        <f>[1]!PVT_bw_m3m3(B45,C45,PVT_json)</f>
        <v>1.0074641269347835</v>
      </c>
      <c r="N45" s="10">
        <f>[1]!PVT_ST_oilgas_Nm(B45,C45,PVT_json)</f>
        <v>2.4216663334505176E-2</v>
      </c>
      <c r="O45" s="12">
        <f>[1]!PVT_ST_watgas_Nm(B45,C45,PVT_json)</f>
        <v>6.2484157295082221E-2</v>
      </c>
      <c r="P45" s="13">
        <f>[1]!PVT_cp_oil_JkgC(B45,C45,PVT_json)</f>
        <v>2436.6600000000003</v>
      </c>
      <c r="Q45" s="13">
        <f>[1]!PVT_cp_gas_JkgC(B45,C45,PVT_json)</f>
        <v>1759.6153392775939</v>
      </c>
      <c r="R45" s="13">
        <f>[1]!PVT_cp_wat_JkgC(B45,C45,PVT_json)</f>
        <v>4176</v>
      </c>
      <c r="S45" s="14">
        <f>[1]!PVT_compressibility_wat_1atm(B45,C45,PVT_json)</f>
        <v>3.3235557808611641E-5</v>
      </c>
      <c r="T45" s="14">
        <f>[1]!PVT_compressibility_oil_1atm(B45,C45,PVT_json)</f>
        <v>1.3460673543562836E-4</v>
      </c>
      <c r="U45" s="14">
        <f>[1]!PVT_compressibility_gas_1atm(B45,C45,PVT_json)</f>
        <v>7.3813348221404311E-3</v>
      </c>
    </row>
    <row r="46" spans="2:21" x14ac:dyDescent="0.25">
      <c r="B46" s="7">
        <v>150.4</v>
      </c>
      <c r="C46" s="7">
        <f t="shared" si="0"/>
        <v>40</v>
      </c>
      <c r="D46" s="8">
        <f t="array" ref="D46">[1]!PVT_rs_m3m3(B46,C46,PVT_json)</f>
        <v>120</v>
      </c>
      <c r="E46" s="8">
        <f>[1]!PVT_bo_m3m3(B46,C46,PVT_json)</f>
        <v>1.1608179512669565</v>
      </c>
      <c r="F46" s="9">
        <f>[1]!PVT_mu_oil_cP(B46,C46,PVT_json)</f>
        <v>1.4005814298483223</v>
      </c>
      <c r="G46" s="10">
        <f>[1]!PVT_mu_gas_cP(B46,C46,PVT_json)</f>
        <v>1.7473960164598037E-2</v>
      </c>
      <c r="H46" s="8">
        <f>[1]!PVT_mu_wat_cP(B46,C46,PVT_json)</f>
        <v>0.91283922491187663</v>
      </c>
      <c r="I46" s="9">
        <f>[1]!PVT_rho_gas_kgm3(B46,C46,PVT_json)</f>
        <v>127.75776878861171</v>
      </c>
      <c r="J46" s="11">
        <f>[1]!PVT_rho_wat_kgm3(B46,C46,PVT_json)</f>
        <v>1092.1066881722295</v>
      </c>
      <c r="K46" s="11">
        <f>[1]!PVT_rho_oil_kgm3(B46,C46,PVT_json)</f>
        <v>816.63313266766875</v>
      </c>
      <c r="L46" s="12">
        <f>[1]!PVT_bg_m3m3(B46,C46,PVT_json)</f>
        <v>5.7375767199946684E-3</v>
      </c>
      <c r="M46" s="12">
        <f>[1]!PVT_bw_m3m3(B46,C46,PVT_json)</f>
        <v>1.0072276013994392</v>
      </c>
      <c r="N46" s="10">
        <f>[1]!PVT_ST_oilgas_Nm(B46,C46,PVT_json)</f>
        <v>2.3908662356656053E-2</v>
      </c>
      <c r="O46" s="12">
        <f>[1]!PVT_ST_watgas_Nm(B46,C46,PVT_json)</f>
        <v>6.2339127559305388E-2</v>
      </c>
      <c r="P46" s="13">
        <f>[1]!PVT_cp_oil_JkgC(B46,C46,PVT_json)</f>
        <v>2436.6600000000003</v>
      </c>
      <c r="Q46" s="13">
        <f>[1]!PVT_cp_gas_JkgC(B46,C46,PVT_json)</f>
        <v>1757.1536362210618</v>
      </c>
      <c r="R46" s="13">
        <f>[1]!PVT_cp_wat_JkgC(B46,C46,PVT_json)</f>
        <v>4176</v>
      </c>
      <c r="S46" s="14">
        <f>[1]!PVT_compressibility_wat_1atm(B46,C46,PVT_json)</f>
        <v>3.3157341153776427E-5</v>
      </c>
      <c r="T46" s="14">
        <f>[1]!PVT_compressibility_oil_1atm(B46,C46,PVT_json)</f>
        <v>1.2569261917938593E-4</v>
      </c>
      <c r="U46" s="14">
        <f>[1]!PVT_compressibility_gas_1atm(B46,C46,PVT_json)</f>
        <v>6.6702438953240911E-3</v>
      </c>
    </row>
    <row r="47" spans="2:21" x14ac:dyDescent="0.25">
      <c r="B47" s="7">
        <v>160.36000000000001</v>
      </c>
      <c r="C47" s="7">
        <f t="shared" si="0"/>
        <v>40</v>
      </c>
      <c r="D47" s="8">
        <f t="array" ref="D47">[1]!PVT_rs_m3m3(B47,C47,PVT_json)</f>
        <v>120</v>
      </c>
      <c r="E47" s="8">
        <f>[1]!PVT_bo_m3m3(B47,C47,PVT_json)</f>
        <v>1.158995590664182</v>
      </c>
      <c r="F47" s="9">
        <f>[1]!PVT_mu_oil_cP(B47,C47,PVT_json)</f>
        <v>1.4411346327141066</v>
      </c>
      <c r="G47" s="10">
        <f>[1]!PVT_mu_gas_cP(B47,C47,PVT_json)</f>
        <v>1.8065644186917872E-2</v>
      </c>
      <c r="H47" s="8">
        <f>[1]!PVT_mu_wat_cP(B47,C47,PVT_json)</f>
        <v>0.91943514874158194</v>
      </c>
      <c r="I47" s="9">
        <f>[1]!PVT_rho_gas_kgm3(B47,C47,PVT_json)</f>
        <v>136.09852438558232</v>
      </c>
      <c r="J47" s="11">
        <f>[1]!PVT_rho_wat_kgm3(B47,C47,PVT_json)</f>
        <v>1092.3746208488046</v>
      </c>
      <c r="K47" s="11">
        <f>[1]!PVT_rho_oil_kgm3(B47,C47,PVT_json)</f>
        <v>817.91717555780701</v>
      </c>
      <c r="L47" s="12">
        <f>[1]!PVT_bg_m3m3(B47,C47,PVT_json)</f>
        <v>5.385951121139803E-3</v>
      </c>
      <c r="M47" s="12">
        <f>[1]!PVT_bw_m3m3(B47,C47,PVT_json)</f>
        <v>1.0069805531963663</v>
      </c>
      <c r="N47" s="10">
        <f>[1]!PVT_ST_oilgas_Nm(B47,C47,PVT_json)</f>
        <v>2.3604578706353074E-2</v>
      </c>
      <c r="O47" s="12">
        <f>[1]!PVT_ST_watgas_Nm(B47,C47,PVT_json)</f>
        <v>6.2194434446845123E-2</v>
      </c>
      <c r="P47" s="13">
        <f>[1]!PVT_cp_oil_JkgC(B47,C47,PVT_json)</f>
        <v>2436.6600000000003</v>
      </c>
      <c r="Q47" s="13">
        <f>[1]!PVT_cp_gas_JkgC(B47,C47,PVT_json)</f>
        <v>1758.7003454838443</v>
      </c>
      <c r="R47" s="13">
        <f>[1]!PVT_cp_wat_JkgC(B47,C47,PVT_json)</f>
        <v>4176</v>
      </c>
      <c r="S47" s="14">
        <f>[1]!PVT_compressibility_wat_1atm(B47,C47,PVT_json)</f>
        <v>3.3079491785157932E-5</v>
      </c>
      <c r="T47" s="14">
        <f>[1]!PVT_compressibility_oil_1atm(B47,C47,PVT_json)</f>
        <v>1.1788581893601677E-4</v>
      </c>
      <c r="U47" s="14">
        <f>[1]!PVT_compressibility_gas_1atm(B47,C47,PVT_json)</f>
        <v>6.0396792286972183E-3</v>
      </c>
    </row>
    <row r="48" spans="2:21" x14ac:dyDescent="0.25">
      <c r="B48" s="7">
        <v>170.32</v>
      </c>
      <c r="C48" s="7">
        <f t="shared" si="0"/>
        <v>40</v>
      </c>
      <c r="D48" s="8">
        <f t="array" ref="D48">[1]!PVT_rs_m3m3(B48,C48,PVT_json)</f>
        <v>120</v>
      </c>
      <c r="E48" s="8">
        <f>[1]!PVT_bo_m3m3(B48,C48,PVT_json)</f>
        <v>1.1573887453687508</v>
      </c>
      <c r="F48" s="9">
        <f>[1]!PVT_mu_oil_cP(B48,C48,PVT_json)</f>
        <v>1.4837236136051819</v>
      </c>
      <c r="G48" s="10">
        <f>[1]!PVT_mu_gas_cP(B48,C48,PVT_json)</f>
        <v>1.866334463351299E-2</v>
      </c>
      <c r="H48" s="8">
        <f>[1]!PVT_mu_wat_cP(B48,C48,PVT_json)</f>
        <v>0.92614116411990333</v>
      </c>
      <c r="I48" s="9">
        <f>[1]!PVT_rho_gas_kgm3(B48,C48,PVT_json)</f>
        <v>144.12853574269397</v>
      </c>
      <c r="J48" s="11">
        <f>[1]!PVT_rho_wat_kgm3(B48,C48,PVT_json)</f>
        <v>1092.6541057590264</v>
      </c>
      <c r="K48" s="11">
        <f>[1]!PVT_rho_oil_kgm3(B48,C48,PVT_json)</f>
        <v>819.05272000720345</v>
      </c>
      <c r="L48" s="12">
        <f>[1]!PVT_bg_m3m3(B48,C48,PVT_json)</f>
        <v>5.0858769654652343E-3</v>
      </c>
      <c r="M48" s="12">
        <f>[1]!PVT_bw_m3m3(B48,C48,PVT_json)</f>
        <v>1.0067229823255648</v>
      </c>
      <c r="N48" s="10">
        <f>[1]!PVT_ST_oilgas_Nm(B48,C48,PVT_json)</f>
        <v>2.3304362560848245E-2</v>
      </c>
      <c r="O48" s="12">
        <f>[1]!PVT_ST_watgas_Nm(B48,C48,PVT_json)</f>
        <v>6.2050077176377089E-2</v>
      </c>
      <c r="P48" s="13">
        <f>[1]!PVT_cp_oil_JkgC(B48,C48,PVT_json)</f>
        <v>2436.6600000000003</v>
      </c>
      <c r="Q48" s="13">
        <f>[1]!PVT_cp_gas_JkgC(B48,C48,PVT_json)</f>
        <v>1763.8631685330097</v>
      </c>
      <c r="R48" s="13">
        <f>[1]!PVT_cp_wat_JkgC(B48,C48,PVT_json)</f>
        <v>4176</v>
      </c>
      <c r="S48" s="14">
        <f>[1]!PVT_compressibility_wat_1atm(B48,C48,PVT_json)</f>
        <v>3.300200712178704E-5</v>
      </c>
      <c r="T48" s="14">
        <f>[1]!PVT_compressibility_oil_1atm(B48,C48,PVT_json)</f>
        <v>1.1099207330072599E-4</v>
      </c>
      <c r="U48" s="14">
        <f>[1]!PVT_compressibility_gas_1atm(B48,C48,PVT_json)</f>
        <v>5.4810353399547635E-3</v>
      </c>
    </row>
    <row r="49" spans="2:21" x14ac:dyDescent="0.25">
      <c r="B49" s="7">
        <v>180.28</v>
      </c>
      <c r="C49" s="7">
        <f t="shared" si="0"/>
        <v>40</v>
      </c>
      <c r="D49" s="8">
        <f t="array" ref="D49">[1]!PVT_rs_m3m3(B49,C49,PVT_json)</f>
        <v>120</v>
      </c>
      <c r="E49" s="8">
        <f>[1]!PVT_bo_m3m3(B49,C49,PVT_json)</f>
        <v>1.1559613203126462</v>
      </c>
      <c r="F49" s="9">
        <f>[1]!PVT_mu_oil_cP(B49,C49,PVT_json)</f>
        <v>1.5282077500006936</v>
      </c>
      <c r="G49" s="10">
        <f>[1]!PVT_mu_gas_cP(B49,C49,PVT_json)</f>
        <v>1.9263857676805881E-2</v>
      </c>
      <c r="H49" s="8">
        <f>[1]!PVT_mu_wat_cP(B49,C49,PVT_json)</f>
        <v>0.9329572710468409</v>
      </c>
      <c r="I49" s="9">
        <f>[1]!PVT_rho_gas_kgm3(B49,C49,PVT_json)</f>
        <v>151.83464007129285</v>
      </c>
      <c r="J49" s="11">
        <f>[1]!PVT_rho_wat_kgm3(B49,C49,PVT_json)</f>
        <v>1092.945160538397</v>
      </c>
      <c r="K49" s="11">
        <f>[1]!PVT_rho_oil_kgm3(B49,C49,PVT_json)</f>
        <v>820.06411749452832</v>
      </c>
      <c r="L49" s="12">
        <f>[1]!PVT_bg_m3m3(B49,C49,PVT_json)</f>
        <v>4.8277520838183943E-3</v>
      </c>
      <c r="M49" s="12">
        <f>[1]!PVT_bw_m3m3(B49,C49,PVT_json)</f>
        <v>1.0064548887870346</v>
      </c>
      <c r="N49" s="10">
        <f>[1]!PVT_ST_oilgas_Nm(B49,C49,PVT_json)</f>
        <v>2.3007964731066942E-2</v>
      </c>
      <c r="O49" s="12">
        <f>[1]!PVT_ST_watgas_Nm(B49,C49,PVT_json)</f>
        <v>6.1906054968390453E-2</v>
      </c>
      <c r="P49" s="13">
        <f>[1]!PVT_cp_oil_JkgC(B49,C49,PVT_json)</f>
        <v>2436.6600000000003</v>
      </c>
      <c r="Q49" s="13">
        <f>[1]!PVT_cp_gas_JkgC(B49,C49,PVT_json)</f>
        <v>1772.253745779939</v>
      </c>
      <c r="R49" s="13">
        <f>[1]!PVT_cp_wat_JkgC(B49,C49,PVT_json)</f>
        <v>4176</v>
      </c>
      <c r="S49" s="14">
        <f>[1]!PVT_compressibility_wat_1atm(B49,C49,PVT_json)</f>
        <v>3.2924884606820539E-5</v>
      </c>
      <c r="T49" s="14">
        <f>[1]!PVT_compressibility_oil_1atm(B49,C49,PVT_json)</f>
        <v>1.0486005061337724E-4</v>
      </c>
      <c r="U49" s="14">
        <f>[1]!PVT_compressibility_gas_1atm(B49,C49,PVT_json)</f>
        <v>4.9864510387451991E-3</v>
      </c>
    </row>
    <row r="50" spans="2:21" x14ac:dyDescent="0.25">
      <c r="B50" s="7">
        <v>190.24</v>
      </c>
      <c r="C50" s="7">
        <f t="shared" si="0"/>
        <v>40</v>
      </c>
      <c r="D50" s="8">
        <f t="array" ref="D50">[1]!PVT_rs_m3m3(B50,C50,PVT_json)</f>
        <v>120</v>
      </c>
      <c r="E50" s="8">
        <f>[1]!PVT_bo_m3m3(B50,C50,PVT_json)</f>
        <v>1.154684854379308</v>
      </c>
      <c r="F50" s="9">
        <f>[1]!PVT_mu_oil_cP(B50,C50,PVT_json)</f>
        <v>1.5744522715735518</v>
      </c>
      <c r="G50" s="10">
        <f>[1]!PVT_mu_gas_cP(B50,C50,PVT_json)</f>
        <v>1.9864480053938104E-2</v>
      </c>
      <c r="H50" s="8">
        <f>[1]!PVT_mu_wat_cP(B50,C50,PVT_json)</f>
        <v>0.93988346952239465</v>
      </c>
      <c r="I50" s="9">
        <f>[1]!PVT_rho_gas_kgm3(B50,C50,PVT_json)</f>
        <v>159.21255882955802</v>
      </c>
      <c r="J50" s="11">
        <f>[1]!PVT_rho_wat_kgm3(B50,C50,PVT_json)</f>
        <v>1093.2478035668366</v>
      </c>
      <c r="K50" s="11">
        <f>[1]!PVT_rho_oil_kgm3(B50,C50,PVT_json)</f>
        <v>820.97067126559818</v>
      </c>
      <c r="L50" s="12">
        <f>[1]!PVT_bg_m3m3(B50,C50,PVT_json)</f>
        <v>4.604033785957304E-3</v>
      </c>
      <c r="M50" s="12">
        <f>[1]!PVT_bw_m3m3(B50,C50,PVT_json)</f>
        <v>1.0061762725807759</v>
      </c>
      <c r="N50" s="10">
        <f>[1]!PVT_ST_oilgas_Nm(B50,C50,PVT_json)</f>
        <v>2.271533665354853E-2</v>
      </c>
      <c r="O50" s="12">
        <f>[1]!PVT_ST_watgas_Nm(B50,C50,PVT_json)</f>
        <v>6.1762367045183772E-2</v>
      </c>
      <c r="P50" s="13">
        <f>[1]!PVT_cp_oil_JkgC(B50,C50,PVT_json)</f>
        <v>2436.6600000000003</v>
      </c>
      <c r="Q50" s="13">
        <f>[1]!PVT_cp_gas_JkgC(B50,C50,PVT_json)</f>
        <v>1783.5025425591439</v>
      </c>
      <c r="R50" s="13">
        <f>[1]!PVT_cp_wat_JkgC(B50,C50,PVT_json)</f>
        <v>4176</v>
      </c>
      <c r="S50" s="14">
        <f>[1]!PVT_compressibility_wat_1atm(B50,C50,PVT_json)</f>
        <v>3.2848121707259892E-5</v>
      </c>
      <c r="T50" s="14">
        <f>[1]!PVT_compressibility_oil_1atm(B50,C50,PVT_json)</f>
        <v>9.9370111041734908E-5</v>
      </c>
      <c r="U50" s="14">
        <f>[1]!PVT_compressibility_gas_1atm(B50,C50,PVT_json)</f>
        <v>4.5486800289187583E-3</v>
      </c>
    </row>
    <row r="51" spans="2:21" x14ac:dyDescent="0.25">
      <c r="B51" s="7">
        <v>200.2</v>
      </c>
      <c r="C51" s="7">
        <f t="shared" si="0"/>
        <v>40</v>
      </c>
      <c r="D51" s="8">
        <f t="array" ref="D51">[1]!PVT_rs_m3m3(B51,C51,PVT_json)</f>
        <v>120</v>
      </c>
      <c r="E51" s="8">
        <f>[1]!PVT_bo_m3m3(B51,C51,PVT_json)</f>
        <v>1.1535366036244399</v>
      </c>
      <c r="F51" s="9">
        <f>[1]!PVT_mu_oil_cP(B51,C51,PVT_json)</f>
        <v>1.6223262473590112</v>
      </c>
      <c r="G51" s="10">
        <f>[1]!PVT_mu_gas_cP(B51,C51,PVT_json)</f>
        <v>2.0462990438987645E-2</v>
      </c>
      <c r="H51" s="8">
        <f>[1]!PVT_mu_wat_cP(B51,C51,PVT_json)</f>
        <v>0.94691975954656449</v>
      </c>
      <c r="I51" s="9">
        <f>[1]!PVT_rho_gas_kgm3(B51,C51,PVT_json)</f>
        <v>166.26488073925313</v>
      </c>
      <c r="J51" s="11">
        <f>[1]!PVT_rho_wat_kgm3(B51,C51,PVT_json)</f>
        <v>1093.5620539715987</v>
      </c>
      <c r="K51" s="11">
        <f>[1]!PVT_rho_oil_kgm3(B51,C51,PVT_json)</f>
        <v>821.78788000439624</v>
      </c>
      <c r="L51" s="12">
        <f>[1]!PVT_bg_m3m3(B51,C51,PVT_json)</f>
        <v>4.4087482379972188E-3</v>
      </c>
      <c r="M51" s="12">
        <f>[1]!PVT_bw_m3m3(B51,C51,PVT_json)</f>
        <v>1.0058871337067887</v>
      </c>
      <c r="N51" s="10">
        <f>[1]!PVT_ST_oilgas_Nm(B51,C51,PVT_json)</f>
        <v>2.2426430382489454E-2</v>
      </c>
      <c r="O51" s="12">
        <f>[1]!PVT_ST_watgas_Nm(B51,C51,PVT_json)</f>
        <v>6.161901263086058E-2</v>
      </c>
      <c r="P51" s="13">
        <f>[1]!PVT_cp_oil_JkgC(B51,C51,PVT_json)</f>
        <v>2436.6600000000003</v>
      </c>
      <c r="Q51" s="13">
        <f>[1]!PVT_cp_gas_JkgC(B51,C51,PVT_json)</f>
        <v>1797.267685307892</v>
      </c>
      <c r="R51" s="13">
        <f>[1]!PVT_cp_wat_JkgC(B51,C51,PVT_json)</f>
        <v>4176</v>
      </c>
      <c r="S51" s="14">
        <f>[1]!PVT_compressibility_wat_1atm(B51,C51,PVT_json)</f>
        <v>3.2771715913673899E-5</v>
      </c>
      <c r="T51" s="14">
        <f>[1]!PVT_compressibility_oil_1atm(B51,C51,PVT_json)</f>
        <v>9.4426423199698545E-5</v>
      </c>
      <c r="U51" s="14">
        <f>[1]!PVT_compressibility_gas_1atm(B51,C51,PVT_json)</f>
        <v>4.161065204668986E-3</v>
      </c>
    </row>
    <row r="52" spans="2:21" x14ac:dyDescent="0.25">
      <c r="B52" s="7">
        <v>210.16</v>
      </c>
      <c r="C52" s="7">
        <f t="shared" si="0"/>
        <v>40</v>
      </c>
      <c r="D52" s="8">
        <f t="array" ref="D52">[1]!PVT_rs_m3m3(B52,C52,PVT_json)</f>
        <v>120</v>
      </c>
      <c r="E52" s="8">
        <f>[1]!PVT_bo_m3m3(B52,C52,PVT_json)</f>
        <v>1.1524981743992879</v>
      </c>
      <c r="F52" s="9">
        <f>[1]!PVT_mu_oil_cP(B52,C52,PVT_json)</f>
        <v>1.6717010831085291</v>
      </c>
      <c r="G52" s="10">
        <f>[1]!PVT_mu_gas_cP(B52,C52,PVT_json)</f>
        <v>2.1057606715007234E-2</v>
      </c>
      <c r="H52" s="8">
        <f>[1]!PVT_mu_wat_cP(B52,C52,PVT_json)</f>
        <v>0.9540661411193504</v>
      </c>
      <c r="I52" s="9">
        <f>[1]!PVT_rho_gas_kgm3(B52,C52,PVT_json)</f>
        <v>172.99921926051653</v>
      </c>
      <c r="J52" s="11">
        <f>[1]!PVT_rho_wat_kgm3(B52,C52,PVT_json)</f>
        <v>1093.8879316303066</v>
      </c>
      <c r="K52" s="11">
        <f>[1]!PVT_rho_oil_kgm3(B52,C52,PVT_json)</f>
        <v>822.52833111349844</v>
      </c>
      <c r="L52" s="12">
        <f>[1]!PVT_bg_m3m3(B52,C52,PVT_json)</f>
        <v>4.2371289485194606E-3</v>
      </c>
      <c r="M52" s="12">
        <f>[1]!PVT_bw_m3m3(B52,C52,PVT_json)</f>
        <v>1.0055874721650728</v>
      </c>
      <c r="N52" s="10">
        <f>[1]!PVT_ST_oilgas_Nm(B52,C52,PVT_json)</f>
        <v>2.2141198581887508E-2</v>
      </c>
      <c r="O52" s="12">
        <f>[1]!PVT_ST_watgas_Nm(B52,C52,PVT_json)</f>
        <v>6.1475990951325429E-2</v>
      </c>
      <c r="P52" s="13">
        <f>[1]!PVT_cp_oil_JkgC(B52,C52,PVT_json)</f>
        <v>2436.6600000000003</v>
      </c>
      <c r="Q52" s="13">
        <f>[1]!PVT_cp_gas_JkgC(B52,C52,PVT_json)</f>
        <v>1813.2393462205036</v>
      </c>
      <c r="R52" s="13">
        <f>[1]!PVT_cp_wat_JkgC(B52,C52,PVT_json)</f>
        <v>4176</v>
      </c>
      <c r="S52" s="14">
        <f>[1]!PVT_compressibility_wat_1atm(B52,C52,PVT_json)</f>
        <v>3.2695664739925253E-5</v>
      </c>
      <c r="T52" s="14">
        <f>[1]!PVT_compressibility_oil_1atm(B52,C52,PVT_json)</f>
        <v>8.9951322442803814E-5</v>
      </c>
      <c r="U52" s="14">
        <f>[1]!PVT_compressibility_gas_1atm(B52,C52,PVT_json)</f>
        <v>3.8175450846443947E-3</v>
      </c>
    </row>
    <row r="53" spans="2:21" x14ac:dyDescent="0.25">
      <c r="B53" s="7">
        <v>220.12</v>
      </c>
      <c r="C53" s="7">
        <f t="shared" si="0"/>
        <v>40</v>
      </c>
      <c r="D53" s="8">
        <f t="array" ref="D53">[1]!PVT_rs_m3m3(B53,C53,PVT_json)</f>
        <v>120</v>
      </c>
      <c r="E53" s="8">
        <f>[1]!PVT_bo_m3m3(B53,C53,PVT_json)</f>
        <v>1.1515545307250845</v>
      </c>
      <c r="F53" s="9">
        <f>[1]!PVT_mu_oil_cP(B53,C53,PVT_json)</f>
        <v>1.7224494190043653</v>
      </c>
      <c r="G53" s="10">
        <f>[1]!PVT_mu_gas_cP(B53,C53,PVT_json)</f>
        <v>2.164693062048741E-2</v>
      </c>
      <c r="H53" s="8">
        <f>[1]!PVT_mu_wat_cP(B53,C53,PVT_json)</f>
        <v>0.96132261424075238</v>
      </c>
      <c r="I53" s="9">
        <f>[1]!PVT_rho_gas_kgm3(B53,C53,PVT_json)</f>
        <v>179.42664126080513</v>
      </c>
      <c r="J53" s="11">
        <f>[1]!PVT_rho_wat_kgm3(B53,C53,PVT_json)</f>
        <v>1094.2254571741132</v>
      </c>
      <c r="K53" s="11">
        <f>[1]!PVT_rho_oil_kgm3(B53,C53,PVT_json)</f>
        <v>823.20235360726576</v>
      </c>
      <c r="L53" s="12">
        <f>[1]!PVT_bg_m3m3(B53,C53,PVT_json)</f>
        <v>4.0853464950866506E-3</v>
      </c>
      <c r="M53" s="12">
        <f>[1]!PVT_bw_m3m3(B53,C53,PVT_json)</f>
        <v>1.0052772879556284</v>
      </c>
      <c r="N53" s="10">
        <f>[1]!PVT_ST_oilgas_Nm(B53,C53,PVT_json)</f>
        <v>2.1859594517786067E-2</v>
      </c>
      <c r="O53" s="12">
        <f>[1]!PVT_ST_watgas_Nm(B53,C53,PVT_json)</f>
        <v>6.1333301234279484E-2</v>
      </c>
      <c r="P53" s="13">
        <f>[1]!PVT_cp_oil_JkgC(B53,C53,PVT_json)</f>
        <v>2436.6600000000003</v>
      </c>
      <c r="Q53" s="13">
        <f>[1]!PVT_cp_gas_JkgC(B53,C53,PVT_json)</f>
        <v>1831.1410323141026</v>
      </c>
      <c r="R53" s="13">
        <f>[1]!PVT_cp_wat_JkgC(B53,C53,PVT_json)</f>
        <v>4176</v>
      </c>
      <c r="S53" s="14">
        <f>[1]!PVT_compressibility_wat_1atm(B53,C53,PVT_json)</f>
        <v>3.2619965722900872E-5</v>
      </c>
      <c r="T53" s="14">
        <f>[1]!PVT_compressibility_oil_1atm(B53,C53,PVT_json)</f>
        <v>8.5881200820369109E-5</v>
      </c>
      <c r="U53" s="14">
        <f>[1]!PVT_compressibility_gas_1atm(B53,C53,PVT_json)</f>
        <v>3.5126588071723703E-3</v>
      </c>
    </row>
    <row r="54" spans="2:21" x14ac:dyDescent="0.25">
      <c r="B54" s="7">
        <v>230.08</v>
      </c>
      <c r="C54" s="7">
        <f t="shared" si="0"/>
        <v>40</v>
      </c>
      <c r="D54" s="8">
        <f t="array" ref="D54">[1]!PVT_rs_m3m3(B54,C54,PVT_json)</f>
        <v>120</v>
      </c>
      <c r="E54" s="8">
        <f>[1]!PVT_bo_m3m3(B54,C54,PVT_json)</f>
        <v>1.1506932615900212</v>
      </c>
      <c r="F54" s="9">
        <f>[1]!PVT_mu_oil_cP(B54,C54,PVT_json)</f>
        <v>1.7744443457903811</v>
      </c>
      <c r="G54" s="10">
        <f>[1]!PVT_mu_gas_cP(B54,C54,PVT_json)</f>
        <v>2.222988841787437E-2</v>
      </c>
      <c r="H54" s="8">
        <f>[1]!PVT_mu_wat_cP(B54,C54,PVT_json)</f>
        <v>0.96868917891077067</v>
      </c>
      <c r="I54" s="9">
        <f>[1]!PVT_rho_gas_kgm3(B54,C54,PVT_json)</f>
        <v>185.56039675941105</v>
      </c>
      <c r="J54" s="11">
        <f>[1]!PVT_rho_wat_kgm3(B54,C54,PVT_json)</f>
        <v>1094.5746519909849</v>
      </c>
      <c r="K54" s="11">
        <f>[1]!PVT_rho_oil_kgm3(B54,C54,PVT_json)</f>
        <v>823.81850284767563</v>
      </c>
      <c r="L54" s="12">
        <f>[1]!PVT_bg_m3m3(B54,C54,PVT_json)</f>
        <v>3.9503041209294218E-3</v>
      </c>
      <c r="M54" s="12">
        <f>[1]!PVT_bw_m3m3(B54,C54,PVT_json)</f>
        <v>1.0049565810784553</v>
      </c>
      <c r="N54" s="10">
        <f>[1]!PVT_ST_oilgas_Nm(B54,C54,PVT_json)</f>
        <v>2.1581572050616935E-2</v>
      </c>
      <c r="O54" s="12">
        <f>[1]!PVT_ST_watgas_Nm(B54,C54,PVT_json)</f>
        <v>6.1190942709216579E-2</v>
      </c>
      <c r="P54" s="13">
        <f>[1]!PVT_cp_oil_JkgC(B54,C54,PVT_json)</f>
        <v>2436.6600000000003</v>
      </c>
      <c r="Q54" s="13">
        <f>[1]!PVT_cp_gas_JkgC(B54,C54,PVT_json)</f>
        <v>1850.7288461049911</v>
      </c>
      <c r="R54" s="13">
        <f>[1]!PVT_cp_wat_JkgC(B54,C54,PVT_json)</f>
        <v>4176</v>
      </c>
      <c r="S54" s="14">
        <f>[1]!PVT_compressibility_wat_1atm(B54,C54,PVT_json)</f>
        <v>3.2544616422246003E-5</v>
      </c>
      <c r="T54" s="14">
        <f>[1]!PVT_compressibility_oil_1atm(B54,C54,PVT_json)</f>
        <v>8.2163464553979695E-5</v>
      </c>
      <c r="U54" s="14">
        <f>[1]!PVT_compressibility_gas_1atm(B54,C54,PVT_json)</f>
        <v>3.2415372867212271E-3</v>
      </c>
    </row>
    <row r="55" spans="2:21" x14ac:dyDescent="0.25">
      <c r="B55" s="7">
        <v>240.04</v>
      </c>
      <c r="C55" s="7">
        <f t="shared" si="0"/>
        <v>40</v>
      </c>
      <c r="D55" s="8">
        <f t="array" ref="D55">[1]!PVT_rs_m3m3(B55,C55,PVT_json)</f>
        <v>120</v>
      </c>
      <c r="E55" s="8">
        <f>[1]!PVT_bo_m3m3(B55,C55,PVT_json)</f>
        <v>1.1499040320855165</v>
      </c>
      <c r="F55" s="9">
        <f>[1]!PVT_mu_oil_cP(B55,C55,PVT_json)</f>
        <v>1.8275588769643218</v>
      </c>
      <c r="G55" s="10">
        <f>[1]!PVT_mu_gas_cP(B55,C55,PVT_json)</f>
        <v>2.2805673430647554E-2</v>
      </c>
      <c r="H55" s="8">
        <f>[1]!PVT_mu_wat_cP(B55,C55,PVT_json)</f>
        <v>0.97616583512940491</v>
      </c>
      <c r="I55" s="9">
        <f>[1]!PVT_rho_gas_kgm3(B55,C55,PVT_json)</f>
        <v>191.41493761334542</v>
      </c>
      <c r="J55" s="11">
        <f>[1]!PVT_rho_wat_kgm3(B55,C55,PVT_json)</f>
        <v>1094.9355382291099</v>
      </c>
      <c r="K55" s="11">
        <f>[1]!PVT_rho_oil_kgm3(B55,C55,PVT_json)</f>
        <v>824.38392557049622</v>
      </c>
      <c r="L55" s="12">
        <f>[1]!PVT_bg_m3m3(B55,C55,PVT_json)</f>
        <v>3.8294816963589679E-3</v>
      </c>
      <c r="M55" s="12">
        <f>[1]!PVT_bw_m3m3(B55,C55,PVT_json)</f>
        <v>1.0046253515335535</v>
      </c>
      <c r="N55" s="10">
        <f>[1]!PVT_ST_oilgas_Nm(B55,C55,PVT_json)</f>
        <v>2.1307085627640568E-2</v>
      </c>
      <c r="O55" s="12">
        <f>[1]!PVT_ST_watgas_Nm(B55,C55,PVT_json)</f>
        <v>6.1048914607418854E-2</v>
      </c>
      <c r="P55" s="13">
        <f>[1]!PVT_cp_oil_JkgC(B55,C55,PVT_json)</f>
        <v>2436.6600000000003</v>
      </c>
      <c r="Q55" s="13">
        <f>[1]!PVT_cp_gas_JkgC(B55,C55,PVT_json)</f>
        <v>1871.789512976419</v>
      </c>
      <c r="R55" s="13">
        <f>[1]!PVT_cp_wat_JkgC(B55,C55,PVT_json)</f>
        <v>4176</v>
      </c>
      <c r="S55" s="14">
        <f>[1]!PVT_compressibility_wat_1atm(B55,C55,PVT_json)</f>
        <v>3.2469614420101945E-5</v>
      </c>
      <c r="T55" s="14">
        <f>[1]!PVT_compressibility_oil_1atm(B55,C55,PVT_json)</f>
        <v>7.8754248977585604E-5</v>
      </c>
      <c r="U55" s="14">
        <f>[1]!PVT_compressibility_gas_1atm(B55,C55,PVT_json)</f>
        <v>2.9998788826381484E-3</v>
      </c>
    </row>
    <row r="56" spans="2:21" x14ac:dyDescent="0.25">
      <c r="B56" s="7">
        <v>250</v>
      </c>
      <c r="C56" s="7">
        <f t="shared" si="0"/>
        <v>40</v>
      </c>
      <c r="D56" s="8">
        <f t="array" ref="D56">[1]!PVT_rs_m3m3(B56,C56,PVT_json)</f>
        <v>120</v>
      </c>
      <c r="E56" s="8">
        <f>[1]!PVT_bo_m3m3(B56,C56,PVT_json)</f>
        <v>1.149178166728744</v>
      </c>
      <c r="F56" s="9">
        <f>[1]!PVT_mu_oil_cP(B56,C56,PVT_json)</f>
        <v>1.8816656286382238</v>
      </c>
      <c r="G56" s="10">
        <f>[1]!PVT_mu_gas_cP(B56,C56,PVT_json)</f>
        <v>2.3373693925737973E-2</v>
      </c>
      <c r="H56" s="8">
        <f>[1]!PVT_mu_wat_cP(B56,C56,PVT_json)</f>
        <v>0.98375258289665535</v>
      </c>
      <c r="I56" s="9">
        <f>[1]!PVT_rho_gas_kgm3(B56,C56,PVT_json)</f>
        <v>197.00519059421646</v>
      </c>
      <c r="J56" s="11">
        <f>[1]!PVT_rho_wat_kgm3(B56,C56,PVT_json)</f>
        <v>1095.3081388004327</v>
      </c>
      <c r="K56" s="11">
        <f>[1]!PVT_rho_oil_kgm3(B56,C56,PVT_json)</f>
        <v>824.90463832816647</v>
      </c>
      <c r="L56" s="12">
        <f>[1]!PVT_bg_m3m3(B56,C56,PVT_json)</f>
        <v>3.7208156688107053E-3</v>
      </c>
      <c r="M56" s="12">
        <f>[1]!PVT_bw_m3m3(B56,C56,PVT_json)</f>
        <v>1.0042835993209234</v>
      </c>
      <c r="N56" s="10">
        <f>[1]!PVT_ST_oilgas_Nm(B56,C56,PVT_json)</f>
        <v>2.1036090275482471E-2</v>
      </c>
      <c r="O56" s="12">
        <f>[1]!PVT_ST_watgas_Nm(B56,C56,PVT_json)</f>
        <v>6.0907216161952688E-2</v>
      </c>
      <c r="P56" s="13">
        <f>[1]!PVT_cp_oil_JkgC(B56,C56,PVT_json)</f>
        <v>2436.6600000000003</v>
      </c>
      <c r="Q56" s="13">
        <f>[1]!PVT_cp_gas_JkgC(B56,C56,PVT_json)</f>
        <v>1894.1377412469892</v>
      </c>
      <c r="R56" s="13">
        <f>[1]!PVT_cp_wat_JkgC(B56,C56,PVT_json)</f>
        <v>4176</v>
      </c>
      <c r="S56" s="14">
        <f>[1]!PVT_compressibility_wat_1atm(B56,C56,PVT_json)</f>
        <v>3.2394957320847461E-5</v>
      </c>
      <c r="T56" s="14">
        <f>[1]!PVT_compressibility_oil_1atm(B56,C56,PVT_json)</f>
        <v>7.5616679698318586E-5</v>
      </c>
      <c r="U56" s="14">
        <f>[1]!PVT_compressibility_gas_1atm(B56,C56,PVT_json)</f>
        <v>2.7839125929281922E-3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5:J84"/>
  <sheetViews>
    <sheetView topLeftCell="A5" zoomScale="70" zoomScaleNormal="70" workbookViewId="0">
      <selection activeCell="AA56" sqref="AA56"/>
    </sheetView>
  </sheetViews>
  <sheetFormatPr defaultRowHeight="15" x14ac:dyDescent="0.25"/>
  <cols>
    <col min="2" max="2" width="16.5703125" customWidth="1"/>
    <col min="3" max="3" width="12.7109375" customWidth="1"/>
    <col min="4" max="4" width="11.5703125" bestFit="1" customWidth="1"/>
  </cols>
  <sheetData>
    <row r="5" spans="2:3" x14ac:dyDescent="0.25">
      <c r="B5" t="s">
        <v>43</v>
      </c>
    </row>
    <row r="7" spans="2:3" x14ac:dyDescent="0.25">
      <c r="B7" s="17" t="s">
        <v>2</v>
      </c>
      <c r="C7" s="18">
        <v>0.7</v>
      </c>
    </row>
    <row r="8" spans="2:3" x14ac:dyDescent="0.25">
      <c r="B8" s="17" t="s">
        <v>3</v>
      </c>
      <c r="C8" s="18">
        <v>0.86</v>
      </c>
    </row>
    <row r="9" spans="2:3" x14ac:dyDescent="0.25">
      <c r="B9" s="17" t="s">
        <v>4</v>
      </c>
      <c r="C9" s="18">
        <v>1.1000000000000001</v>
      </c>
    </row>
    <row r="10" spans="2:3" x14ac:dyDescent="0.25">
      <c r="B10" s="17" t="s">
        <v>5</v>
      </c>
      <c r="C10" s="18">
        <v>200</v>
      </c>
    </row>
    <row r="11" spans="2:3" x14ac:dyDescent="0.25">
      <c r="B11" s="17" t="s">
        <v>6</v>
      </c>
      <c r="C11" s="20"/>
    </row>
    <row r="12" spans="2:3" x14ac:dyDescent="0.25">
      <c r="B12" s="17" t="s">
        <v>7</v>
      </c>
      <c r="C12" s="18">
        <v>80</v>
      </c>
    </row>
    <row r="13" spans="2:3" x14ac:dyDescent="0.25">
      <c r="B13" s="17" t="s">
        <v>8</v>
      </c>
      <c r="C13" s="20"/>
    </row>
    <row r="14" spans="2:3" x14ac:dyDescent="0.25">
      <c r="B14" s="17" t="s">
        <v>9</v>
      </c>
      <c r="C14" s="20"/>
    </row>
    <row r="15" spans="2:3" x14ac:dyDescent="0.25">
      <c r="B15" s="17" t="s">
        <v>10</v>
      </c>
      <c r="C15" s="18">
        <v>1</v>
      </c>
    </row>
    <row r="16" spans="2:3" x14ac:dyDescent="0.25">
      <c r="B16" s="17" t="s">
        <v>11</v>
      </c>
      <c r="C16" s="19" t="str">
        <f>[1]!encode_PVT(C7,C8,C9,C10,C11,C12,C13,C14,C15)</f>
        <v>{"gamma_gas":0.7,"gamma_oil":0.86,"gamma_wat":1.1,"rsb_m3m3":200,"PVT_corr_set":1}</v>
      </c>
    </row>
    <row r="19" spans="2:10" x14ac:dyDescent="0.25">
      <c r="B19" s="22" t="s">
        <v>41</v>
      </c>
      <c r="C19" s="20"/>
      <c r="D19" s="20"/>
      <c r="E19" s="20"/>
      <c r="F19" s="20"/>
      <c r="G19" s="20"/>
      <c r="H19" s="20"/>
    </row>
    <row r="21" spans="2:10" x14ac:dyDescent="0.25">
      <c r="I21" t="s">
        <v>54</v>
      </c>
    </row>
    <row r="22" spans="2:10" x14ac:dyDescent="0.25">
      <c r="B22" t="s">
        <v>42</v>
      </c>
      <c r="C22" t="s">
        <v>44</v>
      </c>
      <c r="D22" t="s">
        <v>45</v>
      </c>
      <c r="F22" t="s">
        <v>47</v>
      </c>
      <c r="G22" t="s">
        <v>46</v>
      </c>
      <c r="I22" t="str">
        <f>[1]!encode_PVT(C7,C8,C9,C10,C11,C12,C13,C14,0)</f>
        <v>{"gamma_gas":0.7,"gamma_oil":0.86,"gamma_wat":1.1,"rsb_m3m3":200,"PVT_corr_set":0}</v>
      </c>
      <c r="J22" t="str">
        <f>[1]!encode_PVT(C7,C8,C9,C10,C11,C12,C13,C14,1)</f>
        <v>{"gamma_gas":0.7,"gamma_oil":0.86,"gamma_wat":1.1,"rsb_m3m3":200,"PVT_corr_set":1}</v>
      </c>
    </row>
    <row r="23" spans="2:10" x14ac:dyDescent="0.25">
      <c r="B23">
        <v>1</v>
      </c>
      <c r="C23" s="23">
        <f t="array" ref="C23">[1]!unf_pvt_pb_Standing_MPa(B23,gamma_gas,t_res_C+273,gamma_oil)*10/1.01325</f>
        <v>3.9516569619629691</v>
      </c>
      <c r="D23" s="23">
        <f t="array" ref="D23">[1]!unf_pvt_pb_Valko_McCain_MPa(B23,gamma_gas,t_res_C+273,gamma_oil)*10/1.01325</f>
        <v>4.7652176471718688</v>
      </c>
      <c r="F23" t="str">
        <f t="array" ref="F23">[1]!encode_PVT(gamma_gas,gamma_oil,gamma_wat,B23,pb_atma,t_res_C,bob_m3m3,muob_cP,pvt_corr_set)</f>
        <v>{"gamma_gas":0.7,"gamma_oil":0.86,"gamma_wat":1.1,"rsb_m3m3":1,"PVT_corr_set":1}</v>
      </c>
      <c r="G23">
        <f t="array" ref="G23">[1]!PVT_pb_atma(t_res_C,F23)</f>
        <v>4.7652176471718688</v>
      </c>
      <c r="I23" s="24">
        <f t="array" ref="I23">[1]!PVT_rsb_m3m3(C23,t_res_C,$I$22)</f>
        <v>1.0000000000000002</v>
      </c>
      <c r="J23" s="24">
        <f t="array" ref="J23">[1]!PVT_rsb_m3m3(D23,t_res_C,$J$22)</f>
        <v>1</v>
      </c>
    </row>
    <row r="24" spans="2:10" x14ac:dyDescent="0.25">
      <c r="B24">
        <v>10</v>
      </c>
      <c r="C24" s="23">
        <f t="array" ref="C24">[1]!unf_pvt_pb_Standing_MPa(B24,gamma_gas,t_res_C+273,gamma_oil)*10/1.01325</f>
        <v>26.20426525769534</v>
      </c>
      <c r="D24" s="23">
        <f t="array" ref="D24">[1]!unf_pvt_pb_Valko_McCain_MPa(B24,gamma_gas,t_res_C+273,gamma_oil)*10/1.01325</f>
        <v>27.622604514708939</v>
      </c>
      <c r="F24" t="str">
        <f t="array" ref="F24">[1]!encode_PVT(gamma_gas,gamma_oil,gamma_wat,B24,pb_atma,t_res_C,bob_m3m3,muob_cP,pvt_corr_set)</f>
        <v>{"gamma_gas":0.7,"gamma_oil":0.86,"gamma_wat":1.1,"rsb_m3m3":10,"PVT_corr_set":1}</v>
      </c>
      <c r="G24">
        <f t="array" ref="G24">[1]!PVT_pb_atma(t_res_C,F24)</f>
        <v>27.622604514708939</v>
      </c>
      <c r="I24" s="24">
        <f t="array" ref="I24">[1]!PVT_rsb_m3m3(C24,t_res_C,$I$22)</f>
        <v>10.11627514475664</v>
      </c>
      <c r="J24" s="24">
        <f t="array" ref="J24">[1]!PVT_rsb_m3m3(D24,t_res_C,$J$22)</f>
        <v>10.08835018373529</v>
      </c>
    </row>
    <row r="25" spans="2:10" x14ac:dyDescent="0.25">
      <c r="B25">
        <v>30</v>
      </c>
      <c r="C25" s="23">
        <f t="array" ref="C25">[1]!unf_pvt_pb_Standing_MPa(B25,gamma_gas,t_res_C+273,gamma_oil)*10/1.01325</f>
        <v>65.220275414584904</v>
      </c>
      <c r="D25" s="23">
        <f t="array" ref="D25">[1]!unf_pvt_pb_Valko_McCain_MPa(B25,gamma_gas,t_res_C+273,gamma_oil)*10/1.01325</f>
        <v>70.525292114122379</v>
      </c>
      <c r="F25" t="str">
        <f t="array" ref="F25">[1]!encode_PVT(gamma_gas,gamma_oil,gamma_wat,B25,pb_atma,t_res_C,bob_m3m3,muob_cP,pvt_corr_set)</f>
        <v>{"gamma_gas":0.7,"gamma_oil":0.86,"gamma_wat":1.1,"rsb_m3m3":30,"PVT_corr_set":1}</v>
      </c>
      <c r="G25">
        <f t="array" ref="G25">[1]!PVT_pb_atma(t_res_C,F25)</f>
        <v>70.525292114122365</v>
      </c>
      <c r="I25" s="24">
        <f t="array" ref="I25">[1]!PVT_rsb_m3m3(C25,t_res_C,$I$22)</f>
        <v>30.027970672961324</v>
      </c>
      <c r="J25" s="24">
        <f t="array" ref="J25">[1]!PVT_rsb_m3m3(D25,t_res_C,$J$22)</f>
        <v>30.02699818793042</v>
      </c>
    </row>
    <row r="26" spans="2:10" x14ac:dyDescent="0.25">
      <c r="B26">
        <v>50</v>
      </c>
      <c r="C26" s="23">
        <f t="array" ref="C26">[1]!unf_pvt_pb_Standing_MPa(B26,gamma_gas,t_res_C+273,gamma_oil)*10/1.01325</f>
        <v>99.659129780601489</v>
      </c>
      <c r="D26" s="23">
        <f t="array" ref="D26">[1]!unf_pvt_pb_Valko_McCain_MPa(B26,gamma_gas,t_res_C+273,gamma_oil)*10/1.01325</f>
        <v>108.56201380760596</v>
      </c>
      <c r="F26" t="str">
        <f t="array" ref="F26">[1]!encode_PVT(gamma_gas,gamma_oil,gamma_wat,B26,pb_atma,t_res_C,bob_m3m3,muob_cP,pvt_corr_set)</f>
        <v>{"gamma_gas":0.7,"gamma_oil":0.86,"gamma_wat":1.1,"rsb_m3m3":50,"PVT_corr_set":1}</v>
      </c>
      <c r="G26">
        <f t="array" ref="G26">[1]!PVT_pb_atma(t_res_C,F26)</f>
        <v>108.56201380760596</v>
      </c>
      <c r="I26" s="24">
        <f t="array" ref="I26">[1]!PVT_rsb_m3m3(C26,t_res_C,$I$22)</f>
        <v>50.016124941183307</v>
      </c>
      <c r="J26" s="24">
        <f t="array" ref="J26">[1]!PVT_rsb_m3m3(D26,t_res_C,$J$22)</f>
        <v>50.023708263487215</v>
      </c>
    </row>
    <row r="27" spans="2:10" x14ac:dyDescent="0.25">
      <c r="B27">
        <v>70</v>
      </c>
      <c r="C27" s="23">
        <f t="array" ref="C27">[1]!unf_pvt_pb_Standing_MPa(B27,gamma_gas,t_res_C+273,gamma_oil)*10/1.01325</f>
        <v>131.76599936161296</v>
      </c>
      <c r="D27" s="23">
        <f t="array" ref="D27">[1]!unf_pvt_pb_Valko_McCain_MPa(B27,gamma_gas,t_res_C+273,gamma_oil)*10/1.01325</f>
        <v>142.80213140879411</v>
      </c>
      <c r="F27" t="str">
        <f t="array" ref="F27">[1]!encode_PVT(gamma_gas,gamma_oil,gamma_wat,B27,pb_atma,t_res_C,bob_m3m3,muob_cP,pvt_corr_set)</f>
        <v>{"gamma_gas":0.7,"gamma_oil":0.86,"gamma_wat":1.1,"rsb_m3m3":70,"PVT_corr_set":1}</v>
      </c>
      <c r="G27">
        <f t="array" ref="G27">[1]!PVT_pb_atma(t_res_C,F27)</f>
        <v>142.80213140879411</v>
      </c>
      <c r="I27" s="24">
        <f t="array" ref="I27">[1]!PVT_rsb_m3m3(C27,t_res_C,$I$22)</f>
        <v>70.011337046209462</v>
      </c>
      <c r="J27" s="24">
        <f t="array" ref="J27">[1]!PVT_rsb_m3m3(D27,t_res_C,$J$22)</f>
        <v>70.021720723616852</v>
      </c>
    </row>
    <row r="28" spans="2:10" x14ac:dyDescent="0.25">
      <c r="B28">
        <v>90</v>
      </c>
      <c r="C28" s="23">
        <f t="array" ref="C28">[1]!unf_pvt_pb_Standing_MPa(B28,gamma_gas,t_res_C+273,gamma_oil)*10/1.01325</f>
        <v>162.32793720118292</v>
      </c>
      <c r="D28" s="23">
        <f t="array" ref="D28">[1]!unf_pvt_pb_Valko_McCain_MPa(B28,gamma_gas,t_res_C+273,gamma_oil)*10/1.01325</f>
        <v>173.89555548851553</v>
      </c>
      <c r="F28" t="str">
        <f t="array" ref="F28">[1]!encode_PVT(gamma_gas,gamma_oil,gamma_wat,B28,pb_atma,t_res_C,bob_m3m3,muob_cP,pvt_corr_set)</f>
        <v>{"gamma_gas":0.7,"gamma_oil":0.86,"gamma_wat":1.1,"rsb_m3m3":90,"PVT_corr_set":1}</v>
      </c>
      <c r="G28">
        <f t="array" ref="G28">[1]!PVT_pb_atma(t_res_C,F28)</f>
        <v>173.89555548851553</v>
      </c>
      <c r="I28" s="24">
        <f t="array" ref="I28">[1]!PVT_rsb_m3m3(C28,t_res_C,$I$22)</f>
        <v>90.008743154762044</v>
      </c>
      <c r="J28" s="24">
        <f t="array" ref="J28">[1]!PVT_rsb_m3m3(D28,t_res_C,$J$22)</f>
        <v>90.02026004431832</v>
      </c>
    </row>
    <row r="29" spans="2:10" x14ac:dyDescent="0.25">
      <c r="B29">
        <v>110</v>
      </c>
      <c r="C29" s="23">
        <f t="array" ref="C29">[1]!unf_pvt_pb_Standing_MPa(B29,gamma_gas,t_res_C+273,gamma_oil)*10/1.01325</f>
        <v>191.74670764006237</v>
      </c>
      <c r="D29" s="23">
        <f t="array" ref="D29">[1]!unf_pvt_pb_Valko_McCain_MPa(B29,gamma_gas,t_res_C+273,gamma_oil)*10/1.01325</f>
        <v>202.31347221879295</v>
      </c>
      <c r="F29" t="str">
        <f t="array" ref="F29">[1]!encode_PVT(gamma_gas,gamma_oil,gamma_wat,B29,pb_atma,t_res_C,bob_m3m3,muob_cP,pvt_corr_set)</f>
        <v>{"gamma_gas":0.7,"gamma_oil":0.86,"gamma_wat":1.1,"rsb_m3m3":110,"PVT_corr_set":1}</v>
      </c>
      <c r="G29">
        <f t="array" ref="G29">[1]!PVT_pb_atma(t_res_C,F29)</f>
        <v>202.31347221879295</v>
      </c>
      <c r="I29" s="24">
        <f t="array" ref="I29">[1]!PVT_rsb_m3m3(C29,t_res_C,$I$22)</f>
        <v>110.00711568881246</v>
      </c>
      <c r="J29" s="24">
        <f t="array" ref="J29">[1]!PVT_rsb_m3m3(D29,t_res_C,$J$22)</f>
        <v>110.01911270138272</v>
      </c>
    </row>
    <row r="30" spans="2:10" x14ac:dyDescent="0.25">
      <c r="B30">
        <v>150</v>
      </c>
      <c r="C30" s="23">
        <f t="array" ref="C30">[1]!unf_pvt_pb_Standing_MPa(B30,gamma_gas,t_res_C+273,gamma_oil)*10/1.01325</f>
        <v>248.04343216453705</v>
      </c>
      <c r="D30" s="23">
        <f t="array" ref="D30">[1]!unf_pvt_pb_Valko_McCain_MPa(B30,gamma_gas,t_res_C+273,gamma_oil)*10/1.01325</f>
        <v>252.49547384519579</v>
      </c>
      <c r="F30" t="str">
        <f t="array" ref="F30">[1]!encode_PVT(gamma_gas,gamma_oil,gamma_wat,B30,pb_atma,t_res_C,bob_m3m3,muob_cP,pvt_corr_set)</f>
        <v>{"gamma_gas":0.7,"gamma_oil":0.86,"gamma_wat":1.1,"rsb_m3m3":150,"PVT_corr_set":1}</v>
      </c>
      <c r="G30">
        <f t="array" ref="G30">[1]!PVT_pb_atma(t_res_C,F30)</f>
        <v>252.49547384519579</v>
      </c>
      <c r="I30" s="24">
        <f t="array" ref="I30">[1]!PVT_rsb_m3m3(C30,t_res_C,$I$22)</f>
        <v>150.00518563484465</v>
      </c>
      <c r="J30" s="24">
        <f t="array" ref="J30">[1]!PVT_rsb_m3m3(D30,t_res_C,$J$22)</f>
        <v>150.01739860952731</v>
      </c>
    </row>
    <row r="31" spans="2:10" x14ac:dyDescent="0.25">
      <c r="B31">
        <v>190</v>
      </c>
      <c r="C31" s="23">
        <f t="array" ref="C31">[1]!unf_pvt_pb_Standing_MPa(B31,gamma_gas,t_res_C+273,gamma_oil)*10/1.01325</f>
        <v>301.81267586222066</v>
      </c>
      <c r="D31" s="23">
        <f t="array" ref="D31">[1]!unf_pvt_pb_Valko_McCain_MPa(B31,gamma_gas,t_res_C+273,gamma_oil)*10/1.01325</f>
        <v>295.46729132686249</v>
      </c>
      <c r="F31" t="str">
        <f t="array" ref="F31">[1]!encode_PVT(gamma_gas,gamma_oil,gamma_wat,B31,pb_atma,t_res_C,bob_m3m3,muob_cP,pvt_corr_set)</f>
        <v>{"gamma_gas":0.7,"gamma_oil":0.86,"gamma_wat":1.1,"rsb_m3m3":190,"PVT_corr_set":1}</v>
      </c>
      <c r="G31">
        <f t="array" ref="G31">[1]!PVT_pb_atma(t_res_C,F31)</f>
        <v>295.46729132686249</v>
      </c>
      <c r="I31" s="24">
        <f t="array" ref="I31">[1]!PVT_rsb_m3m3(C31,t_res_C,$I$22)</f>
        <v>190.0040793277731</v>
      </c>
      <c r="J31" s="24">
        <f t="array" ref="J31">[1]!PVT_rsb_m3m3(D31,t_res_C,$J$22)</f>
        <v>190.01616734921049</v>
      </c>
    </row>
    <row r="32" spans="2:10" x14ac:dyDescent="0.25">
      <c r="B32">
        <v>230</v>
      </c>
      <c r="C32" s="23">
        <f t="array" ref="C32">[1]!unf_pvt_pb_Standing_MPa(B32,gamma_gas,t_res_C+273,gamma_oil)*10/1.01325</f>
        <v>353.67640780212275</v>
      </c>
      <c r="D32" s="23">
        <f t="array" ref="D32">[1]!unf_pvt_pb_Valko_McCain_MPa(B32,gamma_gas,t_res_C+273,gamma_oil)*10/1.01325</f>
        <v>332.67223073950203</v>
      </c>
      <c r="F32" t="str">
        <f t="array" ref="F32">[1]!encode_PVT(gamma_gas,gamma_oil,gamma_wat,B32,pb_atma,t_res_C,bob_m3m3,muob_cP,pvt_corr_set)</f>
        <v>{"gamma_gas":0.7,"gamma_oil":0.86,"gamma_wat":1.1,"rsb_m3m3":230,"PVT_corr_set":1}</v>
      </c>
      <c r="G32">
        <f t="array" ref="G32">[1]!PVT_pb_atma(t_res_C,F32)</f>
        <v>332.67223073950203</v>
      </c>
      <c r="I32" s="24">
        <f t="array" ref="I32">[1]!PVT_rsb_m3m3(C32,t_res_C,$I$22)</f>
        <v>230.00336210460028</v>
      </c>
      <c r="J32" s="24">
        <f t="array" ref="J32">[1]!PVT_rsb_m3m3(D32,t_res_C,$J$22)</f>
        <v>230.01523869147576</v>
      </c>
    </row>
    <row r="33" spans="2:10" x14ac:dyDescent="0.25">
      <c r="B33">
        <v>270</v>
      </c>
      <c r="C33" s="23">
        <f t="array" ref="C33">[1]!unf_pvt_pb_Standing_MPa(B33,gamma_gas,t_res_C+273,gamma_oil)*10/1.01325</f>
        <v>404.02097397611681</v>
      </c>
      <c r="D33" s="23">
        <f t="array" ref="D33">[1]!unf_pvt_pb_Valko_McCain_MPa(B33,gamma_gas,t_res_C+273,gamma_oil)*10/1.01325</f>
        <v>365.15217984314586</v>
      </c>
      <c r="F33" t="str">
        <f t="array" ref="F33">[1]!encode_PVT(gamma_gas,gamma_oil,gamma_wat,B33,pb_atma,t_res_C,bob_m3m3,muob_cP,pvt_corr_set)</f>
        <v>{"gamma_gas":0.7,"gamma_oil":0.86,"gamma_wat":1.1,"rsb_m3m3":270,"PVT_corr_set":1}</v>
      </c>
      <c r="G33">
        <f t="array" ref="G33">[1]!PVT_pb_atma(t_res_C,F33)</f>
        <v>365.15217984314586</v>
      </c>
      <c r="I33" s="24">
        <f t="array" ref="I33">[1]!PVT_rsb_m3m3(C33,t_res_C,$I$22)</f>
        <v>270.00285938923201</v>
      </c>
      <c r="J33" s="24">
        <f t="array" ref="J33">[1]!PVT_rsb_m3m3(D33,t_res_C,$J$22)</f>
        <v>270.01451707721037</v>
      </c>
    </row>
    <row r="34" spans="2:10" x14ac:dyDescent="0.25">
      <c r="B34">
        <v>310</v>
      </c>
      <c r="C34" s="23">
        <f t="array" ref="C34">[1]!unf_pvt_pb_Standing_MPa(B34,gamma_gas,t_res_C+273,gamma_oil)*10/1.01325</f>
        <v>453.10848286447026</v>
      </c>
      <c r="D34" s="23">
        <f t="array" ref="D34">[1]!unf_pvt_pb_Valko_McCain_MPa(B34,gamma_gas,t_res_C+273,gamma_oil)*10/1.01325</f>
        <v>393.69006660795321</v>
      </c>
      <c r="F34" t="str">
        <f t="array" ref="F34">[1]!encode_PVT(gamma_gas,gamma_oil,gamma_wat,B34,pb_atma,t_res_C,bob_m3m3,muob_cP,pvt_corr_set)</f>
        <v>{"gamma_gas":0.7,"gamma_oil":0.86,"gamma_wat":1.1,"rsb_m3m3":310,"PVT_corr_set":1}</v>
      </c>
      <c r="G34">
        <f t="array" ref="G34">[1]!PVT_pb_atma(t_res_C,F34)</f>
        <v>393.69006660795321</v>
      </c>
      <c r="I34" s="24">
        <f t="array" ref="I34">[1]!PVT_rsb_m3m3(C34,t_res_C,$I$22)</f>
        <v>310.00248746260195</v>
      </c>
      <c r="J34" s="24">
        <f t="array" ref="J34">[1]!PVT_rsb_m3m3(D34,t_res_C,$J$22)</f>
        <v>310.0139461990276</v>
      </c>
    </row>
    <row r="35" spans="2:10" x14ac:dyDescent="0.25">
      <c r="B35">
        <v>350</v>
      </c>
      <c r="C35" s="23">
        <f t="array" ref="C35">[1]!unf_pvt_pb_Standing_MPa(B35,gamma_gas,t_res_C+273,gamma_oil)*10/1.01325</f>
        <v>501.12776305350866</v>
      </c>
      <c r="D35" s="23">
        <f t="array" ref="D35">[1]!unf_pvt_pb_Valko_McCain_MPa(B35,gamma_gas,t_res_C+273,gamma_oil)*10/1.01325</f>
        <v>418.89203273740918</v>
      </c>
      <c r="F35" t="str">
        <f t="array" ref="F35">[1]!encode_PVT(gamma_gas,gamma_oil,gamma_wat,B35,pb_atma,t_res_C,bob_m3m3,muob_cP,pvt_corr_set)</f>
        <v>{"gamma_gas":0.7,"gamma_oil":0.86,"gamma_wat":1.1,"rsb_m3m3":350,"PVT_corr_set":1}</v>
      </c>
      <c r="G35">
        <f t="array" ref="G35">[1]!PVT_pb_atma(t_res_C,F35)</f>
        <v>418.89203273740918</v>
      </c>
      <c r="I35" s="24">
        <f t="array" ref="I35">[1]!PVT_rsb_m3m3(C35,t_res_C,$I$22)</f>
        <v>350.00220115787874</v>
      </c>
      <c r="J35" s="24">
        <f t="array" ref="J35">[1]!PVT_rsb_m3m3(D35,t_res_C,$J$22)</f>
        <v>350.01349049519706</v>
      </c>
    </row>
    <row r="36" spans="2:10" x14ac:dyDescent="0.25">
      <c r="B36">
        <v>390</v>
      </c>
      <c r="C36" s="23">
        <f t="array" ref="C36">[1]!unf_pvt_pb_Standing_MPa(B36,gamma_gas,t_res_C+273,gamma_oil)*10/1.01325</f>
        <v>548.22092849987689</v>
      </c>
      <c r="D36" s="23">
        <f t="array" ref="D36">[1]!unf_pvt_pb_Valko_McCain_MPa(B36,gamma_gas,t_res_C+273,gamma_oil)*10/1.01325</f>
        <v>441.23836560123277</v>
      </c>
      <c r="F36" t="str">
        <f t="array" ref="F36">[1]!encode_PVT(gamma_gas,gamma_oil,gamma_wat,B36,pb_atma,t_res_C,bob_m3m3,muob_cP,pvt_corr_set)</f>
        <v>{"gamma_gas":0.7,"gamma_oil":0.86,"gamma_wat":1.1,"rsb_m3m3":390,"PVT_corr_set":1}</v>
      </c>
      <c r="G36">
        <f t="array" ref="G36">[1]!PVT_pb_atma(t_res_C,F36)</f>
        <v>441.23836560123283</v>
      </c>
      <c r="I36" s="24">
        <f t="array" ref="I36">[1]!PVT_rsb_m3m3(C36,t_res_C,$I$22)</f>
        <v>390.00197395933083</v>
      </c>
      <c r="J36" s="24">
        <f t="array" ref="J36">[1]!PVT_rsb_m3m3(D36,t_res_C,$J$22)</f>
        <v>390.01312640546115</v>
      </c>
    </row>
    <row r="37" spans="2:10" x14ac:dyDescent="0.25">
      <c r="B37">
        <v>430</v>
      </c>
      <c r="C37" s="23">
        <f t="array" ref="C37">[1]!unf_pvt_pb_Standing_MPa(B37,gamma_gas,t_res_C+273,gamma_oil)*10/1.01325</f>
        <v>594.49855745182049</v>
      </c>
      <c r="D37" s="23">
        <f t="array" ref="D37">[1]!unf_pvt_pb_Valko_McCain_MPa(B37,gamma_gas,t_res_C+273,gamma_oil)*10/1.01325</f>
        <v>461.11679300751973</v>
      </c>
      <c r="F37" t="str">
        <f t="array" ref="F37">[1]!encode_PVT(gamma_gas,gamma_oil,gamma_wat,B37,pb_atma,t_res_C,bob_m3m3,muob_cP,pvt_corr_set)</f>
        <v>{"gamma_gas":0.7,"gamma_oil":0.86,"gamma_wat":1.1,"rsb_m3m3":430,"PVT_corr_set":1}</v>
      </c>
      <c r="G37">
        <f t="array" ref="G37">[1]!PVT_pb_atma(t_res_C,F37)</f>
        <v>461.11679300751973</v>
      </c>
      <c r="I37" s="24">
        <f t="array" ref="I37">[1]!PVT_rsb_m3m3(C37,t_res_C,$I$22)</f>
        <v>430.00178927573404</v>
      </c>
      <c r="J37" s="24">
        <f t="array" ref="J37">[1]!PVT_rsb_m3m3(D37,t_res_C,$J$22)</f>
        <v>430.01283781039996</v>
      </c>
    </row>
    <row r="38" spans="2:10" x14ac:dyDescent="0.25">
      <c r="B38">
        <v>470</v>
      </c>
      <c r="C38" s="23">
        <f t="array" ref="C38">[1]!unf_pvt_pb_Standing_MPa(B38,gamma_gas,t_res_C+273,gamma_oil)*10/1.01325</f>
        <v>640.04897894804401</v>
      </c>
      <c r="D38" s="23">
        <f t="array" ref="D38">[1]!unf_pvt_pb_Valko_McCain_MPa(B38,gamma_gas,t_res_C+273,gamma_oil)*10/1.01325</f>
        <v>478.84516848321897</v>
      </c>
      <c r="F38" t="str">
        <f t="array" ref="F38">[1]!encode_PVT(gamma_gas,gamma_oil,gamma_wat,B38,pb_atma,t_res_C,bob_m3m3,muob_cP,pvt_corr_set)</f>
        <v>{"gamma_gas":0.7,"gamma_oil":0.86,"gamma_wat":1.1,"rsb_m3m3":470,"PVT_corr_set":1}</v>
      </c>
      <c r="G38">
        <f t="array" ref="G38">[1]!PVT_pb_atma(t_res_C,F38)</f>
        <v>478.84516848321897</v>
      </c>
      <c r="I38" s="24">
        <f t="array" ref="I38">[1]!PVT_rsb_m3m3(C38,t_res_C,$I$22)</f>
        <v>470.00163619429253</v>
      </c>
      <c r="J38" s="24">
        <f t="array" ref="J38">[1]!PVT_rsb_m3m3(D38,t_res_C,$J$22)</f>
        <v>470.01261347751091</v>
      </c>
    </row>
    <row r="39" spans="2:10" x14ac:dyDescent="0.25">
      <c r="B39">
        <v>510</v>
      </c>
      <c r="C39" s="23">
        <f t="array" ref="C39">[1]!unf_pvt_pb_Standing_MPa(B39,gamma_gas,t_res_C+273,gamma_oil)*10/1.01325</f>
        <v>684.9442641679459</v>
      </c>
      <c r="D39" s="23">
        <f t="array" ref="D39">[1]!unf_pvt_pb_Valko_McCain_MPa(B39,gamma_gas,t_res_C+273,gamma_oil)*10/1.01325</f>
        <v>494.68745080004754</v>
      </c>
      <c r="F39" t="str">
        <f t="array" ref="F39">[1]!encode_PVT(gamma_gas,gamma_oil,gamma_wat,B39,pb_atma,t_res_C,bob_m3m3,muob_cP,pvt_corr_set)</f>
        <v>{"gamma_gas":0.7,"gamma_oil":0.86,"gamma_wat":1.1,"rsb_m3m3":510,"PVT_corr_set":1}</v>
      </c>
      <c r="G39">
        <f t="array" ref="G39">[1]!PVT_pb_atma(t_res_C,F39)</f>
        <v>494.68745080004754</v>
      </c>
      <c r="I39" s="24">
        <f t="array" ref="I39">[1]!PVT_rsb_m3m3(C39,t_res_C,$I$22)</f>
        <v>510.00150724273357</v>
      </c>
      <c r="J39" s="24">
        <f t="array" ref="J39">[1]!PVT_rsb_m3m3(D39,t_res_C,$J$22)</f>
        <v>510.01244555520441</v>
      </c>
    </row>
    <row r="40" spans="2:10" x14ac:dyDescent="0.25">
      <c r="B40">
        <v>550</v>
      </c>
      <c r="C40" s="23">
        <f t="array" ref="C40">[1]!unf_pvt_pb_Standing_MPa(B40,gamma_gas,t_res_C+273,gamma_oil)*10/1.01325</f>
        <v>729.24425980965975</v>
      </c>
      <c r="D40" s="23">
        <f t="array" ref="D40">[1]!unf_pvt_pb_Valko_McCain_MPa(B40,gamma_gas,t_res_C+273,gamma_oil)*10/1.01325</f>
        <v>508.86527275976425</v>
      </c>
      <c r="F40" t="str">
        <f t="array" ref="F40">[1]!encode_PVT(gamma_gas,gamma_oil,gamma_wat,B40,pb_atma,t_res_C,bob_m3m3,muob_cP,pvt_corr_set)</f>
        <v>{"gamma_gas":0.7,"gamma_oil":0.86,"gamma_wat":1.1,"rsb_m3m3":550,"PVT_corr_set":1}</v>
      </c>
      <c r="G40">
        <f t="array" ref="G40">[1]!PVT_pb_atma(t_res_C,F40)</f>
        <v>508.8652727597642</v>
      </c>
      <c r="I40" s="24">
        <f t="array" ref="I40">[1]!PVT_rsb_m3m3(C40,t_res_C,$I$22)</f>
        <v>550.00139713245892</v>
      </c>
      <c r="J40" s="24">
        <f t="array" ref="J40">[1]!PVT_rsb_m3m3(D40,t_res_C,$J$22)</f>
        <v>550.01232865339978</v>
      </c>
    </row>
    <row r="41" spans="2:10" x14ac:dyDescent="0.25">
      <c r="B41">
        <v>590</v>
      </c>
      <c r="C41" s="23">
        <f t="array" ref="C41">[1]!unf_pvt_pb_Standing_MPa(B41,gamma_gas,t_res_C+273,gamma_oil)*10/1.01325</f>
        <v>772.99939974004769</v>
      </c>
      <c r="D41" s="23">
        <f t="array" ref="D41">[1]!unf_pvt_pb_Valko_McCain_MPa(B41,gamma_gas,t_res_C+273,gamma_oil)*10/1.01325</f>
        <v>521.56651174046658</v>
      </c>
      <c r="F41" t="str">
        <f t="array" ref="F41">[1]!encode_PVT(gamma_gas,gamma_oil,gamma_wat,B41,pb_atma,t_res_C,bob_m3m3,muob_cP,pvt_corr_set)</f>
        <v>{"gamma_gas":0.7,"gamma_oil":0.86,"gamma_wat":1.1,"rsb_m3m3":590,"PVT_corr_set":1}</v>
      </c>
      <c r="G41">
        <f t="array" ref="G41">[1]!PVT_pb_atma(t_res_C,F41)</f>
        <v>521.56651174046658</v>
      </c>
      <c r="I41" s="24">
        <f t="array" ref="I41">[1]!PVT_rsb_m3m3(C41,t_res_C,$I$22)</f>
        <v>590.0013020151564</v>
      </c>
      <c r="J41" s="24">
        <f t="array" ref="J41">[1]!PVT_rsb_m3m3(D41,t_res_C,$J$22)</f>
        <v>590.01225927372332</v>
      </c>
    </row>
    <row r="42" spans="2:10" x14ac:dyDescent="0.25">
      <c r="B42">
        <v>630</v>
      </c>
      <c r="C42" s="23">
        <f t="array" ref="C42">[1]!unf_pvt_pb_Standing_MPa(B42,gamma_gas,t_res_C+273,gamma_oil)*10/1.01325</f>
        <v>816.25272295477441</v>
      </c>
      <c r="D42" s="23">
        <f t="array" ref="D42">[1]!unf_pvt_pb_Valko_McCain_MPa(B42,gamma_gas,t_res_C+273,gamma_oil)*10/1.01325</f>
        <v>532.9517649485374</v>
      </c>
      <c r="F42" t="str">
        <f t="array" ref="F42">[1]!encode_PVT(gamma_gas,gamma_oil,gamma_wat,B42,pb_atma,t_res_C,bob_m3m3,muob_cP,pvt_corr_set)</f>
        <v>{"gamma_gas":0.7,"gamma_oil":0.86,"gamma_wat":1.1,"rsb_m3m3":630,"PVT_corr_set":1}</v>
      </c>
      <c r="G42">
        <f t="array" ref="G42">[1]!PVT_pb_atma(t_res_C,F42)</f>
        <v>532.9517649485374</v>
      </c>
      <c r="I42" s="24">
        <f t="array" ref="I42">[1]!PVT_rsb_m3m3(C42,t_res_C,$I$22)</f>
        <v>630.0012190237419</v>
      </c>
      <c r="J42" s="24">
        <f t="array" ref="J42">[1]!PVT_rsb_m3m3(D42,t_res_C,$J$22)</f>
        <v>630.01223546176209</v>
      </c>
    </row>
    <row r="43" spans="2:10" x14ac:dyDescent="0.25">
      <c r="B43">
        <v>670</v>
      </c>
      <c r="C43" s="23">
        <f t="array" ref="C43">[1]!unf_pvt_pb_Standing_MPa(B43,gamma_gas,t_res_C+273,gamma_oil)*10/1.01325</f>
        <v>859.04135817139502</v>
      </c>
      <c r="D43" s="23">
        <f t="array" ref="D43">[1]!unf_pvt_pb_Valko_McCain_MPa(B43,gamma_gas,t_res_C+273,gamma_oil)*10/1.01325</f>
        <v>543.15932534142394</v>
      </c>
      <c r="F43" t="str">
        <f t="array" ref="F43">[1]!encode_PVT(gamma_gas,gamma_oil,gamma_wat,B43,pb_atma,t_res_C,bob_m3m3,muob_cP,pvt_corr_set)</f>
        <v>{"gamma_gas":0.7,"gamma_oil":0.86,"gamma_wat":1.1,"rsb_m3m3":670,"PVT_corr_set":1}</v>
      </c>
      <c r="G43">
        <f t="array" ref="G43">[1]!PVT_pb_atma(t_res_C,F43)</f>
        <v>543.15932534142382</v>
      </c>
      <c r="I43" s="24">
        <f t="array" ref="I43">[1]!PVT_rsb_m3m3(C43,t_res_C,$I$22)</f>
        <v>670.00114597835807</v>
      </c>
      <c r="J43" s="24">
        <f t="array" ref="J43">[1]!PVT_rsb_m3m3(D43,t_res_C,$J$22)</f>
        <v>670.01225661138756</v>
      </c>
    </row>
    <row r="49" spans="2:8" x14ac:dyDescent="0.25">
      <c r="B49" s="22" t="s">
        <v>48</v>
      </c>
      <c r="C49" s="20"/>
      <c r="D49" s="20"/>
      <c r="E49" s="20"/>
      <c r="F49" s="20"/>
      <c r="G49" s="20"/>
      <c r="H49" s="20"/>
    </row>
    <row r="51" spans="2:8" x14ac:dyDescent="0.25">
      <c r="B51" s="17" t="s">
        <v>42</v>
      </c>
      <c r="C51" s="18">
        <v>240</v>
      </c>
      <c r="F51" t="str">
        <f t="array" ref="F51">[1]!encode_PVT(gamma_gas,gamma_oil,gamma_wat,C51,pb_atma,t_res_C,bob_m3m3,muob_cP,pvt_corr_set)</f>
        <v>{"gamma_gas":0.7,"gamma_oil":0.86,"gamma_wat":1.1,"rsb_m3m3":240,"PVT_corr_set":1}</v>
      </c>
    </row>
    <row r="52" spans="2:8" x14ac:dyDescent="0.25">
      <c r="B52" s="17" t="s">
        <v>49</v>
      </c>
      <c r="C52" s="21">
        <f t="array" ref="C52">[1]!PVT_pb_atma(t_res_C,F51)</f>
        <v>341.20095644869366</v>
      </c>
      <c r="F52" t="str">
        <f t="array" ref="F52">[1]!encode_PVT(gamma_gas,gamma_oil,gamma_wat,C51,C52,t_res_C,bob_m3m3,muob_cP,pvt_corr_set)</f>
        <v>{"gamma_gas":0.7,"gamma_oil":0.86,"gamma_wat":1.1,"rsb_m3m3":240,"pb_atma":341.201,"t_res_C":80,"PVT_corr_set":1}</v>
      </c>
    </row>
    <row r="54" spans="2:8" x14ac:dyDescent="0.25">
      <c r="B54" s="17" t="s">
        <v>50</v>
      </c>
      <c r="C54" s="18">
        <v>1</v>
      </c>
    </row>
    <row r="55" spans="2:8" x14ac:dyDescent="0.25">
      <c r="B55" s="17" t="s">
        <v>51</v>
      </c>
      <c r="C55" s="18">
        <f>C52</f>
        <v>341.20095644869366</v>
      </c>
    </row>
    <row r="56" spans="2:8" x14ac:dyDescent="0.25">
      <c r="B56" s="17" t="s">
        <v>52</v>
      </c>
      <c r="C56" s="18">
        <v>25</v>
      </c>
    </row>
    <row r="57" spans="2:8" x14ac:dyDescent="0.25">
      <c r="B57" s="17" t="s">
        <v>53</v>
      </c>
      <c r="C57" s="19" t="str">
        <f>[1]!encode_linspace(C54,C55,C56)</f>
        <v>[1,14.608,28.216,41.824,55.432,69.04,82.648,96.256,109.864,123.472,137.08,150.688,164.296,177.904,191.513,205.121,218.729,232.337,245.945,259.553,273.161,286.769,300.377,313.985,327.593,341.201]</v>
      </c>
    </row>
    <row r="59" spans="2:8" x14ac:dyDescent="0.25">
      <c r="C59">
        <f t="array" ref="C59:C84">[1]!decode_json($C$57)</f>
        <v>1</v>
      </c>
      <c r="D59">
        <f t="array" ref="D59">[1]!PVT_rs_m3m3(C59,t_res_C,$F$52)</f>
        <v>8.2271659062697899E-2</v>
      </c>
    </row>
    <row r="60" spans="2:8" x14ac:dyDescent="0.25">
      <c r="C60">
        <v>14.608000000000001</v>
      </c>
      <c r="D60">
        <f t="array" ref="D60">[1]!PVT_rs_m3m3(C60,t_res_C,$F$52)</f>
        <v>18.022014659826571</v>
      </c>
    </row>
    <row r="61" spans="2:8" x14ac:dyDescent="0.25">
      <c r="C61">
        <v>28.216000000000001</v>
      </c>
      <c r="D61">
        <f t="array" ref="D61">[1]!PVT_rs_m3m3(C61,t_res_C,$F$52)</f>
        <v>28.259056830115654</v>
      </c>
    </row>
    <row r="62" spans="2:8" x14ac:dyDescent="0.25">
      <c r="C62">
        <v>41.823999999999998</v>
      </c>
      <c r="D62">
        <f t="array" ref="D62">[1]!PVT_rs_m3m3(C62,t_res_C,$F$52)</f>
        <v>36.880577262600646</v>
      </c>
    </row>
    <row r="63" spans="2:8" x14ac:dyDescent="0.25">
      <c r="C63">
        <v>55.432000000000002</v>
      </c>
      <c r="D63">
        <f t="array" ref="D63">[1]!PVT_rs_m3m3(C63,t_res_C,$F$52)</f>
        <v>44.700919980779858</v>
      </c>
    </row>
    <row r="64" spans="2:8" x14ac:dyDescent="0.25">
      <c r="C64">
        <v>69.040000000000006</v>
      </c>
      <c r="D64">
        <f t="array" ref="D64">[1]!PVT_rs_m3m3(C64,t_res_C,$F$52)</f>
        <v>52.074681365632486</v>
      </c>
    </row>
    <row r="65" spans="3:4" x14ac:dyDescent="0.25">
      <c r="C65">
        <v>82.647999999999996</v>
      </c>
      <c r="D65">
        <f t="array" ref="D65">[1]!PVT_rs_m3m3(C65,t_res_C,$F$52)</f>
        <v>59.2054516936917</v>
      </c>
    </row>
    <row r="66" spans="3:4" x14ac:dyDescent="0.25">
      <c r="C66">
        <v>96.256</v>
      </c>
      <c r="D66">
        <f t="array" ref="D66">[1]!PVT_rs_m3m3(C66,t_res_C,$F$52)</f>
        <v>66.229037764954583</v>
      </c>
    </row>
    <row r="67" spans="3:4" x14ac:dyDescent="0.25">
      <c r="C67">
        <v>109.864</v>
      </c>
      <c r="D67">
        <f t="array" ref="D67">[1]!PVT_rs_m3m3(C67,t_res_C,$F$52)</f>
        <v>73.245164700554881</v>
      </c>
    </row>
    <row r="68" spans="3:4" x14ac:dyDescent="0.25">
      <c r="C68">
        <v>123.47199999999999</v>
      </c>
      <c r="D68">
        <f t="array" ref="D68">[1]!PVT_rs_m3m3(C68,t_res_C,$F$52)</f>
        <v>80.332105990458729</v>
      </c>
    </row>
    <row r="69" spans="3:4" x14ac:dyDescent="0.25">
      <c r="C69">
        <v>137.08000000000001</v>
      </c>
      <c r="D69">
        <f t="array" ref="D69">[1]!PVT_rs_m3m3(C69,t_res_C,$F$52)</f>
        <v>87.554340117432034</v>
      </c>
    </row>
    <row r="70" spans="3:4" x14ac:dyDescent="0.25">
      <c r="C70">
        <v>150.68799999999999</v>
      </c>
      <c r="D70">
        <f t="array" ref="D70">[1]!PVT_rs_m3m3(C70,t_res_C,$F$52)</f>
        <v>94.96693491792567</v>
      </c>
    </row>
    <row r="71" spans="3:4" x14ac:dyDescent="0.25">
      <c r="C71">
        <v>164.29599999999999</v>
      </c>
      <c r="D71">
        <f t="array" ref="D71">[1]!PVT_rs_m3m3(C71,t_res_C,$F$52)</f>
        <v>102.61823487507657</v>
      </c>
    </row>
    <row r="72" spans="3:4" x14ac:dyDescent="0.25">
      <c r="C72">
        <v>177.904</v>
      </c>
      <c r="D72">
        <f t="array" ref="D72">[1]!PVT_rs_m3m3(C72,t_res_C,$F$52)</f>
        <v>110.55159866234952</v>
      </c>
    </row>
    <row r="73" spans="3:4" x14ac:dyDescent="0.25">
      <c r="C73">
        <v>191.51300000000001</v>
      </c>
      <c r="D73">
        <f t="array" ref="D73">[1]!PVT_rs_m3m3(C73,t_res_C,$F$52)</f>
        <v>118.80719158854971</v>
      </c>
    </row>
    <row r="74" spans="3:4" x14ac:dyDescent="0.25">
      <c r="C74">
        <v>205.12100000000001</v>
      </c>
      <c r="D74">
        <f t="array" ref="D74">[1]!PVT_rs_m3m3(C74,t_res_C,$F$52)</f>
        <v>127.42035661422511</v>
      </c>
    </row>
    <row r="75" spans="3:4" x14ac:dyDescent="0.25">
      <c r="C75">
        <v>218.72900000000001</v>
      </c>
      <c r="D75">
        <f t="array" ref="D75">[1]!PVT_rs_m3m3(C75,t_res_C,$F$52)</f>
        <v>136.42584203788834</v>
      </c>
    </row>
    <row r="76" spans="3:4" x14ac:dyDescent="0.25">
      <c r="C76">
        <v>232.33699999999999</v>
      </c>
      <c r="D76">
        <f t="array" ref="D76">[1]!PVT_rs_m3m3(C76,t_res_C,$F$52)</f>
        <v>145.85583986198873</v>
      </c>
    </row>
    <row r="77" spans="3:4" x14ac:dyDescent="0.25">
      <c r="C77">
        <v>245.94499999999999</v>
      </c>
      <c r="D77">
        <f t="array" ref="D77">[1]!PVT_rs_m3m3(C77,t_res_C,$F$52)</f>
        <v>155.74091151119103</v>
      </c>
    </row>
    <row r="78" spans="3:4" x14ac:dyDescent="0.25">
      <c r="C78">
        <v>259.553</v>
      </c>
      <c r="D78">
        <f t="array" ref="D78">[1]!PVT_rs_m3m3(C78,t_res_C,$F$52)</f>
        <v>166.11024348451087</v>
      </c>
    </row>
    <row r="79" spans="3:4" x14ac:dyDescent="0.25">
      <c r="C79">
        <v>273.161</v>
      </c>
      <c r="D79">
        <f t="array" ref="D79">[1]!PVT_rs_m3m3(C79,t_res_C,$F$52)</f>
        <v>176.99184801102425</v>
      </c>
    </row>
    <row r="80" spans="3:4" x14ac:dyDescent="0.25">
      <c r="C80">
        <v>286.76900000000001</v>
      </c>
      <c r="D80">
        <f t="array" ref="D80">[1]!PVT_rs_m3m3(C80,t_res_C,$F$52)</f>
        <v>188.41272296709593</v>
      </c>
    </row>
    <row r="81" spans="3:4" x14ac:dyDescent="0.25">
      <c r="C81">
        <v>300.37700000000001</v>
      </c>
      <c r="D81">
        <f t="array" ref="D81">[1]!PVT_rs_m3m3(C81,t_res_C,$F$52)</f>
        <v>200.39898108307841</v>
      </c>
    </row>
    <row r="82" spans="3:4" x14ac:dyDescent="0.25">
      <c r="C82">
        <v>313.98500000000001</v>
      </c>
      <c r="D82">
        <f t="array" ref="D82">[1]!PVT_rs_m3m3(C82,t_res_C,$F$52)</f>
        <v>212.97595563227983</v>
      </c>
    </row>
    <row r="83" spans="3:4" x14ac:dyDescent="0.25">
      <c r="C83">
        <v>327.59300000000002</v>
      </c>
      <c r="D83">
        <f t="array" ref="D83">[1]!PVT_rs_m3m3(C83,t_res_C,$F$52)</f>
        <v>226.16828785320072</v>
      </c>
    </row>
    <row r="84" spans="3:4" x14ac:dyDescent="0.25">
      <c r="C84">
        <v>341.20100000000002</v>
      </c>
      <c r="D84">
        <f t="array" ref="D84">[1]!PVT_rs_m3m3(C84,t_res_C,$F$52)</f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26</vt:i4>
      </vt:variant>
    </vt:vector>
  </HeadingPairs>
  <TitlesOfParts>
    <vt:vector size="28" baseType="lpstr">
      <vt:lpstr>графики от давления</vt:lpstr>
      <vt:lpstr>pb vs rsb</vt:lpstr>
      <vt:lpstr>'графики от давления'!Bob_</vt:lpstr>
      <vt:lpstr>bob_m3m3</vt:lpstr>
      <vt:lpstr>correlation</vt:lpstr>
      <vt:lpstr>gamma_gas</vt:lpstr>
      <vt:lpstr>'графики от давления'!gamma_gas_</vt:lpstr>
      <vt:lpstr>gamma_oil</vt:lpstr>
      <vt:lpstr>'графики от давления'!gamma_oil_</vt:lpstr>
      <vt:lpstr>gamma_wat</vt:lpstr>
      <vt:lpstr>'графики от давления'!gamma_wat_</vt:lpstr>
      <vt:lpstr>linspace</vt:lpstr>
      <vt:lpstr>'графики от давления'!muob_</vt:lpstr>
      <vt:lpstr>muob_cP</vt:lpstr>
      <vt:lpstr>'графики от давления'!Pb_</vt:lpstr>
      <vt:lpstr>pb_atma</vt:lpstr>
      <vt:lpstr>pvt_corr_set</vt:lpstr>
      <vt:lpstr>PVT_json</vt:lpstr>
      <vt:lpstr>PVT_json_1</vt:lpstr>
      <vt:lpstr>'графики от давления'!Rsb_</vt:lpstr>
      <vt:lpstr>rsb_m3m3</vt:lpstr>
      <vt:lpstr>t_res_C</vt:lpstr>
      <vt:lpstr>'графики от давления'!Tres_</vt:lpstr>
      <vt:lpstr>Количество_точек</vt:lpstr>
      <vt:lpstr>Конец</vt:lpstr>
      <vt:lpstr>Массив_точек</vt:lpstr>
      <vt:lpstr>Начало</vt:lpstr>
      <vt:lpstr>Температура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rnt</dc:creator>
  <cp:lastModifiedBy>rnt</cp:lastModifiedBy>
  <dcterms:created xsi:type="dcterms:W3CDTF">2023-05-20T11:13:13Z</dcterms:created>
  <dcterms:modified xsi:type="dcterms:W3CDTF">2025-05-15T11:57:15Z</dcterms:modified>
</cp:coreProperties>
</file>