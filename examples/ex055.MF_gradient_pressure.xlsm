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ЭтаКнига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0B9760F-6E0B-4A6A-96DD-9AE7D939BA0C}" xr6:coauthVersionLast="47" xr6:coauthVersionMax="47" xr10:uidLastSave="{00000000-0000-0000-0000-000000000000}"/>
  <bookViews>
    <workbookView xWindow="-103" yWindow="-103" windowWidth="22149" windowHeight="13200" xr2:uid="{00000000-000D-0000-FFFF-FFFF00000000}"/>
  </bookViews>
  <sheets>
    <sheet name="Лист1" sheetId="1" r:id="rId1"/>
  </sheets>
  <externalReferences>
    <externalReference r:id="rId2"/>
  </externalReferences>
  <definedNames>
    <definedName name="diam_mm">Лист1!$C$4</definedName>
    <definedName name="eps_m">Лист1!$C$6</definedName>
    <definedName name="Mug_rc_cP">Лист1!$C$10</definedName>
    <definedName name="Mul_rc_cP">Лист1!$C$9</definedName>
    <definedName name="p_atma">Лист1!$C$14</definedName>
    <definedName name="Qg_rc_m3day">Лист1!$C$8</definedName>
    <definedName name="Ql_rc_m3day">Лист1!$C$7</definedName>
    <definedName name="rho_grc_kgm3">Лист1!$C$13</definedName>
    <definedName name="rho_lrc_kgm3">Лист1!$C$12</definedName>
    <definedName name="sigma_l_Nm">Лист1!$C$11</definedName>
    <definedName name="theta">Лист1!$C$5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U19" i="1" a="1"/>
  <c r="AC22" i="1" a="1"/>
  <c r="AK21" i="1" a="1"/>
  <c r="M23" i="1" a="1"/>
  <c r="U21" i="1" a="1"/>
  <c r="AK25" i="1" a="1"/>
  <c r="AS8" i="1" a="1"/>
  <c r="AK6" i="1" a="1"/>
  <c r="AC16" i="1" a="1"/>
  <c r="AC13" i="1" a="1"/>
  <c r="AK19" i="1" a="1"/>
  <c r="AC21" i="1" a="1"/>
  <c r="AK23" i="1" a="1"/>
  <c r="AK22" i="1" a="1"/>
  <c r="AS23" i="1" a="1"/>
  <c r="AK24" i="1" a="1"/>
  <c r="AK18" i="1" a="1"/>
  <c r="M12" i="1" a="1"/>
  <c r="AC11" i="1" a="1"/>
  <c r="AC23" i="1" a="1"/>
  <c r="C21" i="1" a="1"/>
  <c r="M22" i="1" a="1"/>
  <c r="AS22" i="1" a="1"/>
  <c r="U25" i="1" a="1"/>
  <c r="C19" i="1" a="1"/>
  <c r="AC18" i="1" a="1"/>
  <c r="M11" i="1" a="1"/>
  <c r="C18" i="1" a="1"/>
  <c r="AC8" i="1" a="1"/>
  <c r="M24" i="1" a="1"/>
  <c r="AK26" i="1" a="1"/>
  <c r="M21" i="1" a="1"/>
  <c r="AK15" i="1" a="1"/>
  <c r="AK13" i="1" a="1"/>
  <c r="U8" i="1" a="1"/>
  <c r="U14" i="1" a="1"/>
  <c r="M7" i="1" a="1"/>
  <c r="AS11" i="1" a="1"/>
  <c r="AS14" i="1" a="1"/>
  <c r="M17" i="1" a="1"/>
  <c r="U22" i="1" a="1"/>
  <c r="M20" i="1" a="1"/>
  <c r="AC19" i="1" a="1"/>
  <c r="AC20" i="1" a="1"/>
  <c r="U16" i="1" a="1"/>
  <c r="U11" i="1" a="1"/>
  <c r="U13" i="1" a="1"/>
  <c r="AC14" i="1" a="1"/>
  <c r="AS16" i="1" a="1"/>
  <c r="AC9" i="1" a="1"/>
  <c r="AS24" i="1" a="1"/>
  <c r="U20" i="1" a="1"/>
  <c r="AS9" i="1" a="1"/>
  <c r="C17" i="1" a="1"/>
  <c r="U9" i="1" a="1"/>
  <c r="AS17" i="1" a="1"/>
  <c r="M14" i="1" a="1"/>
  <c r="M16" i="1" a="1"/>
  <c r="U7" i="1" a="1"/>
  <c r="U5" i="1" a="1"/>
  <c r="AS19" i="1" a="1"/>
  <c r="U24" i="1" a="1"/>
  <c r="C20" i="1" a="1"/>
  <c r="AC26" i="1" a="1"/>
  <c r="U12" i="1" a="1"/>
  <c r="U15" i="1" a="1"/>
  <c r="AC17" i="1" a="1"/>
  <c r="AS12" i="1" a="1"/>
  <c r="U26" i="1" a="1"/>
  <c r="AK11" i="1" a="1"/>
  <c r="U10" i="1" a="1"/>
  <c r="AS6" i="1" a="1"/>
  <c r="AK10" i="1" a="1"/>
  <c r="AK9" i="1" a="1"/>
  <c r="AS18" i="1" a="1"/>
  <c r="M19" i="1" a="1"/>
  <c r="AS26" i="1" a="1"/>
  <c r="AC12" i="1" a="1"/>
  <c r="AS15" i="1" a="1"/>
  <c r="M8" i="1" a="1"/>
  <c r="AS10" i="1" a="1"/>
  <c r="M5" i="1" a="1"/>
  <c r="AS20" i="1" a="1"/>
  <c r="AC15" i="1" a="1"/>
  <c r="AS7" i="1" a="1"/>
  <c r="AS25" i="1" a="1"/>
  <c r="M13" i="1" a="1"/>
  <c r="U18" i="1" a="1"/>
  <c r="AK8" i="1" a="1"/>
  <c r="AS13" i="1" a="1"/>
  <c r="AK12" i="1" a="1"/>
  <c r="AK14" i="1" a="1"/>
  <c r="M6" i="1" a="1"/>
  <c r="AS5" i="1" a="1"/>
  <c r="AK5" i="1" a="1"/>
  <c r="AC5" i="1" a="1"/>
  <c r="AC10" i="1" a="1"/>
  <c r="AS21" i="1" a="1"/>
  <c r="M9" i="1" a="1"/>
  <c r="AK16" i="1" a="1"/>
  <c r="AC7" i="1" a="1"/>
  <c r="M25" i="1" a="1"/>
  <c r="M18" i="1" a="1"/>
  <c r="AC6" i="1" a="1"/>
  <c r="U23" i="1" a="1"/>
  <c r="M10" i="1" a="1"/>
  <c r="U6" i="1" a="1"/>
  <c r="AK20" i="1" a="1"/>
  <c r="AC24" i="1" a="1"/>
  <c r="AC25" i="1" a="1"/>
  <c r="U17" i="1" a="1"/>
  <c r="AK7" i="1" a="1"/>
  <c r="M26" i="1" a="1"/>
  <c r="AK17" i="1" a="1"/>
  <c r="M15" i="1" a="1"/>
  <c r="N15" i="1" l="1"/>
  <c r="O15" i="1"/>
  <c r="P15" i="1"/>
  <c r="M15" i="1"/>
  <c r="Q15" i="1"/>
  <c r="R15" i="1"/>
  <c r="S15" i="1"/>
  <c r="T15" i="1"/>
  <c r="AN17" i="1"/>
  <c r="AP17" i="1"/>
  <c r="AL17" i="1"/>
  <c r="AM17" i="1"/>
  <c r="AO17" i="1"/>
  <c r="AQ17" i="1"/>
  <c r="AR17" i="1"/>
  <c r="AK17" i="1"/>
  <c r="P26" i="1"/>
  <c r="Q26" i="1"/>
  <c r="R26" i="1"/>
  <c r="M26" i="1"/>
  <c r="N26" i="1"/>
  <c r="O26" i="1"/>
  <c r="S26" i="1"/>
  <c r="T26" i="1"/>
  <c r="AK7" i="1"/>
  <c r="AL7" i="1"/>
  <c r="AM7" i="1"/>
  <c r="AN7" i="1"/>
  <c r="AQ7" i="1"/>
  <c r="AO7" i="1"/>
  <c r="AP7" i="1"/>
  <c r="AR7" i="1"/>
  <c r="V17" i="1"/>
  <c r="W17" i="1"/>
  <c r="X17" i="1"/>
  <c r="Y17" i="1"/>
  <c r="Z17" i="1"/>
  <c r="AA17" i="1"/>
  <c r="AB17" i="1"/>
  <c r="U17" i="1"/>
  <c r="AC25" i="1"/>
  <c r="AD25" i="1"/>
  <c r="AE25" i="1"/>
  <c r="AG25" i="1"/>
  <c r="AH25" i="1"/>
  <c r="AI25" i="1"/>
  <c r="AJ25" i="1"/>
  <c r="AF25" i="1"/>
  <c r="AE24" i="1"/>
  <c r="AF24" i="1"/>
  <c r="AG24" i="1"/>
  <c r="AC24" i="1"/>
  <c r="AD24" i="1"/>
  <c r="AH24" i="1"/>
  <c r="AI24" i="1"/>
  <c r="AJ24" i="1"/>
  <c r="AO20" i="1"/>
  <c r="AP20" i="1"/>
  <c r="AQ20" i="1"/>
  <c r="AK20" i="1"/>
  <c r="AL20" i="1"/>
  <c r="AM20" i="1"/>
  <c r="AN20" i="1"/>
  <c r="AR20" i="1"/>
  <c r="W6" i="1"/>
  <c r="X6" i="1"/>
  <c r="Y6" i="1"/>
  <c r="U6" i="1"/>
  <c r="V6" i="1"/>
  <c r="Z6" i="1"/>
  <c r="AB6" i="1"/>
  <c r="AA6" i="1"/>
  <c r="P10" i="1"/>
  <c r="Q10" i="1"/>
  <c r="R10" i="1"/>
  <c r="N10" i="1"/>
  <c r="O10" i="1"/>
  <c r="S10" i="1"/>
  <c r="T10" i="1"/>
  <c r="M10" i="1"/>
  <c r="V23" i="1"/>
  <c r="W23" i="1"/>
  <c r="X23" i="1"/>
  <c r="Y23" i="1"/>
  <c r="Z23" i="1"/>
  <c r="AA23" i="1"/>
  <c r="AB23" i="1"/>
  <c r="U23" i="1"/>
  <c r="AE6" i="1"/>
  <c r="AF6" i="1"/>
  <c r="AG6" i="1"/>
  <c r="AI6" i="1"/>
  <c r="AJ6" i="1"/>
  <c r="AC6" i="1"/>
  <c r="AH6" i="1"/>
  <c r="AD6" i="1"/>
  <c r="N18" i="1"/>
  <c r="O18" i="1"/>
  <c r="P18" i="1"/>
  <c r="S18" i="1"/>
  <c r="T18" i="1"/>
  <c r="M18" i="1"/>
  <c r="Q18" i="1"/>
  <c r="R18" i="1"/>
  <c r="Q25" i="1"/>
  <c r="R25" i="1"/>
  <c r="S25" i="1"/>
  <c r="P25" i="1"/>
  <c r="T25" i="1"/>
  <c r="M25" i="1"/>
  <c r="N25" i="1"/>
  <c r="O25" i="1"/>
  <c r="AC7" i="1"/>
  <c r="AD7" i="1"/>
  <c r="AE7" i="1"/>
  <c r="AJ7" i="1"/>
  <c r="AF7" i="1"/>
  <c r="AG7" i="1"/>
  <c r="AH7" i="1"/>
  <c r="AI7" i="1"/>
  <c r="AK16" i="1"/>
  <c r="AL16" i="1"/>
  <c r="AM16" i="1"/>
  <c r="AN16" i="1"/>
  <c r="AP16" i="1"/>
  <c r="AO16" i="1"/>
  <c r="AQ16" i="1"/>
  <c r="AR16" i="1"/>
  <c r="Q9" i="1"/>
  <c r="S9" i="1"/>
  <c r="M9" i="1"/>
  <c r="N9" i="1"/>
  <c r="O9" i="1"/>
  <c r="P9" i="1"/>
  <c r="R9" i="1"/>
  <c r="T9" i="1"/>
  <c r="AS21" i="1"/>
  <c r="AT21" i="1"/>
  <c r="AU21" i="1"/>
  <c r="AV21" i="1"/>
  <c r="AW21" i="1"/>
  <c r="AX21" i="1"/>
  <c r="AY21" i="1"/>
  <c r="AZ21" i="1"/>
  <c r="AE10" i="1"/>
  <c r="AF10" i="1"/>
  <c r="AG10" i="1"/>
  <c r="AI10" i="1"/>
  <c r="AJ10" i="1"/>
  <c r="AC10" i="1"/>
  <c r="AD10" i="1"/>
  <c r="AH10" i="1"/>
  <c r="AC5" i="1"/>
  <c r="AI5" i="1"/>
  <c r="AJ5" i="1"/>
  <c r="AD5" i="1"/>
  <c r="AE5" i="1"/>
  <c r="AG5" i="1"/>
  <c r="AH5" i="1"/>
  <c r="AF5" i="1"/>
  <c r="AL5" i="1"/>
  <c r="AQ5" i="1"/>
  <c r="AM5" i="1"/>
  <c r="AR5" i="1"/>
  <c r="AK5" i="1"/>
  <c r="AN5" i="1"/>
  <c r="AO5" i="1"/>
  <c r="AP5" i="1"/>
  <c r="AU5" i="1"/>
  <c r="AY5" i="1"/>
  <c r="AZ5" i="1"/>
  <c r="AT5" i="1"/>
  <c r="AS5" i="1"/>
  <c r="AV5" i="1"/>
  <c r="AW5" i="1"/>
  <c r="AX5" i="1"/>
  <c r="P6" i="1"/>
  <c r="S6" i="1"/>
  <c r="T6" i="1"/>
  <c r="N6" i="1"/>
  <c r="M6" i="1"/>
  <c r="O6" i="1"/>
  <c r="R6" i="1"/>
  <c r="Q6" i="1"/>
  <c r="AO14" i="1"/>
  <c r="AQ14" i="1"/>
  <c r="AL14" i="1"/>
  <c r="AR14" i="1"/>
  <c r="AK14" i="1"/>
  <c r="AN14" i="1"/>
  <c r="AP14" i="1"/>
  <c r="AM14" i="1"/>
  <c r="AP12" i="1"/>
  <c r="AQ12" i="1"/>
  <c r="AR12" i="1"/>
  <c r="AL12" i="1"/>
  <c r="AK12" i="1"/>
  <c r="AM12" i="1"/>
  <c r="AN12" i="1"/>
  <c r="AO12" i="1"/>
  <c r="AY13" i="1"/>
  <c r="AX13" i="1"/>
  <c r="AZ13" i="1"/>
  <c r="AT13" i="1"/>
  <c r="AS13" i="1"/>
  <c r="AU13" i="1"/>
  <c r="AV13" i="1"/>
  <c r="AW13" i="1"/>
  <c r="AL8" i="1"/>
  <c r="AM8" i="1"/>
  <c r="AN8" i="1"/>
  <c r="AO8" i="1"/>
  <c r="AK8" i="1"/>
  <c r="AP8" i="1"/>
  <c r="AR8" i="1"/>
  <c r="AQ8" i="1"/>
  <c r="W18" i="1"/>
  <c r="X18" i="1"/>
  <c r="Y18" i="1"/>
  <c r="V18" i="1"/>
  <c r="Z18" i="1"/>
  <c r="AA18" i="1"/>
  <c r="AB18" i="1"/>
  <c r="U18" i="1"/>
  <c r="P13" i="1"/>
  <c r="Q13" i="1"/>
  <c r="R13" i="1"/>
  <c r="N13" i="1"/>
  <c r="O13" i="1"/>
  <c r="S13" i="1"/>
  <c r="T13" i="1"/>
  <c r="M13" i="1"/>
  <c r="AW25" i="1"/>
  <c r="AX25" i="1"/>
  <c r="AY25" i="1"/>
  <c r="AT25" i="1"/>
  <c r="AU25" i="1"/>
  <c r="AV25" i="1"/>
  <c r="AZ25" i="1"/>
  <c r="AS25" i="1"/>
  <c r="AT7" i="1"/>
  <c r="AU7" i="1"/>
  <c r="AV7" i="1"/>
  <c r="AX7" i="1"/>
  <c r="AY7" i="1"/>
  <c r="AZ7" i="1"/>
  <c r="AS7" i="1"/>
  <c r="AW7" i="1"/>
  <c r="AD15" i="1"/>
  <c r="AF15" i="1"/>
  <c r="AH15" i="1"/>
  <c r="AI15" i="1"/>
  <c r="AJ15" i="1"/>
  <c r="AC15" i="1"/>
  <c r="AE15" i="1"/>
  <c r="AG15" i="1"/>
  <c r="AV20" i="1"/>
  <c r="AW20" i="1"/>
  <c r="AX20" i="1"/>
  <c r="AY20" i="1"/>
  <c r="AZ20" i="1"/>
  <c r="AS20" i="1"/>
  <c r="AT20" i="1"/>
  <c r="AU20" i="1"/>
  <c r="S5" i="1"/>
  <c r="T5" i="1"/>
  <c r="M5" i="1"/>
  <c r="N5" i="1"/>
  <c r="O5" i="1"/>
  <c r="P5" i="1"/>
  <c r="Q5" i="1"/>
  <c r="R5" i="1"/>
  <c r="AV10" i="1"/>
  <c r="AW10" i="1"/>
  <c r="AX10" i="1"/>
  <c r="AS10" i="1"/>
  <c r="AY10" i="1"/>
  <c r="AT10" i="1"/>
  <c r="AU10" i="1"/>
  <c r="AZ10" i="1"/>
  <c r="O8" i="1"/>
  <c r="P8" i="1"/>
  <c r="Q8" i="1"/>
  <c r="R8" i="1"/>
  <c r="M8" i="1"/>
  <c r="S8" i="1"/>
  <c r="T8" i="1"/>
  <c r="N8" i="1"/>
  <c r="AU15" i="1"/>
  <c r="AW15" i="1"/>
  <c r="AV15" i="1"/>
  <c r="AX15" i="1"/>
  <c r="AY15" i="1"/>
  <c r="AZ15" i="1"/>
  <c r="AS15" i="1"/>
  <c r="AT15" i="1"/>
  <c r="AC12" i="1"/>
  <c r="AD12" i="1"/>
  <c r="AE12" i="1"/>
  <c r="AH12" i="1"/>
  <c r="AI12" i="1"/>
  <c r="AJ12" i="1"/>
  <c r="AF12" i="1"/>
  <c r="AG12" i="1"/>
  <c r="AT26" i="1"/>
  <c r="AU26" i="1"/>
  <c r="AV26" i="1"/>
  <c r="AX26" i="1"/>
  <c r="AY26" i="1"/>
  <c r="AZ26" i="1"/>
  <c r="AS26" i="1"/>
  <c r="AW26" i="1"/>
  <c r="O19" i="1"/>
  <c r="P19" i="1"/>
  <c r="Q19" i="1"/>
  <c r="R19" i="1"/>
  <c r="S19" i="1"/>
  <c r="T19" i="1"/>
  <c r="M19" i="1"/>
  <c r="N19" i="1"/>
  <c r="AV18" i="1"/>
  <c r="AW18" i="1"/>
  <c r="AX18" i="1"/>
  <c r="AU18" i="1"/>
  <c r="AY18" i="1"/>
  <c r="AZ18" i="1"/>
  <c r="AS18" i="1"/>
  <c r="AT18" i="1"/>
  <c r="AO9" i="1"/>
  <c r="AP9" i="1"/>
  <c r="AQ9" i="1"/>
  <c r="AM9" i="1"/>
  <c r="AN9" i="1"/>
  <c r="AR9" i="1"/>
  <c r="AK9" i="1"/>
  <c r="AL9" i="1"/>
  <c r="AN10" i="1"/>
  <c r="AO10" i="1"/>
  <c r="AP10" i="1"/>
  <c r="AQ10" i="1"/>
  <c r="AR10" i="1"/>
  <c r="AK10" i="1"/>
  <c r="AL10" i="1"/>
  <c r="AM10" i="1"/>
  <c r="AX6" i="1"/>
  <c r="AZ6" i="1"/>
  <c r="AU6" i="1"/>
  <c r="AS6" i="1"/>
  <c r="AT6" i="1"/>
  <c r="AW6" i="1"/>
  <c r="AY6" i="1"/>
  <c r="AV6" i="1"/>
  <c r="V10" i="1"/>
  <c r="W10" i="1"/>
  <c r="U10" i="1"/>
  <c r="X10" i="1"/>
  <c r="Z10" i="1"/>
  <c r="Y10" i="1"/>
  <c r="AA10" i="1"/>
  <c r="AB10" i="1"/>
  <c r="AO11" i="1"/>
  <c r="AP11" i="1"/>
  <c r="AQ11" i="1"/>
  <c r="AK11" i="1"/>
  <c r="AN11" i="1"/>
  <c r="AL11" i="1"/>
  <c r="AR11" i="1"/>
  <c r="AM11" i="1"/>
  <c r="U26" i="1"/>
  <c r="V26" i="1"/>
  <c r="W26" i="1"/>
  <c r="AA26" i="1"/>
  <c r="AB26" i="1"/>
  <c r="X26" i="1"/>
  <c r="Y26" i="1"/>
  <c r="Z26" i="1"/>
  <c r="AW12" i="1"/>
  <c r="AX12" i="1"/>
  <c r="AY12" i="1"/>
  <c r="AZ12" i="1"/>
  <c r="AS12" i="1"/>
  <c r="AT12" i="1"/>
  <c r="AV12" i="1"/>
  <c r="AU12" i="1"/>
  <c r="AG17" i="1"/>
  <c r="AH17" i="1"/>
  <c r="AI17" i="1"/>
  <c r="AJ17" i="1"/>
  <c r="AC17" i="1"/>
  <c r="AD17" i="1"/>
  <c r="AE17" i="1"/>
  <c r="AF17" i="1"/>
  <c r="U15" i="1"/>
  <c r="W15" i="1"/>
  <c r="AA15" i="1"/>
  <c r="AB15" i="1"/>
  <c r="V15" i="1"/>
  <c r="X15" i="1"/>
  <c r="Y15" i="1"/>
  <c r="Z15" i="1"/>
  <c r="X12" i="1"/>
  <c r="Y12" i="1"/>
  <c r="Z12" i="1"/>
  <c r="AB12" i="1"/>
  <c r="U12" i="1"/>
  <c r="V12" i="1"/>
  <c r="W12" i="1"/>
  <c r="AA12" i="1"/>
  <c r="AC26" i="1"/>
  <c r="AD26" i="1"/>
  <c r="AE26" i="1"/>
  <c r="AJ26" i="1"/>
  <c r="AG26" i="1"/>
  <c r="AF26" i="1"/>
  <c r="AH26" i="1"/>
  <c r="AI26" i="1"/>
  <c r="G20" i="1"/>
  <c r="H20" i="1"/>
  <c r="I20" i="1"/>
  <c r="J20" i="1"/>
  <c r="C20" i="1"/>
  <c r="D20" i="1"/>
  <c r="E20" i="1"/>
  <c r="F20" i="1"/>
  <c r="V24" i="1"/>
  <c r="W24" i="1"/>
  <c r="X24" i="1"/>
  <c r="AB24" i="1"/>
  <c r="U24" i="1"/>
  <c r="Y24" i="1"/>
  <c r="AA24" i="1"/>
  <c r="Z24" i="1"/>
  <c r="AU19" i="1"/>
  <c r="AV19" i="1"/>
  <c r="AW19" i="1"/>
  <c r="AZ19" i="1"/>
  <c r="AS19" i="1"/>
  <c r="AT19" i="1"/>
  <c r="AX19" i="1"/>
  <c r="AY19" i="1"/>
  <c r="AB5" i="1"/>
  <c r="AA5" i="1"/>
  <c r="V5" i="1"/>
  <c r="U5" i="1"/>
  <c r="W5" i="1"/>
  <c r="Z5" i="1"/>
  <c r="X5" i="1"/>
  <c r="Y5" i="1"/>
  <c r="AA7" i="1"/>
  <c r="AB7" i="1"/>
  <c r="Y7" i="1"/>
  <c r="U7" i="1"/>
  <c r="Z7" i="1"/>
  <c r="X7" i="1"/>
  <c r="V7" i="1"/>
  <c r="W7" i="1"/>
  <c r="R16" i="1"/>
  <c r="S16" i="1"/>
  <c r="T16" i="1"/>
  <c r="O16" i="1"/>
  <c r="N16" i="1"/>
  <c r="M16" i="1"/>
  <c r="P16" i="1"/>
  <c r="Q16" i="1"/>
  <c r="R14" i="1"/>
  <c r="S14" i="1"/>
  <c r="T14" i="1"/>
  <c r="M14" i="1"/>
  <c r="N14" i="1"/>
  <c r="O14" i="1"/>
  <c r="P14" i="1"/>
  <c r="Q14" i="1"/>
  <c r="AX17" i="1"/>
  <c r="AY17" i="1"/>
  <c r="AZ17" i="1"/>
  <c r="AS17" i="1"/>
  <c r="AU17" i="1"/>
  <c r="AT17" i="1"/>
  <c r="AV17" i="1"/>
  <c r="AW17" i="1"/>
  <c r="U9" i="1"/>
  <c r="V9" i="1"/>
  <c r="W9" i="1"/>
  <c r="X9" i="1"/>
  <c r="Y9" i="1"/>
  <c r="Z9" i="1"/>
  <c r="AA9" i="1"/>
  <c r="AB9" i="1"/>
  <c r="G17" i="1"/>
  <c r="H17" i="1"/>
  <c r="I17" i="1"/>
  <c r="C17" i="1"/>
  <c r="D17" i="1"/>
  <c r="E17" i="1"/>
  <c r="F17" i="1"/>
  <c r="J17" i="1"/>
  <c r="AT9" i="1"/>
  <c r="AU9" i="1"/>
  <c r="AV9" i="1"/>
  <c r="AS9" i="1"/>
  <c r="AW9" i="1"/>
  <c r="AX9" i="1"/>
  <c r="AY9" i="1"/>
  <c r="AZ9" i="1"/>
  <c r="W20" i="1"/>
  <c r="X20" i="1"/>
  <c r="Y20" i="1"/>
  <c r="U20" i="1"/>
  <c r="V20" i="1"/>
  <c r="Z20" i="1"/>
  <c r="AA20" i="1"/>
  <c r="AB20" i="1"/>
  <c r="AV24" i="1"/>
  <c r="AW24" i="1"/>
  <c r="AX24" i="1"/>
  <c r="AS24" i="1"/>
  <c r="AT24" i="1"/>
  <c r="AU24" i="1"/>
  <c r="AY24" i="1"/>
  <c r="AZ24" i="1"/>
  <c r="AJ9" i="1"/>
  <c r="AC9" i="1"/>
  <c r="AF9" i="1"/>
  <c r="AG9" i="1"/>
  <c r="AH9" i="1"/>
  <c r="AI9" i="1"/>
  <c r="AD9" i="1"/>
  <c r="AE9" i="1"/>
  <c r="AY16" i="1"/>
  <c r="AZ16" i="1"/>
  <c r="AS16" i="1"/>
  <c r="AV16" i="1"/>
  <c r="AW16" i="1"/>
  <c r="AX16" i="1"/>
  <c r="AT16" i="1"/>
  <c r="AU16" i="1"/>
  <c r="AI14" i="1"/>
  <c r="AJ14" i="1"/>
  <c r="AC14" i="1"/>
  <c r="AD14" i="1"/>
  <c r="AF14" i="1"/>
  <c r="AE14" i="1"/>
  <c r="AG14" i="1"/>
  <c r="AH14" i="1"/>
  <c r="AA13" i="1"/>
  <c r="AB13" i="1"/>
  <c r="U13" i="1"/>
  <c r="V13" i="1"/>
  <c r="W13" i="1"/>
  <c r="X13" i="1"/>
  <c r="Y13" i="1"/>
  <c r="Z13" i="1"/>
  <c r="U11" i="1"/>
  <c r="AB11" i="1"/>
  <c r="V11" i="1"/>
  <c r="W11" i="1"/>
  <c r="X11" i="1"/>
  <c r="Y11" i="1"/>
  <c r="Z11" i="1"/>
  <c r="AA11" i="1"/>
  <c r="W16" i="1"/>
  <c r="X16" i="1"/>
  <c r="Y16" i="1"/>
  <c r="U16" i="1"/>
  <c r="V16" i="1"/>
  <c r="AA16" i="1"/>
  <c r="Z16" i="1"/>
  <c r="AB16" i="1"/>
  <c r="AF20" i="1"/>
  <c r="AG20" i="1"/>
  <c r="AH20" i="1"/>
  <c r="AC20" i="1"/>
  <c r="AD20" i="1"/>
  <c r="AE20" i="1"/>
  <c r="AI20" i="1"/>
  <c r="AJ20" i="1"/>
  <c r="AC19" i="1"/>
  <c r="AD19" i="1"/>
  <c r="AE19" i="1"/>
  <c r="AF19" i="1"/>
  <c r="AG19" i="1"/>
  <c r="AH19" i="1"/>
  <c r="AI19" i="1"/>
  <c r="AJ19" i="1"/>
  <c r="Q20" i="1"/>
  <c r="R20" i="1"/>
  <c r="S20" i="1"/>
  <c r="M20" i="1"/>
  <c r="N20" i="1"/>
  <c r="P20" i="1"/>
  <c r="O20" i="1"/>
  <c r="T20" i="1"/>
  <c r="V22" i="1"/>
  <c r="W22" i="1"/>
  <c r="X22" i="1"/>
  <c r="U22" i="1"/>
  <c r="Y22" i="1"/>
  <c r="Z22" i="1"/>
  <c r="AA22" i="1"/>
  <c r="AB22" i="1"/>
  <c r="T17" i="1"/>
  <c r="M17" i="1"/>
  <c r="N17" i="1"/>
  <c r="O17" i="1"/>
  <c r="P17" i="1"/>
  <c r="S17" i="1"/>
  <c r="Q17" i="1"/>
  <c r="R17" i="1"/>
  <c r="AZ14" i="1"/>
  <c r="AS14" i="1"/>
  <c r="AT14" i="1"/>
  <c r="AU14" i="1"/>
  <c r="AV14" i="1"/>
  <c r="AW14" i="1"/>
  <c r="AX14" i="1"/>
  <c r="AY14" i="1"/>
  <c r="AZ11" i="1"/>
  <c r="AS11" i="1"/>
  <c r="AT11" i="1"/>
  <c r="AU11" i="1"/>
  <c r="AW11" i="1"/>
  <c r="AV11" i="1"/>
  <c r="AX11" i="1"/>
  <c r="AY11" i="1"/>
  <c r="Q7" i="1"/>
  <c r="M7" i="1"/>
  <c r="N7" i="1"/>
  <c r="O7" i="1"/>
  <c r="P7" i="1"/>
  <c r="R7" i="1"/>
  <c r="S7" i="1"/>
  <c r="T7" i="1"/>
  <c r="Z14" i="1"/>
  <c r="U14" i="1"/>
  <c r="V14" i="1"/>
  <c r="W14" i="1"/>
  <c r="X14" i="1"/>
  <c r="Y14" i="1"/>
  <c r="AB14" i="1"/>
  <c r="AA14" i="1"/>
  <c r="AA8" i="1"/>
  <c r="U8" i="1"/>
  <c r="V8" i="1"/>
  <c r="W8" i="1"/>
  <c r="X8" i="1"/>
  <c r="Y8" i="1"/>
  <c r="Z8" i="1"/>
  <c r="AB8" i="1"/>
  <c r="AN13" i="1"/>
  <c r="AO13" i="1"/>
  <c r="AP13" i="1"/>
  <c r="AK13" i="1"/>
  <c r="AL13" i="1"/>
  <c r="AM13" i="1"/>
  <c r="AQ13" i="1"/>
  <c r="AR13" i="1"/>
  <c r="AK15" i="1"/>
  <c r="AL15" i="1"/>
  <c r="AM15" i="1"/>
  <c r="AN15" i="1"/>
  <c r="AO15" i="1"/>
  <c r="AP15" i="1"/>
  <c r="AQ15" i="1"/>
  <c r="AR15" i="1"/>
  <c r="Q21" i="1"/>
  <c r="R21" i="1"/>
  <c r="S21" i="1"/>
  <c r="M21" i="1"/>
  <c r="N21" i="1"/>
  <c r="O21" i="1"/>
  <c r="P21" i="1"/>
  <c r="T21" i="1"/>
  <c r="AL26" i="1"/>
  <c r="AM26" i="1"/>
  <c r="AN26" i="1"/>
  <c r="AK26" i="1"/>
  <c r="AO26" i="1"/>
  <c r="AP26" i="1"/>
  <c r="AQ26" i="1"/>
  <c r="AR26" i="1"/>
  <c r="O24" i="1"/>
  <c r="P24" i="1"/>
  <c r="Q24" i="1"/>
  <c r="M24" i="1"/>
  <c r="N24" i="1"/>
  <c r="R24" i="1"/>
  <c r="S24" i="1"/>
  <c r="T24" i="1"/>
  <c r="AJ8" i="1"/>
  <c r="AC8" i="1"/>
  <c r="AD8" i="1"/>
  <c r="AE8" i="1"/>
  <c r="AF8" i="1"/>
  <c r="AG8" i="1"/>
  <c r="AI8" i="1"/>
  <c r="AH8" i="1"/>
  <c r="H18" i="1"/>
  <c r="I18" i="1"/>
  <c r="J18" i="1"/>
  <c r="C18" i="1"/>
  <c r="D18" i="1"/>
  <c r="E18" i="1"/>
  <c r="F18" i="1"/>
  <c r="G18" i="1"/>
  <c r="R11" i="1"/>
  <c r="S11" i="1"/>
  <c r="T11" i="1"/>
  <c r="P11" i="1"/>
  <c r="Q11" i="1"/>
  <c r="M11" i="1"/>
  <c r="N11" i="1"/>
  <c r="O11" i="1"/>
  <c r="AH18" i="1"/>
  <c r="AI18" i="1"/>
  <c r="AJ18" i="1"/>
  <c r="AC18" i="1"/>
  <c r="AD18" i="1"/>
  <c r="AE18" i="1"/>
  <c r="AF18" i="1"/>
  <c r="AG18" i="1"/>
  <c r="H19" i="1"/>
  <c r="I19" i="1"/>
  <c r="J19" i="1"/>
  <c r="C19" i="1"/>
  <c r="D19" i="1"/>
  <c r="E19" i="1"/>
  <c r="G19" i="1"/>
  <c r="F19" i="1"/>
  <c r="Z25" i="1"/>
  <c r="AA25" i="1"/>
  <c r="AB25" i="1"/>
  <c r="W25" i="1"/>
  <c r="X25" i="1"/>
  <c r="Y25" i="1"/>
  <c r="V25" i="1"/>
  <c r="U25" i="1"/>
  <c r="AX22" i="1"/>
  <c r="AY22" i="1"/>
  <c r="AZ22" i="1"/>
  <c r="AS22" i="1"/>
  <c r="AT22" i="1"/>
  <c r="AU22" i="1"/>
  <c r="AV22" i="1"/>
  <c r="AW22" i="1"/>
  <c r="R22" i="1"/>
  <c r="S22" i="1"/>
  <c r="T22" i="1"/>
  <c r="Q22" i="1"/>
  <c r="M22" i="1"/>
  <c r="N22" i="1"/>
  <c r="O22" i="1"/>
  <c r="P22" i="1"/>
  <c r="H21" i="1"/>
  <c r="I21" i="1"/>
  <c r="J21" i="1"/>
  <c r="D21" i="1"/>
  <c r="E21" i="1"/>
  <c r="F21" i="1"/>
  <c r="G21" i="1"/>
  <c r="C21" i="1"/>
  <c r="AH23" i="1"/>
  <c r="AI23" i="1"/>
  <c r="AJ23" i="1"/>
  <c r="AC23" i="1"/>
  <c r="AD23" i="1"/>
  <c r="AE23" i="1"/>
  <c r="AF23" i="1"/>
  <c r="AG23" i="1"/>
  <c r="AI11" i="1"/>
  <c r="AJ11" i="1"/>
  <c r="AC11" i="1"/>
  <c r="AG11" i="1"/>
  <c r="AH11" i="1"/>
  <c r="AD11" i="1"/>
  <c r="AF11" i="1"/>
  <c r="AE11" i="1"/>
  <c r="S12" i="1"/>
  <c r="T12" i="1"/>
  <c r="M12" i="1"/>
  <c r="N12" i="1"/>
  <c r="O12" i="1"/>
  <c r="P12" i="1"/>
  <c r="Q12" i="1"/>
  <c r="R12" i="1"/>
  <c r="AQ18" i="1"/>
  <c r="AR18" i="1"/>
  <c r="AK18" i="1"/>
  <c r="AL18" i="1"/>
  <c r="AM18" i="1"/>
  <c r="AN18" i="1"/>
  <c r="AO18" i="1"/>
  <c r="AP18" i="1"/>
  <c r="AQ24" i="1"/>
  <c r="AR24" i="1"/>
  <c r="AK24" i="1"/>
  <c r="AN24" i="1"/>
  <c r="AO24" i="1"/>
  <c r="AP24" i="1"/>
  <c r="AL24" i="1"/>
  <c r="AM24" i="1"/>
  <c r="AY23" i="1"/>
  <c r="AZ23" i="1"/>
  <c r="AS23" i="1"/>
  <c r="AT23" i="1"/>
  <c r="AU23" i="1"/>
  <c r="AV23" i="1"/>
  <c r="AW23" i="1"/>
  <c r="AX23" i="1"/>
  <c r="AQ22" i="1"/>
  <c r="AR22" i="1"/>
  <c r="AK22" i="1"/>
  <c r="AP22" i="1"/>
  <c r="AL22" i="1"/>
  <c r="AM22" i="1"/>
  <c r="AN22" i="1"/>
  <c r="AO22" i="1"/>
  <c r="AQ23" i="1"/>
  <c r="AR23" i="1"/>
  <c r="AK23" i="1"/>
  <c r="AM23" i="1"/>
  <c r="AN23" i="1"/>
  <c r="AO23" i="1"/>
  <c r="AP23" i="1"/>
  <c r="AL23" i="1"/>
  <c r="AI21" i="1"/>
  <c r="AJ21" i="1"/>
  <c r="AC21" i="1"/>
  <c r="AD21" i="1"/>
  <c r="AE21" i="1"/>
  <c r="AF21" i="1"/>
  <c r="AG21" i="1"/>
  <c r="AH21" i="1"/>
  <c r="AQ19" i="1"/>
  <c r="AR19" i="1"/>
  <c r="AK19" i="1"/>
  <c r="AO19" i="1"/>
  <c r="AP19" i="1"/>
  <c r="AL19" i="1"/>
  <c r="AM19" i="1"/>
  <c r="AN19" i="1"/>
  <c r="AD13" i="1"/>
  <c r="AJ13" i="1"/>
  <c r="AC13" i="1"/>
  <c r="AE13" i="1"/>
  <c r="AF13" i="1"/>
  <c r="AG13" i="1"/>
  <c r="AH13" i="1"/>
  <c r="AI13" i="1"/>
  <c r="AJ16" i="1"/>
  <c r="AC16" i="1"/>
  <c r="AD16" i="1"/>
  <c r="AE16" i="1"/>
  <c r="AF16" i="1"/>
  <c r="AG16" i="1"/>
  <c r="AH16" i="1"/>
  <c r="AI16" i="1"/>
  <c r="AR6" i="1"/>
  <c r="AK6" i="1"/>
  <c r="AL6" i="1"/>
  <c r="AM6" i="1"/>
  <c r="AN6" i="1"/>
  <c r="AO6" i="1"/>
  <c r="AP6" i="1"/>
  <c r="AQ6" i="1"/>
  <c r="AZ8" i="1"/>
  <c r="AS8" i="1"/>
  <c r="AT8" i="1"/>
  <c r="AW8" i="1"/>
  <c r="AX8" i="1"/>
  <c r="AY8" i="1"/>
  <c r="AU8" i="1"/>
  <c r="AV8" i="1"/>
  <c r="AR25" i="1"/>
  <c r="AK25" i="1"/>
  <c r="AL25" i="1"/>
  <c r="AM25" i="1"/>
  <c r="AN25" i="1"/>
  <c r="AO25" i="1"/>
  <c r="AP25" i="1"/>
  <c r="AQ25" i="1"/>
  <c r="AB21" i="1"/>
  <c r="U21" i="1"/>
  <c r="V21" i="1"/>
  <c r="AA21" i="1"/>
  <c r="W21" i="1"/>
  <c r="X21" i="1"/>
  <c r="Y21" i="1"/>
  <c r="Z21" i="1"/>
  <c r="T23" i="1"/>
  <c r="M23" i="1"/>
  <c r="N23" i="1"/>
  <c r="P23" i="1"/>
  <c r="Q23" i="1"/>
  <c r="R23" i="1"/>
  <c r="S23" i="1"/>
  <c r="O23" i="1"/>
  <c r="AR21" i="1"/>
  <c r="AK21" i="1"/>
  <c r="AL21" i="1"/>
  <c r="AM21" i="1"/>
  <c r="AN21" i="1"/>
  <c r="AP21" i="1"/>
  <c r="AO21" i="1"/>
  <c r="AQ21" i="1"/>
  <c r="AJ22" i="1"/>
  <c r="AC22" i="1"/>
  <c r="AD22" i="1"/>
  <c r="AH22" i="1"/>
  <c r="AI22" i="1"/>
  <c r="AE22" i="1"/>
  <c r="AF22" i="1"/>
  <c r="AG22" i="1"/>
  <c r="AB19" i="1"/>
  <c r="U19" i="1"/>
  <c r="V19" i="1"/>
  <c r="W19" i="1"/>
  <c r="X19" i="1"/>
  <c r="Y19" i="1"/>
  <c r="Z19" i="1"/>
  <c r="AA19" i="1"/>
</calcChain>
</file>

<file path=xl/sharedStrings.xml><?xml version="1.0" encoding="utf-8"?>
<sst xmlns="http://schemas.openxmlformats.org/spreadsheetml/2006/main" count="71" uniqueCount="28">
  <si>
    <t>theta</t>
  </si>
  <si>
    <t>eps_m</t>
  </si>
  <si>
    <t>Ql_rc_m3day</t>
  </si>
  <si>
    <t>Qg_rc_m3day</t>
  </si>
  <si>
    <t>Mul_rc_cP</t>
  </si>
  <si>
    <t>Mug_rc_cP</t>
  </si>
  <si>
    <t>sigma_l_Nm</t>
  </si>
  <si>
    <t>rho_lrc_kgm3</t>
  </si>
  <si>
    <t>rho_grc_kgm3</t>
  </si>
  <si>
    <t>p_atma</t>
  </si>
  <si>
    <t>diam_m</t>
  </si>
  <si>
    <t>Ansari</t>
  </si>
  <si>
    <t>Beggs Brill</t>
  </si>
  <si>
    <t>TUFFP</t>
  </si>
  <si>
    <t>dPdL</t>
  </si>
  <si>
    <t>dPdL_g</t>
  </si>
  <si>
    <t>dPdL_f</t>
  </si>
  <si>
    <t>dPdL_a</t>
  </si>
  <si>
    <t>vsl</t>
  </si>
  <si>
    <t>vsg</t>
  </si>
  <si>
    <t>Hl</t>
  </si>
  <si>
    <t>fpat</t>
  </si>
  <si>
    <t>HB</t>
  </si>
  <si>
    <t>gray</t>
  </si>
  <si>
    <t>Проверка расчета градиента давления для разных гидравлических корреляций</t>
  </si>
  <si>
    <t>Ql</t>
  </si>
  <si>
    <t>Hagedorn Brown</t>
  </si>
  <si>
    <t>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</si>
</sst>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1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Лист1!$M$5:$M$26</c:f>
              <c:numCache>
                <c:formatCode>General</c:formatCode>
                <c:ptCount val="22"/>
                <c:pt idx="0">
                  <c:v>3.7219135868588223E-4</c:v>
                </c:pt>
                <c:pt idx="1">
                  <c:v>3.9949386404309066E-4</c:v>
                </c:pt>
                <c:pt idx="2">
                  <c:v>5.9537320434358899E-4</c:v>
                </c:pt>
                <c:pt idx="3">
                  <c:v>6.4851282591091102E-4</c:v>
                </c:pt>
                <c:pt idx="4">
                  <c:v>7.0083865667272364E-4</c:v>
                </c:pt>
                <c:pt idx="5">
                  <c:v>7.5287447858919004E-4</c:v>
                </c:pt>
                <c:pt idx="6">
                  <c:v>8.0502389233321208E-4</c:v>
                </c:pt>
                <c:pt idx="7">
                  <c:v>8.5760328560914709E-4</c:v>
                </c:pt>
                <c:pt idx="8">
                  <c:v>9.1086430729432567E-4</c:v>
                </c:pt>
                <c:pt idx="9">
                  <c:v>9.6500961332527226E-4</c:v>
                </c:pt>
                <c:pt idx="10">
                  <c:v>1.0202041608005498E-3</c:v>
                </c:pt>
                <c:pt idx="11">
                  <c:v>1.0765834755420561E-3</c:v>
                </c:pt>
                <c:pt idx="12">
                  <c:v>1.1933268209415784E-3</c:v>
                </c:pt>
                <c:pt idx="13">
                  <c:v>1.3159350859752741E-3</c:v>
                </c:pt>
                <c:pt idx="14">
                  <c:v>1.4449029526690158E-3</c:v>
                </c:pt>
                <c:pt idx="15">
                  <c:v>1.5805891303838238E-3</c:v>
                </c:pt>
                <c:pt idx="16">
                  <c:v>1.7232576777957407E-3</c:v>
                </c:pt>
                <c:pt idx="17">
                  <c:v>1.8731052539716084E-3</c:v>
                </c:pt>
                <c:pt idx="18">
                  <c:v>2.0302795987937067E-3</c:v>
                </c:pt>
                <c:pt idx="19">
                  <c:v>2.1948923665155561E-3</c:v>
                </c:pt>
                <c:pt idx="20">
                  <c:v>2.2737166730549957E-3</c:v>
                </c:pt>
                <c:pt idx="21">
                  <c:v>2.4376609282981123E-3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D-445A-86BA-201E14B8449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Лист1!$U$5:$U$26</c:f>
              <c:numCache>
                <c:formatCode>General</c:formatCode>
                <c:ptCount val="22"/>
                <c:pt idx="0">
                  <c:v>-1.0052317023733406E-4</c:v>
                </c:pt>
                <c:pt idx="1">
                  <c:v>-1.7973956735003533E-4</c:v>
                </c:pt>
                <c:pt idx="2">
                  <c:v>-2.2537649030900269E-4</c:v>
                </c:pt>
                <c:pt idx="3">
                  <c:v>-2.4725381948238631E-4</c:v>
                </c:pt>
                <c:pt idx="4">
                  <c:v>-2.3106798619308623E-4</c:v>
                </c:pt>
                <c:pt idx="5">
                  <c:v>-1.9034798013162034E-4</c:v>
                </c:pt>
                <c:pt idx="6">
                  <c:v>-1.5845226876703232E-4</c:v>
                </c:pt>
                <c:pt idx="7">
                  <c:v>-1.5357697238421123E-4</c:v>
                </c:pt>
                <c:pt idx="8">
                  <c:v>-1.4054179806846564E-4</c:v>
                </c:pt>
                <c:pt idx="9">
                  <c:v>-1.2018218057324324E-4</c:v>
                </c:pt>
                <c:pt idx="10">
                  <c:v>-9.3159500654952873E-5</c:v>
                </c:pt>
                <c:pt idx="11">
                  <c:v>-6.0004969516669099E-5</c:v>
                </c:pt>
                <c:pt idx="12">
                  <c:v>2.3048429327836208E-5</c:v>
                </c:pt>
                <c:pt idx="13">
                  <c:v>1.2634861243299568E-4</c:v>
                </c:pt>
                <c:pt idx="14">
                  <c:v>2.4805647317367458E-4</c:v>
                </c:pt>
                <c:pt idx="15">
                  <c:v>3.8684509572470553E-4</c:v>
                </c:pt>
                <c:pt idx="16">
                  <c:v>5.4173232459141338E-4</c:v>
                </c:pt>
                <c:pt idx="17">
                  <c:v>7.1197562227132767E-4</c:v>
                </c:pt>
                <c:pt idx="18">
                  <c:v>8.970036554147644E-4</c:v>
                </c:pt>
                <c:pt idx="19">
                  <c:v>1.0963704015879115E-3</c:v>
                </c:pt>
                <c:pt idx="20">
                  <c:v>1.3097235359619921E-3</c:v>
                </c:pt>
                <c:pt idx="21">
                  <c:v>1.5367821410784909E-3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D-445A-86BA-201E14B8449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Лист1!$AC$5:$AC$26</c:f>
              <c:numCache>
                <c:formatCode>General</c:formatCode>
                <c:ptCount val="22"/>
                <c:pt idx="0">
                  <c:v>-3.1525946121984157E-5</c:v>
                </c:pt>
                <c:pt idx="1">
                  <c:v>-2.7658822291167684E-5</c:v>
                </c:pt>
                <c:pt idx="2">
                  <c:v>-2.7453763447374691E-5</c:v>
                </c:pt>
                <c:pt idx="3">
                  <c:v>-2.7138691894150815E-5</c:v>
                </c:pt>
                <c:pt idx="4">
                  <c:v>-2.6854777647654181E-5</c:v>
                </c:pt>
                <c:pt idx="5">
                  <c:v>-2.5410382412434336E-5</c:v>
                </c:pt>
                <c:pt idx="6">
                  <c:v>-3.1035212758450862E-5</c:v>
                </c:pt>
                <c:pt idx="7">
                  <c:v>-3.511595227558928E-5</c:v>
                </c:pt>
                <c:pt idx="8">
                  <c:v>-3.8508978071619712E-5</c:v>
                </c:pt>
                <c:pt idx="9">
                  <c:v>-4.0676507357329287E-5</c:v>
                </c:pt>
                <c:pt idx="10">
                  <c:v>-4.1166842732472651E-5</c:v>
                </c:pt>
                <c:pt idx="11">
                  <c:v>-3.9650962018711073E-5</c:v>
                </c:pt>
                <c:pt idx="12">
                  <c:v>-3.0170471667515149E-5</c:v>
                </c:pt>
                <c:pt idx="13">
                  <c:v>-1.060331535151322E-5</c:v>
                </c:pt>
                <c:pt idx="14">
                  <c:v>-5.095011141677307E-7</c:v>
                </c:pt>
                <c:pt idx="15">
                  <c:v>1.5784392501785871E-5</c:v>
                </c:pt>
                <c:pt idx="16">
                  <c:v>-4.7330932050555329E-4</c:v>
                </c:pt>
                <c:pt idx="17">
                  <c:v>-2.8893100465159798E-4</c:v>
                </c:pt>
                <c:pt idx="18">
                  <c:v>-7.7722680538061788E-5</c:v>
                </c:pt>
                <c:pt idx="19">
                  <c:v>1.497557506533303E-4</c:v>
                </c:pt>
                <c:pt idx="20">
                  <c:v>3.8579253070731537E-4</c:v>
                </c:pt>
                <c:pt idx="21">
                  <c:v>6.2513717804119778E-4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D-445A-86BA-201E14B8449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Лист1!$AK$5:$AK$26</c:f>
              <c:numCache>
                <c:formatCode>General</c:formatCode>
                <c:ptCount val="22"/>
                <c:pt idx="0">
                  <c:v>-1.1335801820406829E-4</c:v>
                </c:pt>
                <c:pt idx="1">
                  <c:v>-1.7047593514682609E-4</c:v>
                </c:pt>
                <c:pt idx="2">
                  <c:v>-2.0336048972151012E-4</c:v>
                </c:pt>
                <c:pt idx="3">
                  <c:v>-2.5134021991908312E-4</c:v>
                </c:pt>
                <c:pt idx="4">
                  <c:v>-2.8128035719488756E-4</c:v>
                </c:pt>
                <c:pt idx="5">
                  <c:v>-2.9832431438296572E-4</c:v>
                </c:pt>
                <c:pt idx="6">
                  <c:v>-3.0558361077240298E-4</c:v>
                </c:pt>
                <c:pt idx="7">
                  <c:v>-3.0500706752790226E-4</c:v>
                </c:pt>
                <c:pt idx="8">
                  <c:v>-2.9789434607510243E-4</c:v>
                </c:pt>
                <c:pt idx="9">
                  <c:v>-2.8515901935363599E-4</c:v>
                </c:pt>
                <c:pt idx="10">
                  <c:v>-2.6747063588794702E-4</c:v>
                </c:pt>
                <c:pt idx="11">
                  <c:v>-2.453365110458496E-4</c:v>
                </c:pt>
                <c:pt idx="12">
                  <c:v>-1.892300484977402E-4</c:v>
                </c:pt>
                <c:pt idx="13">
                  <c:v>-1.1915192085334167E-4</c:v>
                </c:pt>
                <c:pt idx="14">
                  <c:v>-3.6660561910833609E-5</c:v>
                </c:pt>
                <c:pt idx="15">
                  <c:v>5.4918264484469636E-5</c:v>
                </c:pt>
                <c:pt idx="16">
                  <c:v>1.5336638519805612E-4</c:v>
                </c:pt>
                <c:pt idx="17">
                  <c:v>2.6264143769550471E-4</c:v>
                </c:pt>
                <c:pt idx="18">
                  <c:v>3.8211428499630425E-4</c:v>
                </c:pt>
                <c:pt idx="19">
                  <c:v>5.1128052856240285E-4</c:v>
                </c:pt>
                <c:pt idx="20">
                  <c:v>6.4972888428669489E-4</c:v>
                </c:pt>
                <c:pt idx="21">
                  <c:v>7.9711888765718114E-4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9FD-445A-86BA-201E14B8449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Лист1!$AS$5:$AS$26</c:f>
              <c:numCache>
                <c:formatCode>General</c:formatCode>
                <c:ptCount val="22"/>
                <c:pt idx="0">
                  <c:v>-1.8959590521210759E-4</c:v>
                </c:pt>
                <c:pt idx="1">
                  <c:v>-1.8395417822900844E-4</c:v>
                </c:pt>
                <c:pt idx="2">
                  <c:v>-1.9500892367831215E-4</c:v>
                </c:pt>
                <c:pt idx="3">
                  <c:v>-2.2372872910806924E-4</c:v>
                </c:pt>
                <c:pt idx="4">
                  <c:v>-2.4792504224151879E-4</c:v>
                </c:pt>
                <c:pt idx="5">
                  <c:v>-2.649260591953323E-4</c:v>
                </c:pt>
                <c:pt idx="6">
                  <c:v>-2.7477104329242362E-4</c:v>
                </c:pt>
                <c:pt idx="7">
                  <c:v>-2.7799522361050735E-4</c:v>
                </c:pt>
                <c:pt idx="8">
                  <c:v>-2.7519187466868393E-4</c:v>
                </c:pt>
                <c:pt idx="9">
                  <c:v>-2.6690508029827373E-4</c:v>
                </c:pt>
                <c:pt idx="10">
                  <c:v>-2.536073174310478E-4</c:v>
                </c:pt>
                <c:pt idx="11">
                  <c:v>-2.3570145074731198E-4</c:v>
                </c:pt>
                <c:pt idx="12">
                  <c:v>-1.8738128954420673E-4</c:v>
                </c:pt>
                <c:pt idx="13">
                  <c:v>-1.2411187848679892E-4</c:v>
                </c:pt>
                <c:pt idx="14">
                  <c:v>-4.7482256118728822E-5</c:v>
                </c:pt>
                <c:pt idx="15">
                  <c:v>4.1317556041669981E-5</c:v>
                </c:pt>
                <c:pt idx="16">
                  <c:v>1.4137673495761085E-4</c:v>
                </c:pt>
                <c:pt idx="17">
                  <c:v>2.519836933635905E-4</c:v>
                </c:pt>
                <c:pt idx="18">
                  <c:v>3.7257193907636467E-4</c:v>
                </c:pt>
                <c:pt idx="19">
                  <c:v>5.026827194530186E-4</c:v>
                </c:pt>
                <c:pt idx="20">
                  <c:v>6.41938739725143E-4</c:v>
                </c:pt>
                <c:pt idx="21">
                  <c:v>7.9002532195594549E-4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9FD-445A-86BA-201E14B84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HoldUp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Лист1!$S$5:$S$26</c:f>
              <c:numCache>
                <c:formatCode>General</c:formatCode>
                <c:ptCount val="22"/>
                <c:pt idx="0">
                  <c:v>0.35200489450948036</c:v>
                </c:pt>
                <c:pt idx="1">
                  <c:v>0.37012550352055174</c:v>
                </c:pt>
                <c:pt idx="2">
                  <c:v>0.52477271125778424</c:v>
                </c:pt>
                <c:pt idx="3">
                  <c:v>0.55117725826435116</c:v>
                </c:pt>
                <c:pt idx="4">
                  <c:v>0.57469765952492324</c:v>
                </c:pt>
                <c:pt idx="5">
                  <c:v>0.59579964592328649</c:v>
                </c:pt>
                <c:pt idx="6">
                  <c:v>0.6148502689261276</c:v>
                </c:pt>
                <c:pt idx="7">
                  <c:v>0.63214350760853388</c:v>
                </c:pt>
                <c:pt idx="8">
                  <c:v>0.64791810541238559</c:v>
                </c:pt>
                <c:pt idx="9">
                  <c:v>0.66237030364945204</c:v>
                </c:pt>
                <c:pt idx="10">
                  <c:v>0.67566312840321752</c:v>
                </c:pt>
                <c:pt idx="11">
                  <c:v>0.68793329191530062</c:v>
                </c:pt>
                <c:pt idx="12">
                  <c:v>0.70985098357983445</c:v>
                </c:pt>
                <c:pt idx="13">
                  <c:v>0.7288610248956835</c:v>
                </c:pt>
                <c:pt idx="14">
                  <c:v>0.745512118910302</c:v>
                </c:pt>
                <c:pt idx="15">
                  <c:v>0.76022160880319478</c:v>
                </c:pt>
                <c:pt idx="16">
                  <c:v>0.77331297641481955</c:v>
                </c:pt>
                <c:pt idx="17">
                  <c:v>0.78504106249488848</c:v>
                </c:pt>
                <c:pt idx="18">
                  <c:v>0.79560949905016254</c:v>
                </c:pt>
                <c:pt idx="19">
                  <c:v>0.80518304510955807</c:v>
                </c:pt>
                <c:pt idx="20">
                  <c:v>0.81340942347242839</c:v>
                </c:pt>
                <c:pt idx="21">
                  <c:v>0.82144053568370456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6A-46A2-882A-94845BC101AE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Лист1!$AA$5:$AA$26</c:f>
              <c:numCache>
                <c:formatCode>General</c:formatCode>
                <c:ptCount val="22"/>
                <c:pt idx="0">
                  <c:v>8.0192606489271678E-2</c:v>
                </c:pt>
                <c:pt idx="1">
                  <c:v>0.17219953200679763</c:v>
                </c:pt>
                <c:pt idx="2">
                  <c:v>0.23367552871346475</c:v>
                </c:pt>
                <c:pt idx="3">
                  <c:v>0.28990208323684236</c:v>
                </c:pt>
                <c:pt idx="4">
                  <c:v>0.31286335978105928</c:v>
                </c:pt>
                <c:pt idx="5">
                  <c:v>0.31724791750124026</c:v>
                </c:pt>
                <c:pt idx="6">
                  <c:v>0.33333333333333331</c:v>
                </c:pt>
                <c:pt idx="7">
                  <c:v>0.375</c:v>
                </c:pt>
                <c:pt idx="8">
                  <c:v>0.41176470588235292</c:v>
                </c:pt>
                <c:pt idx="9">
                  <c:v>0.44444444444444442</c:v>
                </c:pt>
                <c:pt idx="10">
                  <c:v>0.47368421052631576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0.58333333333333337</c:v>
                </c:pt>
                <c:pt idx="14">
                  <c:v>0.61538461538461542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6A-46A2-882A-94845BC101AE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Лист1!$AI$5:$AI$26</c:f>
              <c:numCache>
                <c:formatCode>General</c:formatCode>
                <c:ptCount val="22"/>
                <c:pt idx="0">
                  <c:v>1.5303339450571014E-2</c:v>
                </c:pt>
                <c:pt idx="1">
                  <c:v>4.6966703781080005E-2</c:v>
                </c:pt>
                <c:pt idx="2">
                  <c:v>7.5473997048848843E-2</c:v>
                </c:pt>
                <c:pt idx="3">
                  <c:v>0.12240977042764339</c:v>
                </c:pt>
                <c:pt idx="4">
                  <c:v>0.16316287031831234</c:v>
                </c:pt>
                <c:pt idx="5">
                  <c:v>0.20340005811977202</c:v>
                </c:pt>
                <c:pt idx="6">
                  <c:v>0.23797627714696912</c:v>
                </c:pt>
                <c:pt idx="7">
                  <c:v>0.27382851416027204</c:v>
                </c:pt>
                <c:pt idx="8">
                  <c:v>0.30847774768181718</c:v>
                </c:pt>
                <c:pt idx="9">
                  <c:v>0.34197875640604608</c:v>
                </c:pt>
                <c:pt idx="10">
                  <c:v>0.37437163574303034</c:v>
                </c:pt>
                <c:pt idx="11">
                  <c:v>0.40574304047741105</c:v>
                </c:pt>
                <c:pt idx="12">
                  <c:v>0.46598051437417332</c:v>
                </c:pt>
                <c:pt idx="13">
                  <c:v>0.52388647538175681</c:v>
                </c:pt>
                <c:pt idx="14">
                  <c:v>0.59157418191147926</c:v>
                </c:pt>
                <c:pt idx="15">
                  <c:v>0.67174419183003076</c:v>
                </c:pt>
                <c:pt idx="16">
                  <c:v>0.7658526126069235</c:v>
                </c:pt>
                <c:pt idx="17">
                  <c:v>0.775393683749666</c:v>
                </c:pt>
                <c:pt idx="18">
                  <c:v>0.78429289152789583</c:v>
                </c:pt>
                <c:pt idx="19">
                  <c:v>0.7925855885772376</c:v>
                </c:pt>
                <c:pt idx="20">
                  <c:v>0.80030679884585842</c:v>
                </c:pt>
                <c:pt idx="21">
                  <c:v>0.80749272708570419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6A-46A2-882A-94845BC101AE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Лист1!$AQ$5:$AQ$26</c:f>
              <c:numCache>
                <c:formatCode>General</c:formatCode>
                <c:ptCount val="22"/>
                <c:pt idx="0">
                  <c:v>8.4388009168851599E-2</c:v>
                </c:pt>
                <c:pt idx="1">
                  <c:v>0.14690189672939719</c:v>
                </c:pt>
                <c:pt idx="2">
                  <c:v>0.18813770895156565</c:v>
                </c:pt>
                <c:pt idx="3">
                  <c:v>0.25629427148263761</c:v>
                </c:pt>
                <c:pt idx="4">
                  <c:v>0.31019885701259942</c:v>
                </c:pt>
                <c:pt idx="5">
                  <c:v>0.35452149279798356</c:v>
                </c:pt>
                <c:pt idx="6">
                  <c:v>0.39207859902181991</c:v>
                </c:pt>
                <c:pt idx="7">
                  <c:v>0.42460777836249175</c:v>
                </c:pt>
                <c:pt idx="8">
                  <c:v>0.4532483056442585</c:v>
                </c:pt>
                <c:pt idx="9">
                  <c:v>0.47878741007040865</c:v>
                </c:pt>
                <c:pt idx="10">
                  <c:v>0.50179245172671616</c:v>
                </c:pt>
                <c:pt idx="11">
                  <c:v>0.52268639713667553</c:v>
                </c:pt>
                <c:pt idx="12">
                  <c:v>0.55936753550371232</c:v>
                </c:pt>
                <c:pt idx="13">
                  <c:v>0.59069168299995967</c:v>
                </c:pt>
                <c:pt idx="14">
                  <c:v>0.61787818917015125</c:v>
                </c:pt>
                <c:pt idx="15">
                  <c:v>0.6428571428571429</c:v>
                </c:pt>
                <c:pt idx="16">
                  <c:v>0.66666666666666663</c:v>
                </c:pt>
                <c:pt idx="17">
                  <c:v>0.6875</c:v>
                </c:pt>
                <c:pt idx="18">
                  <c:v>0.70588235294117652</c:v>
                </c:pt>
                <c:pt idx="19">
                  <c:v>0.72222222222222221</c:v>
                </c:pt>
                <c:pt idx="20">
                  <c:v>0.73684210526315785</c:v>
                </c:pt>
                <c:pt idx="21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6A-46A2-882A-94845BC101AE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Лист1!$AY$5:$AY$26</c:f>
              <c:numCache>
                <c:formatCode>General</c:formatCode>
                <c:ptCount val="22"/>
                <c:pt idx="0">
                  <c:v>0.16758230894289047</c:v>
                </c:pt>
                <c:pt idx="1">
                  <c:v>0.16969244666021385</c:v>
                </c:pt>
                <c:pt idx="2">
                  <c:v>0.19137734032375889</c:v>
                </c:pt>
                <c:pt idx="3">
                  <c:v>0.24344418641336385</c:v>
                </c:pt>
                <c:pt idx="4">
                  <c:v>0.29346160317674586</c:v>
                </c:pt>
                <c:pt idx="5">
                  <c:v>0.33864631616378205</c:v>
                </c:pt>
                <c:pt idx="6">
                  <c:v>0.37898481154438451</c:v>
                </c:pt>
                <c:pt idx="7">
                  <c:v>0.41497493689524662</c:v>
                </c:pt>
                <c:pt idx="8">
                  <c:v>0.44717859725216907</c:v>
                </c:pt>
                <c:pt idx="9">
                  <c:v>0.47611166925839177</c:v>
                </c:pt>
                <c:pt idx="10">
                  <c:v>0.50222052851359145</c:v>
                </c:pt>
                <c:pt idx="11">
                  <c:v>0.52588358221675513</c:v>
                </c:pt>
                <c:pt idx="12">
                  <c:v>0.56709719696030336</c:v>
                </c:pt>
                <c:pt idx="13">
                  <c:v>0.6017497902444201</c:v>
                </c:pt>
                <c:pt idx="14">
                  <c:v>0.63127740641155794</c:v>
                </c:pt>
                <c:pt idx="15">
                  <c:v>0.65673168532266335</c:v>
                </c:pt>
                <c:pt idx="16">
                  <c:v>0.67889771419683154</c:v>
                </c:pt>
                <c:pt idx="17">
                  <c:v>0.69837232528670878</c:v>
                </c:pt>
                <c:pt idx="18">
                  <c:v>0.71561682260087878</c:v>
                </c:pt>
                <c:pt idx="19">
                  <c:v>0.7309931379506408</c:v>
                </c:pt>
                <c:pt idx="20">
                  <c:v>0.74478909508257574</c:v>
                </c:pt>
                <c:pt idx="21">
                  <c:v>0.75723638617559341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6A-46A2-882A-94845BC1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H;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dP/dL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Лист1!$M$3</c:f>
              <c:strCache>
                <c:ptCount val="1"/>
                <c:pt idx="0">
                  <c:v>Ansari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Лист1!$Q$5:$Q$26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Лист1!$O$5:$O$26</c:f>
              <c:numCache>
                <c:formatCode>General</c:formatCode>
                <c:ptCount val="22"/>
                <c:pt idx="0">
                  <c:v>5.3624620244844126E-5</c:v>
                </c:pt>
                <c:pt idx="1">
                  <c:v>6.1355540165767053E-5</c:v>
                </c:pt>
                <c:pt idx="2">
                  <c:v>9.444760182546285E-5</c:v>
                </c:pt>
                <c:pt idx="3">
                  <c:v>1.1847359347653789E-4</c:v>
                </c:pt>
                <c:pt idx="4">
                  <c:v>1.4497164768834759E-4</c:v>
                </c:pt>
                <c:pt idx="5">
                  <c:v>1.7391379363333392E-4</c:v>
                </c:pt>
                <c:pt idx="6">
                  <c:v>2.0527384228821203E-4</c:v>
                </c:pt>
                <c:pt idx="7">
                  <c:v>2.3902731243889707E-4</c:v>
                </c:pt>
                <c:pt idx="8">
                  <c:v>2.7515131993077746E-4</c:v>
                </c:pt>
                <c:pt idx="9">
                  <c:v>3.1362445947253991E-4</c:v>
                </c:pt>
                <c:pt idx="10">
                  <c:v>3.5442668938937721E-4</c:v>
                </c:pt>
                <c:pt idx="11">
                  <c:v>3.9753922311563749E-4</c:v>
                </c:pt>
                <c:pt idx="12">
                  <c:v>4.9062573639721931E-4</c:v>
                </c:pt>
                <c:pt idx="13">
                  <c:v>5.9275519204123452E-4</c:v>
                </c:pt>
                <c:pt idx="14">
                  <c:v>7.0381325354402211E-4</c:v>
                </c:pt>
                <c:pt idx="15">
                  <c:v>8.236979069096166E-4</c:v>
                </c:pt>
                <c:pt idx="16">
                  <c:v>9.5231768292252891E-4</c:v>
                </c:pt>
                <c:pt idx="17">
                  <c:v>1.0895901841315953E-3</c:v>
                </c:pt>
                <c:pt idx="18">
                  <c:v>1.2354408603440343E-3</c:v>
                </c:pt>
                <c:pt idx="19">
                  <c:v>1.3898019861849273E-3</c:v>
                </c:pt>
                <c:pt idx="20">
                  <c:v>1.4427632254010046E-3</c:v>
                </c:pt>
                <c:pt idx="21">
                  <c:v>1.5988368096774637E-3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4-4DD0-AF1D-7B29F975635D}"/>
            </c:ext>
          </c:extLst>
        </c:ser>
        <c:ser>
          <c:idx val="1"/>
          <c:order val="1"/>
          <c:tx>
            <c:strRef>
              <c:f>Лист1!$U$3</c:f>
              <c:strCache>
                <c:ptCount val="1"/>
                <c:pt idx="0">
                  <c:v>Beggs Brill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Лист1!$Y$5:$Y$26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Лист1!$W$5:$W$26</c:f>
              <c:numCache>
                <c:formatCode>General</c:formatCode>
                <c:ptCount val="22"/>
                <c:pt idx="0">
                  <c:v>1.1888911840909892E-5</c:v>
                </c:pt>
                <c:pt idx="1">
                  <c:v>2.2863551426678934E-5</c:v>
                </c:pt>
                <c:pt idx="2">
                  <c:v>3.7489308085126807E-5</c:v>
                </c:pt>
                <c:pt idx="3">
                  <c:v>7.0728821626811554E-5</c:v>
                </c:pt>
                <c:pt idx="4">
                  <c:v>1.094227576898395E-4</c:v>
                </c:pt>
                <c:pt idx="5">
                  <c:v>1.5444078592760418E-4</c:v>
                </c:pt>
                <c:pt idx="6">
                  <c:v>2.021044443403318E-4</c:v>
                </c:pt>
                <c:pt idx="7">
                  <c:v>2.4782405587984644E-4</c:v>
                </c:pt>
                <c:pt idx="8">
                  <c:v>2.9689833180443926E-4</c:v>
                </c:pt>
                <c:pt idx="9">
                  <c:v>3.4929270628530359E-4</c:v>
                </c:pt>
                <c:pt idx="10">
                  <c:v>4.0497806350653695E-4</c:v>
                </c:pt>
                <c:pt idx="11">
                  <c:v>4.6392900421746933E-4</c:v>
                </c:pt>
                <c:pt idx="12">
                  <c:v>5.9153983777836749E-4</c:v>
                </c:pt>
                <c:pt idx="13">
                  <c:v>7.3197121648052121E-4</c:v>
                </c:pt>
                <c:pt idx="14">
                  <c:v>8.8509778118788743E-4</c:v>
                </c:pt>
                <c:pt idx="15">
                  <c:v>1.0508167214246505E-3</c:v>
                </c:pt>
                <c:pt idx="16">
                  <c:v>1.229043558952326E-3</c:v>
                </c:pt>
                <c:pt idx="17">
                  <c:v>1.4197090142105873E-3</c:v>
                </c:pt>
                <c:pt idx="18">
                  <c:v>1.6227565981584476E-3</c:v>
                </c:pt>
                <c:pt idx="19">
                  <c:v>1.8381407228244156E-3</c:v>
                </c:pt>
                <c:pt idx="20">
                  <c:v>2.0658251958499676E-3</c:v>
                </c:pt>
                <c:pt idx="21">
                  <c:v>2.3057820057527907E-3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64-4DD0-AF1D-7B29F975635D}"/>
            </c:ext>
          </c:extLst>
        </c:ser>
        <c:ser>
          <c:idx val="2"/>
          <c:order val="2"/>
          <c:tx>
            <c:strRef>
              <c:f>Лист1!$AC$3</c:f>
              <c:strCache>
                <c:ptCount val="1"/>
                <c:pt idx="0">
                  <c:v>TUFFP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Лист1!$AG$5:$AG$26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Лист1!$AE$5:$AE$26</c:f>
              <c:numCache>
                <c:formatCode>General</c:formatCode>
                <c:ptCount val="22"/>
                <c:pt idx="0">
                  <c:v>1.7265512013998072E-5</c:v>
                </c:pt>
                <c:pt idx="1">
                  <c:v>5.2163421044432069E-5</c:v>
                </c:pt>
                <c:pt idx="2">
                  <c:v>8.0306246853887781E-5</c:v>
                </c:pt>
                <c:pt idx="3">
                  <c:v>1.2661939639694632E-4</c:v>
                </c:pt>
                <c:pt idx="4">
                  <c:v>1.6684223424378214E-4</c:v>
                </c:pt>
                <c:pt idx="5">
                  <c:v>2.0771994801934093E-4</c:v>
                </c:pt>
                <c:pt idx="6">
                  <c:v>2.3598056378222287E-4</c:v>
                </c:pt>
                <c:pt idx="7">
                  <c:v>2.6703579573270319E-4</c:v>
                </c:pt>
                <c:pt idx="8">
                  <c:v>2.9759977183689286E-4</c:v>
                </c:pt>
                <c:pt idx="9">
                  <c:v>3.2826395919509019E-4</c:v>
                </c:pt>
                <c:pt idx="10">
                  <c:v>3.5951934958082423E-4</c:v>
                </c:pt>
                <c:pt idx="11">
                  <c:v>3.9177988874469381E-4</c:v>
                </c:pt>
                <c:pt idx="12">
                  <c:v>4.6029441268583682E-4</c:v>
                </c:pt>
                <c:pt idx="13">
                  <c:v>5.366106692884559E-4</c:v>
                </c:pt>
                <c:pt idx="14">
                  <c:v>6.1303990701567796E-4</c:v>
                </c:pt>
                <c:pt idx="15">
                  <c:v>7.0790215272669734E-4</c:v>
                </c:pt>
                <c:pt idx="16">
                  <c:v>3.1103673738604653E-4</c:v>
                </c:pt>
                <c:pt idx="17">
                  <c:v>5.0476551032075647E-4</c:v>
                </c:pt>
                <c:pt idx="18">
                  <c:v>7.2469525146788951E-4</c:v>
                </c:pt>
                <c:pt idx="19">
                  <c:v>9.6030070599696161E-4</c:v>
                </c:pt>
                <c:pt idx="20">
                  <c:v>1.2039044399231175E-3</c:v>
                </c:pt>
                <c:pt idx="21">
                  <c:v>1.4502914531074179E-3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64-4DD0-AF1D-7B29F975635D}"/>
            </c:ext>
          </c:extLst>
        </c:ser>
        <c:ser>
          <c:idx val="3"/>
          <c:order val="3"/>
          <c:tx>
            <c:strRef>
              <c:f>Лист1!$AK$3</c:f>
              <c:strCache>
                <c:ptCount val="1"/>
                <c:pt idx="0">
                  <c:v>Hagedorn Brown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Лист1!$AO$5:$AO$26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Лист1!$AM$5:$AM$26</c:f>
              <c:numCache>
                <c:formatCode>General</c:formatCode>
                <c:ptCount val="22"/>
                <c:pt idx="0">
                  <c:v>3.1666642562716325E-6</c:v>
                </c:pt>
                <c:pt idx="1">
                  <c:v>7.3288335181465933E-6</c:v>
                </c:pt>
                <c:pt idx="2">
                  <c:v>1.4866243186930208E-5</c:v>
                </c:pt>
                <c:pt idx="3">
                  <c:v>3.3697907869741122E-5</c:v>
                </c:pt>
                <c:pt idx="4">
                  <c:v>5.6598471708577542E-5</c:v>
                </c:pt>
                <c:pt idx="5">
                  <c:v>8.3002379430745249E-5</c:v>
                </c:pt>
                <c:pt idx="6">
                  <c:v>1.1255894583282295E-4</c:v>
                </c:pt>
                <c:pt idx="7">
                  <c:v>1.4502265834401978E-4</c:v>
                </c:pt>
                <c:pt idx="8">
                  <c:v>1.8021064513802835E-4</c:v>
                </c:pt>
                <c:pt idx="9">
                  <c:v>2.1798102537952803E-4</c:v>
                </c:pt>
                <c:pt idx="10">
                  <c:v>2.58220412963691E-4</c:v>
                </c:pt>
                <c:pt idx="11">
                  <c:v>3.0083611119437572E-4</c:v>
                </c:pt>
                <c:pt idx="12">
                  <c:v>3.9289975716095388E-4</c:v>
                </c:pt>
                <c:pt idx="13">
                  <c:v>4.9368380526178788E-4</c:v>
                </c:pt>
                <c:pt idx="14">
                  <c:v>6.0282510562888875E-4</c:v>
                </c:pt>
                <c:pt idx="15">
                  <c:v>7.1888989018441458E-4</c:v>
                </c:pt>
                <c:pt idx="16">
                  <c:v>8.4067761955896876E-4</c:v>
                </c:pt>
                <c:pt idx="17">
                  <c:v>9.7037482963476429E-4</c:v>
                </c:pt>
                <c:pt idx="18">
                  <c:v>1.1078672277399875E-3</c:v>
                </c:pt>
                <c:pt idx="19">
                  <c:v>1.2530508497989069E-3</c:v>
                </c:pt>
                <c:pt idx="20">
                  <c:v>1.4058305441746704E-3</c:v>
                </c:pt>
                <c:pt idx="21">
                  <c:v>1.566118752331481E-3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64-4DD0-AF1D-7B29F975635D}"/>
            </c:ext>
          </c:extLst>
        </c:ser>
        <c:ser>
          <c:idx val="4"/>
          <c:order val="4"/>
          <c:tx>
            <c:strRef>
              <c:f>Лист1!$AS$3</c:f>
              <c:strCache>
                <c:ptCount val="1"/>
                <c:pt idx="0">
                  <c:v>Gray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Лист1!$AW$5:$AW$26</c:f>
              <c:numCache>
                <c:formatCode>General</c:formatCode>
                <c:ptCount val="22"/>
                <c:pt idx="0">
                  <c:v>3.8336547359014411E-3</c:v>
                </c:pt>
                <c:pt idx="1">
                  <c:v>1.9168273679507207E-2</c:v>
                </c:pt>
                <c:pt idx="2">
                  <c:v>3.8336547359014414E-2</c:v>
                </c:pt>
                <c:pt idx="3">
                  <c:v>7.6673094718028828E-2</c:v>
                </c:pt>
                <c:pt idx="4">
                  <c:v>0.11500964207704323</c:v>
                </c:pt>
                <c:pt idx="5">
                  <c:v>0.15334618943605766</c:v>
                </c:pt>
                <c:pt idx="6">
                  <c:v>0.19168273679507206</c:v>
                </c:pt>
                <c:pt idx="7">
                  <c:v>0.23001928415408646</c:v>
                </c:pt>
                <c:pt idx="8">
                  <c:v>0.26835583151310088</c:v>
                </c:pt>
                <c:pt idx="9">
                  <c:v>0.30669237887211531</c:v>
                </c:pt>
                <c:pt idx="10">
                  <c:v>0.34502892623112974</c:v>
                </c:pt>
                <c:pt idx="11">
                  <c:v>0.38336547359014411</c:v>
                </c:pt>
                <c:pt idx="12">
                  <c:v>0.46003856830817291</c:v>
                </c:pt>
                <c:pt idx="13">
                  <c:v>0.53671166302620177</c:v>
                </c:pt>
                <c:pt idx="14">
                  <c:v>0.61338475774423062</c:v>
                </c:pt>
                <c:pt idx="15">
                  <c:v>0.69005785246225948</c:v>
                </c:pt>
                <c:pt idx="16">
                  <c:v>0.76673094718028822</c:v>
                </c:pt>
                <c:pt idx="17">
                  <c:v>0.84340404189831708</c:v>
                </c:pt>
                <c:pt idx="18">
                  <c:v>0.92007713661634583</c:v>
                </c:pt>
                <c:pt idx="19">
                  <c:v>0.99675023133437479</c:v>
                </c:pt>
                <c:pt idx="20">
                  <c:v>1.0734233260524035</c:v>
                </c:pt>
                <c:pt idx="21">
                  <c:v>1.1500964207704323</c:v>
                </c:pt>
              </c:numCache>
            </c:numRef>
          </c:xVal>
          <c:yVal>
            <c:numRef>
              <c:f>Лист1!$AU$5:$AU$26</c:f>
              <c:numCache>
                <c:formatCode>General</c:formatCode>
                <c:ptCount val="22"/>
                <c:pt idx="0">
                  <c:v>8.4811180293031743E-6</c:v>
                </c:pt>
                <c:pt idx="1">
                  <c:v>1.6191336131211506E-5</c:v>
                </c:pt>
                <c:pt idx="2">
                  <c:v>2.6393501824305139E-5</c:v>
                </c:pt>
                <c:pt idx="3">
                  <c:v>4.8712928496121206E-5</c:v>
                </c:pt>
                <c:pt idx="4">
                  <c:v>7.3546866569245903E-5</c:v>
                </c:pt>
                <c:pt idx="5">
                  <c:v>1.0083877739560655E-4</c:v>
                </c:pt>
                <c:pt idx="6">
                  <c:v>1.3053615053704696E-4</c:v>
                </c:pt>
                <c:pt idx="7">
                  <c:v>1.625917787555916E-4</c:v>
                </c:pt>
                <c:pt idx="8">
                  <c:v>1.9696320256502924E-4</c:v>
                </c:pt>
                <c:pt idx="9">
                  <c:v>2.3361203321080277E-4</c:v>
                </c:pt>
                <c:pt idx="10">
                  <c:v>2.7250335949725586E-4</c:v>
                </c:pt>
                <c:pt idx="11">
                  <c:v>3.1360525553351444E-4</c:v>
                </c:pt>
                <c:pt idx="12">
                  <c:v>4.0232562160058869E-4</c:v>
                </c:pt>
                <c:pt idx="13">
                  <c:v>4.9956370724423297E-4</c:v>
                </c:pt>
                <c:pt idx="14">
                  <c:v>6.0513817586565794E-4</c:v>
                </c:pt>
                <c:pt idx="15">
                  <c:v>7.1888989018441447E-4</c:v>
                </c:pt>
                <c:pt idx="16">
                  <c:v>8.4067761955896887E-4</c:v>
                </c:pt>
                <c:pt idx="17">
                  <c:v>9.7037482963476429E-4</c:v>
                </c:pt>
                <c:pt idx="18">
                  <c:v>1.1078672277399875E-3</c:v>
                </c:pt>
                <c:pt idx="19">
                  <c:v>1.2530508497989067E-3</c:v>
                </c:pt>
                <c:pt idx="20">
                  <c:v>1.4058305441746707E-3</c:v>
                </c:pt>
                <c:pt idx="21">
                  <c:v>1.5661187523314808E-3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64-4DD0-AF1D-7B29F9756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420544"/>
        <c:axId val="1493420960"/>
      </c:scatterChart>
      <c:valAx>
        <c:axId val="1493420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vsl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960"/>
        <c:crosses val="autoZero"/>
        <c:crossBetween val="midCat"/>
      </c:valAx>
      <c:valAx>
        <c:axId val="149342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dpdl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342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73756</xdr:colOff>
      <xdr:row>27</xdr:row>
      <xdr:rowOff>145066</xdr:rowOff>
    </xdr:from>
    <xdr:to>
      <xdr:col>10</xdr:col>
      <xdr:colOff>581891</xdr:colOff>
      <xdr:row>53</xdr:row>
      <xdr:rowOff>166255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D85504C-BDE1-40BF-A248-F9014F3EF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96982</xdr:colOff>
      <xdr:row>27</xdr:row>
      <xdr:rowOff>138546</xdr:rowOff>
    </xdr:from>
    <xdr:to>
      <xdr:col>21</xdr:col>
      <xdr:colOff>341881</xdr:colOff>
      <xdr:row>53</xdr:row>
      <xdr:rowOff>159735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921DF9-6785-4DCD-A1F6-3BC4F201F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429491</xdr:colOff>
      <xdr:row>27</xdr:row>
      <xdr:rowOff>138547</xdr:rowOff>
    </xdr:from>
    <xdr:to>
      <xdr:col>32</xdr:col>
      <xdr:colOff>244899</xdr:colOff>
      <xdr:row>53</xdr:row>
      <xdr:rowOff>159736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02BF5E1-D311-48BA-9C6D-176039789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unf_AnsariGradient"/>
      <definedName name="unf_BegsBrillGradient"/>
      <definedName name="unf_GrayModifiedGradient"/>
      <definedName name="unf_HagedornandBrawnmodified"/>
      <definedName name="unf_UnifiedTUFFPGradi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AZ26"/>
  <sheetViews>
    <sheetView tabSelected="1" zoomScale="85" zoomScaleNormal="85" workbookViewId="0">
      <selection activeCell="G9" sqref="G9"/>
    </sheetView>
  </sheetViews>
  <sheetFormatPr defaultRowHeight="14.6" x14ac:dyDescent="0.4"/>
  <cols>
    <col min="2" max="2" width="16.84375" customWidth="1"/>
    <col min="3" max="3" width="12.3828125" bestFit="1" customWidth="1"/>
    <col min="13" max="13" width="12" bestFit="1" customWidth="1"/>
    <col min="21" max="21" width="12.3828125" bestFit="1" customWidth="1"/>
    <col min="29" max="29" width="13" bestFit="1" customWidth="1"/>
    <col min="37" max="37" width="12.3828125" bestFit="1" customWidth="1"/>
    <col min="45" max="45" width="12.3828125" bestFit="1" customWidth="1"/>
  </cols>
  <sheetData>
    <row r="2" spans="2:52" x14ac:dyDescent="0.4">
      <c r="B2" t="s">
        <v>24</v>
      </c>
    </row>
    <row r="3" spans="2:52" x14ac:dyDescent="0.4">
      <c r="L3" s="7"/>
      <c r="M3" s="31" t="s">
        <v>11</v>
      </c>
      <c r="N3" s="32"/>
      <c r="O3" s="32"/>
      <c r="P3" s="32"/>
      <c r="Q3" s="32"/>
      <c r="R3" s="32"/>
      <c r="S3" s="32"/>
      <c r="T3" s="33"/>
      <c r="U3" s="34" t="s">
        <v>12</v>
      </c>
      <c r="V3" s="35"/>
      <c r="W3" s="35"/>
      <c r="X3" s="35"/>
      <c r="Y3" s="35"/>
      <c r="Z3" s="35"/>
      <c r="AA3" s="35"/>
      <c r="AB3" s="36"/>
      <c r="AC3" s="37" t="s">
        <v>13</v>
      </c>
      <c r="AD3" s="38"/>
      <c r="AE3" s="38"/>
      <c r="AF3" s="38"/>
      <c r="AG3" s="38"/>
      <c r="AH3" s="38"/>
      <c r="AI3" s="38"/>
      <c r="AJ3" s="39"/>
      <c r="AK3" s="40" t="s">
        <v>26</v>
      </c>
      <c r="AL3" s="41"/>
      <c r="AM3" s="41"/>
      <c r="AN3" s="41"/>
      <c r="AO3" s="41"/>
      <c r="AP3" s="41"/>
      <c r="AQ3" s="41"/>
      <c r="AR3" s="42"/>
      <c r="AS3" s="43" t="s">
        <v>27</v>
      </c>
      <c r="AT3" s="44"/>
      <c r="AU3" s="44"/>
      <c r="AV3" s="44"/>
      <c r="AW3" s="44"/>
      <c r="AX3" s="44"/>
      <c r="AY3" s="44"/>
      <c r="AZ3" s="45"/>
    </row>
    <row r="4" spans="2:52" x14ac:dyDescent="0.4">
      <c r="B4" t="s">
        <v>10</v>
      </c>
      <c r="C4">
        <f>62/1000</f>
        <v>6.2E-2</v>
      </c>
      <c r="L4" s="8" t="s">
        <v>25</v>
      </c>
      <c r="M4" s="2" t="s">
        <v>14</v>
      </c>
      <c r="N4" t="s">
        <v>15</v>
      </c>
      <c r="O4" t="s">
        <v>16</v>
      </c>
      <c r="P4" t="s">
        <v>17</v>
      </c>
      <c r="Q4" t="s">
        <v>18</v>
      </c>
      <c r="R4" t="s">
        <v>19</v>
      </c>
      <c r="S4" t="s">
        <v>20</v>
      </c>
      <c r="T4" s="3" t="s">
        <v>21</v>
      </c>
      <c r="U4" s="9" t="s">
        <v>14</v>
      </c>
      <c r="V4" s="10" t="s">
        <v>15</v>
      </c>
      <c r="W4" s="10" t="s">
        <v>16</v>
      </c>
      <c r="X4" s="10" t="s">
        <v>17</v>
      </c>
      <c r="Y4" s="10" t="s">
        <v>18</v>
      </c>
      <c r="Z4" s="10" t="s">
        <v>19</v>
      </c>
      <c r="AA4" s="10" t="s">
        <v>20</v>
      </c>
      <c r="AB4" s="11" t="s">
        <v>21</v>
      </c>
      <c r="AC4" s="15" t="s">
        <v>14</v>
      </c>
      <c r="AD4" s="16" t="s">
        <v>15</v>
      </c>
      <c r="AE4" s="16" t="s">
        <v>16</v>
      </c>
      <c r="AF4" s="16" t="s">
        <v>17</v>
      </c>
      <c r="AG4" s="16" t="s">
        <v>18</v>
      </c>
      <c r="AH4" s="16" t="s">
        <v>19</v>
      </c>
      <c r="AI4" s="16" t="s">
        <v>20</v>
      </c>
      <c r="AJ4" s="17" t="s">
        <v>21</v>
      </c>
      <c r="AK4" s="20" t="s">
        <v>14</v>
      </c>
      <c r="AL4" s="21" t="s">
        <v>15</v>
      </c>
      <c r="AM4" s="21" t="s">
        <v>16</v>
      </c>
      <c r="AN4" s="21" t="s">
        <v>17</v>
      </c>
      <c r="AO4" s="21" t="s">
        <v>18</v>
      </c>
      <c r="AP4" s="21" t="s">
        <v>19</v>
      </c>
      <c r="AQ4" s="21" t="s">
        <v>20</v>
      </c>
      <c r="AR4" s="22" t="s">
        <v>21</v>
      </c>
      <c r="AS4" s="25" t="s">
        <v>14</v>
      </c>
      <c r="AT4" s="26" t="s">
        <v>15</v>
      </c>
      <c r="AU4" s="26" t="s">
        <v>16</v>
      </c>
      <c r="AV4" s="26" t="s">
        <v>17</v>
      </c>
      <c r="AW4" s="26" t="s">
        <v>18</v>
      </c>
      <c r="AX4" s="26" t="s">
        <v>19</v>
      </c>
      <c r="AY4" s="26" t="s">
        <v>20</v>
      </c>
      <c r="AZ4" s="27" t="s">
        <v>21</v>
      </c>
    </row>
    <row r="5" spans="2:52" x14ac:dyDescent="0.4">
      <c r="B5" t="s">
        <v>0</v>
      </c>
      <c r="C5">
        <v>-1</v>
      </c>
      <c r="L5" s="8">
        <v>1</v>
      </c>
      <c r="M5" s="2">
        <f t="array" ref="M5:T5">[1]!unf_AnsariGradient(diam_mm,theta,eps_m,L5,Qg_rc_m3day,Mul_rc_cP,Mug_rc_cP,sigma_l_Nm,rho_lrc_kgm3,rho_grc_kgm3,p_atma)</f>
        <v>3.7219135868588223E-4</v>
      </c>
      <c r="N5">
        <v>3.1856673844103808E-4</v>
      </c>
      <c r="O5">
        <v>5.3624620244844126E-5</v>
      </c>
      <c r="P5">
        <v>0</v>
      </c>
      <c r="Q5">
        <v>3.8336547359014411E-3</v>
      </c>
      <c r="R5">
        <v>0.38336547359014411</v>
      </c>
      <c r="S5">
        <v>0.35200489450948036</v>
      </c>
      <c r="T5" s="3">
        <v>103</v>
      </c>
      <c r="U5" s="9">
        <f t="array" ref="U5:AB5">[1]!unf_BegsBrillGradient(diam_mm,theta,eps_m,L5,Qg_rc_m3day,Mul_rc_cP,Mug_rc_cP,sigma_l_Nm,rho_lrc_kgm3,rho_grc_kgm3,1,1)</f>
        <v>-1.0052317023733406E-4</v>
      </c>
      <c r="V5" s="10">
        <v>-1.1241208207824395E-4</v>
      </c>
      <c r="W5" s="10">
        <v>1.1888911840909892E-5</v>
      </c>
      <c r="X5" s="10">
        <v>0</v>
      </c>
      <c r="Y5" s="10">
        <v>3.8336547359014411E-3</v>
      </c>
      <c r="Z5" s="10">
        <v>0.38336547359014411</v>
      </c>
      <c r="AA5" s="10">
        <v>8.0192606489271678E-2</v>
      </c>
      <c r="AB5" s="11">
        <v>0</v>
      </c>
      <c r="AC5" s="15">
        <f t="array" ref="AC5:AJ5">[1]!unf_UnifiedTUFFPGradient(diam_mm,theta,eps_m,L5,Qg_rc_m3day,Mul_rc_cP,Mug_rc_cP,sigma_l_Nm,rho_lrc_kgm3,rho_grc_kgm3,p_atma)</f>
        <v>-3.1525946121984157E-5</v>
      </c>
      <c r="AD5" s="16">
        <v>-4.8791458135982229E-5</v>
      </c>
      <c r="AE5" s="16">
        <v>1.7265512013998072E-5</v>
      </c>
      <c r="AF5" s="16">
        <v>-9.4319705682282304E-12</v>
      </c>
      <c r="AG5" s="16">
        <v>3.8336547359014411E-3</v>
      </c>
      <c r="AH5" s="16">
        <v>0.38336547359014411</v>
      </c>
      <c r="AI5" s="16">
        <v>1.5303339450571014E-2</v>
      </c>
      <c r="AJ5" s="17">
        <v>204</v>
      </c>
      <c r="AK5" s="20">
        <f t="array" ref="AK5:AR5">[1]!unf_HagedornandBrawnmodified(diam_mm,theta,eps_m,L5,Qg_rc_m3day,Mul_rc_cP,Mug_rc_cP,sigma_l_Nm,rho_lrc_kgm3,rho_grc_kgm3,p_atma)</f>
        <v>-1.1335801820406829E-4</v>
      </c>
      <c r="AL5" s="21">
        <v>-1.1652468246033992E-4</v>
      </c>
      <c r="AM5" s="21">
        <v>3.1666642562716325E-6</v>
      </c>
      <c r="AN5" s="21">
        <v>0</v>
      </c>
      <c r="AO5" s="21">
        <v>3.8336547359014411E-3</v>
      </c>
      <c r="AP5" s="21">
        <v>0.38336547359014411</v>
      </c>
      <c r="AQ5" s="21">
        <v>8.4388009168851599E-2</v>
      </c>
      <c r="AR5" s="22">
        <v>0</v>
      </c>
      <c r="AS5" s="25">
        <f t="array" ref="AS5:AZ5">[1]!unf_GrayModifiedGradient(diam_mm,theta,eps_m,L5,Qg_rc_m3day,Mul_rc_cP,Mug_rc_cP,sigma_l_Nm,rho_lrc_kgm3,rho_grc_kgm3)</f>
        <v>-1.8959590521210759E-4</v>
      </c>
      <c r="AT5" s="26">
        <v>-1.9807702324141076E-4</v>
      </c>
      <c r="AU5" s="26">
        <v>8.4811180293031743E-6</v>
      </c>
      <c r="AV5" s="26">
        <v>0</v>
      </c>
      <c r="AW5" s="26">
        <v>3.8336547359014411E-3</v>
      </c>
      <c r="AX5" s="26">
        <v>0.38336547359014411</v>
      </c>
      <c r="AY5" s="26">
        <v>0.16758230894289047</v>
      </c>
      <c r="AZ5" s="27">
        <v>0</v>
      </c>
    </row>
    <row r="6" spans="2:52" x14ac:dyDescent="0.4">
      <c r="B6" t="s">
        <v>1</v>
      </c>
      <c r="C6">
        <v>1.0000000000000001E-5</v>
      </c>
      <c r="L6" s="8">
        <v>5</v>
      </c>
      <c r="M6" s="2">
        <f t="array" ref="M6:T6">[1]!unf_AnsariGradient(diam_mm,theta,eps_m,L6,Qg_rc_m3day,Mul_rc_cP,Mug_rc_cP,sigma_l_Nm,rho_lrc_kgm3,rho_grc_kgm3,p_atma)</f>
        <v>3.9949386404309066E-4</v>
      </c>
      <c r="N6">
        <v>3.381383238773236E-4</v>
      </c>
      <c r="O6">
        <v>6.1355540165767053E-5</v>
      </c>
      <c r="P6">
        <v>0</v>
      </c>
      <c r="Q6">
        <v>1.9168273679507207E-2</v>
      </c>
      <c r="R6">
        <v>0.38336547359014411</v>
      </c>
      <c r="S6">
        <v>0.37012550352055174</v>
      </c>
      <c r="T6" s="3">
        <v>103</v>
      </c>
      <c r="U6" s="9">
        <f t="array" ref="U6:AB6">[1]!unf_BegsBrillGradient(diam_mm,theta,eps_m,L6,Qg_rc_m3day,Mul_rc_cP,Mug_rc_cP,sigma_l_Nm,rho_lrc_kgm3,rho_grc_kgm3,1,1)</f>
        <v>-1.7973956735003533E-4</v>
      </c>
      <c r="V6" s="10">
        <v>-2.0260311877671425E-4</v>
      </c>
      <c r="W6" s="10">
        <v>2.2863551426678934E-5</v>
      </c>
      <c r="X6" s="10">
        <v>0</v>
      </c>
      <c r="Y6" s="10">
        <v>1.9168273679507207E-2</v>
      </c>
      <c r="Z6" s="10">
        <v>0.38336547359014411</v>
      </c>
      <c r="AA6" s="10">
        <v>0.17219953200679763</v>
      </c>
      <c r="AB6" s="11">
        <v>0</v>
      </c>
      <c r="AC6" s="15">
        <f t="array" ref="AC6:AJ6">[1]!unf_UnifiedTUFFPGradient(diam_mm,theta,eps_m,L6,Qg_rc_m3day,Mul_rc_cP,Mug_rc_cP,sigma_l_Nm,rho_lrc_kgm3,rho_grc_kgm3,p_atma)</f>
        <v>-2.7658822291167684E-5</v>
      </c>
      <c r="AD6" s="16">
        <v>-7.9822243335599753E-5</v>
      </c>
      <c r="AE6" s="16">
        <v>5.2163421044432069E-5</v>
      </c>
      <c r="AF6" s="16">
        <v>-8.8339085707919645E-12</v>
      </c>
      <c r="AG6" s="16">
        <v>1.9168273679507207E-2</v>
      </c>
      <c r="AH6" s="16">
        <v>0.38336547359014411</v>
      </c>
      <c r="AI6" s="16">
        <v>4.6966703781080005E-2</v>
      </c>
      <c r="AJ6" s="17">
        <v>204</v>
      </c>
      <c r="AK6" s="20">
        <f t="array" ref="AK6:AR6">[1]!unf_HagedornandBrawnmodified(diam_mm,theta,eps_m,L6,Qg_rc_m3day,Mul_rc_cP,Mug_rc_cP,sigma_l_Nm,rho_lrc_kgm3,rho_grc_kgm3,p_atma)</f>
        <v>-1.7047593514682609E-4</v>
      </c>
      <c r="AL6" s="21">
        <v>-1.7780476866497268E-4</v>
      </c>
      <c r="AM6" s="21">
        <v>7.3288335181465933E-6</v>
      </c>
      <c r="AN6" s="21">
        <v>0</v>
      </c>
      <c r="AO6" s="21">
        <v>1.9168273679507207E-2</v>
      </c>
      <c r="AP6" s="21">
        <v>0.38336547359014411</v>
      </c>
      <c r="AQ6" s="21">
        <v>0.14690189672939719</v>
      </c>
      <c r="AR6" s="22">
        <v>0</v>
      </c>
      <c r="AS6" s="25">
        <f t="array" ref="AS6:AZ6">[1]!unf_GrayModifiedGradient(diam_mm,theta,eps_m,L6,Qg_rc_m3day,Mul_rc_cP,Mug_rc_cP,sigma_l_Nm,rho_lrc_kgm3,rho_grc_kgm3)</f>
        <v>-1.8395417822900844E-4</v>
      </c>
      <c r="AT6" s="26">
        <v>-2.0014551436021993E-4</v>
      </c>
      <c r="AU6" s="26">
        <v>1.6191336131211506E-5</v>
      </c>
      <c r="AV6" s="26">
        <v>0</v>
      </c>
      <c r="AW6" s="26">
        <v>1.9168273679507207E-2</v>
      </c>
      <c r="AX6" s="26">
        <v>0.38336547359014411</v>
      </c>
      <c r="AY6" s="26">
        <v>0.16969244666021385</v>
      </c>
      <c r="AZ6" s="27">
        <v>0</v>
      </c>
    </row>
    <row r="7" spans="2:52" x14ac:dyDescent="0.4">
      <c r="B7" t="s">
        <v>2</v>
      </c>
      <c r="C7">
        <v>40</v>
      </c>
      <c r="L7" s="8">
        <v>10</v>
      </c>
      <c r="M7" s="2">
        <f t="array" ref="M7:T7">[1]!unf_AnsariGradient(diam_mm,theta,eps_m,L7,Qg_rc_m3day,Mul_rc_cP,Mug_rc_cP,sigma_l_Nm,rho_lrc_kgm3,rho_grc_kgm3,p_atma)</f>
        <v>5.9537320434358899E-4</v>
      </c>
      <c r="N7">
        <v>5.0092560251812615E-4</v>
      </c>
      <c r="O7">
        <v>9.444760182546285E-5</v>
      </c>
      <c r="P7">
        <v>0</v>
      </c>
      <c r="Q7">
        <v>3.8336547359014414E-2</v>
      </c>
      <c r="R7">
        <v>0.38336547359014411</v>
      </c>
      <c r="S7">
        <v>0.52477271125778424</v>
      </c>
      <c r="T7" s="3">
        <v>103</v>
      </c>
      <c r="U7" s="9">
        <f t="array" ref="U7:AB7">[1]!unf_BegsBrillGradient(diam_mm,theta,eps_m,L7,Qg_rc_m3day,Mul_rc_cP,Mug_rc_cP,sigma_l_Nm,rho_lrc_kgm3,rho_grc_kgm3,1,1)</f>
        <v>-2.2537649030900269E-4</v>
      </c>
      <c r="V7" s="10">
        <v>-2.6286579839412949E-4</v>
      </c>
      <c r="W7" s="10">
        <v>3.7489308085126807E-5</v>
      </c>
      <c r="X7" s="10">
        <v>0</v>
      </c>
      <c r="Y7" s="10">
        <v>3.8336547359014414E-2</v>
      </c>
      <c r="Z7" s="10">
        <v>0.38336547359014411</v>
      </c>
      <c r="AA7" s="10">
        <v>0.23367552871346475</v>
      </c>
      <c r="AB7" s="11">
        <v>0</v>
      </c>
      <c r="AC7" s="15">
        <f t="array" ref="AC7:AJ7">[1]!unf_UnifiedTUFFPGradient(diam_mm,theta,eps_m,L7,Qg_rc_m3day,Mul_rc_cP,Mug_rc_cP,sigma_l_Nm,rho_lrc_kgm3,rho_grc_kgm3,p_atma)</f>
        <v>-2.7453763447374691E-5</v>
      </c>
      <c r="AD7" s="16">
        <v>-1.0776001030126247E-4</v>
      </c>
      <c r="AE7" s="16">
        <v>8.0306246853887781E-5</v>
      </c>
      <c r="AF7" s="16">
        <v>-9.3172910393674656E-12</v>
      </c>
      <c r="AG7" s="16">
        <v>3.8336547359014414E-2</v>
      </c>
      <c r="AH7" s="16">
        <v>0.38336547359014411</v>
      </c>
      <c r="AI7" s="16">
        <v>7.5473997048848843E-2</v>
      </c>
      <c r="AJ7" s="17">
        <v>204</v>
      </c>
      <c r="AK7" s="20">
        <f t="array" ref="AK7:AR7">[1]!unf_HagedornandBrawnmodified(diam_mm,theta,eps_m,L7,Qg_rc_m3day,Mul_rc_cP,Mug_rc_cP,sigma_l_Nm,rho_lrc_kgm3,rho_grc_kgm3,p_atma)</f>
        <v>-2.0336048972151012E-4</v>
      </c>
      <c r="AL7" s="21">
        <v>-2.1822673290844034E-4</v>
      </c>
      <c r="AM7" s="21">
        <v>1.4866243186930208E-5</v>
      </c>
      <c r="AN7" s="21">
        <v>0</v>
      </c>
      <c r="AO7" s="21">
        <v>3.8336547359014414E-2</v>
      </c>
      <c r="AP7" s="21">
        <v>0.38336547359014411</v>
      </c>
      <c r="AQ7" s="21">
        <v>0.18813770895156565</v>
      </c>
      <c r="AR7" s="22">
        <v>0</v>
      </c>
      <c r="AS7" s="25">
        <f t="array" ref="AS7:AZ7">[1]!unf_GrayModifiedGradient(diam_mm,theta,eps_m,L7,Qg_rc_m3day,Mul_rc_cP,Mug_rc_cP,sigma_l_Nm,rho_lrc_kgm3,rho_grc_kgm3)</f>
        <v>-1.9500892367831215E-4</v>
      </c>
      <c r="AT7" s="26">
        <v>-2.2140242550261729E-4</v>
      </c>
      <c r="AU7" s="26">
        <v>2.6393501824305139E-5</v>
      </c>
      <c r="AV7" s="26">
        <v>0</v>
      </c>
      <c r="AW7" s="26">
        <v>3.8336547359014414E-2</v>
      </c>
      <c r="AX7" s="26">
        <v>0.38336547359014411</v>
      </c>
      <c r="AY7" s="26">
        <v>0.19137734032375889</v>
      </c>
      <c r="AZ7" s="27">
        <v>0</v>
      </c>
    </row>
    <row r="8" spans="2:52" x14ac:dyDescent="0.4">
      <c r="B8" t="s">
        <v>3</v>
      </c>
      <c r="C8">
        <v>100</v>
      </c>
      <c r="L8" s="8">
        <v>20</v>
      </c>
      <c r="M8" s="2">
        <f t="array" ref="M8:T8">[1]!unf_AnsariGradient(diam_mm,theta,eps_m,L8,Qg_rc_m3day,Mul_rc_cP,Mug_rc_cP,sigma_l_Nm,rho_lrc_kgm3,rho_grc_kgm3,p_atma)</f>
        <v>6.4851282591091102E-4</v>
      </c>
      <c r="N8">
        <v>5.3003923243437313E-4</v>
      </c>
      <c r="O8">
        <v>1.1847359347653789E-4</v>
      </c>
      <c r="P8">
        <v>0</v>
      </c>
      <c r="Q8">
        <v>7.6673094718028828E-2</v>
      </c>
      <c r="R8">
        <v>0.38336547359014411</v>
      </c>
      <c r="S8">
        <v>0.55117725826435116</v>
      </c>
      <c r="T8" s="3">
        <v>103</v>
      </c>
      <c r="U8" s="9">
        <f t="array" ref="U8:AB8">[1]!unf_BegsBrillGradient(diam_mm,theta,eps_m,L8,Qg_rc_m3day,Mul_rc_cP,Mug_rc_cP,sigma_l_Nm,rho_lrc_kgm3,rho_grc_kgm3,1,1)</f>
        <v>-2.4725381948238631E-4</v>
      </c>
      <c r="V8" s="10">
        <v>-3.1798264110919787E-4</v>
      </c>
      <c r="W8" s="10">
        <v>7.0728821626811554E-5</v>
      </c>
      <c r="X8" s="10">
        <v>0</v>
      </c>
      <c r="Y8" s="10">
        <v>7.6673094718028828E-2</v>
      </c>
      <c r="Z8" s="10">
        <v>0.38336547359014411</v>
      </c>
      <c r="AA8" s="10">
        <v>0.28990208323684236</v>
      </c>
      <c r="AB8" s="11">
        <v>3</v>
      </c>
      <c r="AC8" s="15">
        <f t="array" ref="AC8:AJ8">[1]!unf_UnifiedTUFFPGradient(diam_mm,theta,eps_m,L8,Qg_rc_m3day,Mul_rc_cP,Mug_rc_cP,sigma_l_Nm,rho_lrc_kgm3,rho_grc_kgm3,p_atma)</f>
        <v>-2.7138691894150815E-5</v>
      </c>
      <c r="AD8" s="16">
        <v>-1.5375808829109713E-4</v>
      </c>
      <c r="AE8" s="16">
        <v>1.2661939639694632E-4</v>
      </c>
      <c r="AF8" s="16">
        <v>-1.0221180903604342E-11</v>
      </c>
      <c r="AG8" s="16">
        <v>7.6673094718028828E-2</v>
      </c>
      <c r="AH8" s="16">
        <v>0.38336547359014411</v>
      </c>
      <c r="AI8" s="16">
        <v>0.12240977042764339</v>
      </c>
      <c r="AJ8" s="17">
        <v>204</v>
      </c>
      <c r="AK8" s="20">
        <f t="array" ref="AK8:AR8">[1]!unf_HagedornandBrawnmodified(diam_mm,theta,eps_m,L8,Qg_rc_m3day,Mul_rc_cP,Mug_rc_cP,sigma_l_Nm,rho_lrc_kgm3,rho_grc_kgm3,p_atma)</f>
        <v>-2.5134021991908312E-4</v>
      </c>
      <c r="AL8" s="21">
        <v>-2.8503812778882427E-4</v>
      </c>
      <c r="AM8" s="21">
        <v>3.3697907869741122E-5</v>
      </c>
      <c r="AN8" s="21">
        <v>0</v>
      </c>
      <c r="AO8" s="21">
        <v>7.6673094718028828E-2</v>
      </c>
      <c r="AP8" s="21">
        <v>0.38336547359014411</v>
      </c>
      <c r="AQ8" s="21">
        <v>0.25629427148263761</v>
      </c>
      <c r="AR8" s="22">
        <v>0</v>
      </c>
      <c r="AS8" s="25">
        <f t="array" ref="AS8:AZ8">[1]!unf_GrayModifiedGradient(diam_mm,theta,eps_m,L8,Qg_rc_m3day,Mul_rc_cP,Mug_rc_cP,sigma_l_Nm,rho_lrc_kgm3,rho_grc_kgm3)</f>
        <v>-2.2372872910806924E-4</v>
      </c>
      <c r="AT8" s="26">
        <v>-2.7244165760419045E-4</v>
      </c>
      <c r="AU8" s="26">
        <v>4.8712928496121206E-5</v>
      </c>
      <c r="AV8" s="26">
        <v>0</v>
      </c>
      <c r="AW8" s="26">
        <v>7.6673094718028828E-2</v>
      </c>
      <c r="AX8" s="26">
        <v>0.38336547359014411</v>
      </c>
      <c r="AY8" s="26">
        <v>0.24344418641336385</v>
      </c>
      <c r="AZ8" s="27">
        <v>0</v>
      </c>
    </row>
    <row r="9" spans="2:52" x14ac:dyDescent="0.4">
      <c r="B9" t="s">
        <v>4</v>
      </c>
      <c r="C9">
        <v>0.6</v>
      </c>
      <c r="L9" s="8">
        <v>30</v>
      </c>
      <c r="M9" s="2">
        <f t="array" ref="M9:T9">[1]!unf_AnsariGradient(diam_mm,theta,eps_m,L9,Qg_rc_m3day,Mul_rc_cP,Mug_rc_cP,sigma_l_Nm,rho_lrc_kgm3,rho_grc_kgm3,p_atma)</f>
        <v>7.0083865667272364E-4</v>
      </c>
      <c r="N9">
        <v>5.5586700898437611E-4</v>
      </c>
      <c r="O9">
        <v>1.4497164768834759E-4</v>
      </c>
      <c r="P9">
        <v>0</v>
      </c>
      <c r="Q9">
        <v>0.11500964207704323</v>
      </c>
      <c r="R9">
        <v>0.38336547359014411</v>
      </c>
      <c r="S9">
        <v>0.57469765952492324</v>
      </c>
      <c r="T9" s="3">
        <v>103</v>
      </c>
      <c r="U9" s="9">
        <f t="array" ref="U9:AB9">[1]!unf_BegsBrillGradient(diam_mm,theta,eps_m,L9,Qg_rc_m3day,Mul_rc_cP,Mug_rc_cP,sigma_l_Nm,rho_lrc_kgm3,rho_grc_kgm3,1,1)</f>
        <v>-2.3106798619308623E-4</v>
      </c>
      <c r="V9" s="10">
        <v>-3.4049074388292573E-4</v>
      </c>
      <c r="W9" s="10">
        <v>1.094227576898395E-4</v>
      </c>
      <c r="X9" s="10">
        <v>0</v>
      </c>
      <c r="Y9" s="10">
        <v>0.11500964207704323</v>
      </c>
      <c r="Z9" s="10">
        <v>0.38336547359014411</v>
      </c>
      <c r="AA9" s="10">
        <v>0.31286335978105928</v>
      </c>
      <c r="AB9" s="11">
        <v>3</v>
      </c>
      <c r="AC9" s="15">
        <f t="array" ref="AC9:AJ9">[1]!unf_UnifiedTUFFPGradient(diam_mm,theta,eps_m,L9,Qg_rc_m3day,Mul_rc_cP,Mug_rc_cP,sigma_l_Nm,rho_lrc_kgm3,rho_grc_kgm3,p_atma)</f>
        <v>-2.6854777647654181E-5</v>
      </c>
      <c r="AD9" s="16">
        <v>-1.9369701189143632E-4</v>
      </c>
      <c r="AE9" s="16">
        <v>1.6684223424378214E-4</v>
      </c>
      <c r="AF9" s="16">
        <v>-1.1122232173279083E-11</v>
      </c>
      <c r="AG9" s="16">
        <v>0.11500964207704323</v>
      </c>
      <c r="AH9" s="16">
        <v>0.38336547359014411</v>
      </c>
      <c r="AI9" s="16">
        <v>0.16316287031831234</v>
      </c>
      <c r="AJ9" s="17">
        <v>204</v>
      </c>
      <c r="AK9" s="20">
        <f t="array" ref="AK9:AR9">[1]!unf_HagedornandBrawnmodified(diam_mm,theta,eps_m,L9,Qg_rc_m3day,Mul_rc_cP,Mug_rc_cP,sigma_l_Nm,rho_lrc_kgm3,rho_grc_kgm3,p_atma)</f>
        <v>-2.8128035719488756E-4</v>
      </c>
      <c r="AL9" s="21">
        <v>-3.3787882890346513E-4</v>
      </c>
      <c r="AM9" s="21">
        <v>5.6598471708577542E-5</v>
      </c>
      <c r="AN9" s="21">
        <v>0</v>
      </c>
      <c r="AO9" s="21">
        <v>0.11500964207704323</v>
      </c>
      <c r="AP9" s="21">
        <v>0.38336547359014411</v>
      </c>
      <c r="AQ9" s="21">
        <v>0.31019885701259942</v>
      </c>
      <c r="AR9" s="22">
        <v>0</v>
      </c>
      <c r="AS9" s="25">
        <f t="array" ref="AS9:AZ9">[1]!unf_GrayModifiedGradient(diam_mm,theta,eps_m,L9,Qg_rc_m3day,Mul_rc_cP,Mug_rc_cP,sigma_l_Nm,rho_lrc_kgm3,rho_grc_kgm3)</f>
        <v>-2.4792504224151879E-4</v>
      </c>
      <c r="AT9" s="26">
        <v>-3.2147190881076469E-4</v>
      </c>
      <c r="AU9" s="26">
        <v>7.3546866569245903E-5</v>
      </c>
      <c r="AV9" s="26">
        <v>0</v>
      </c>
      <c r="AW9" s="26">
        <v>0.11500964207704323</v>
      </c>
      <c r="AX9" s="26">
        <v>0.38336547359014411</v>
      </c>
      <c r="AY9" s="26">
        <v>0.29346160317674586</v>
      </c>
      <c r="AZ9" s="27">
        <v>0</v>
      </c>
    </row>
    <row r="10" spans="2:52" x14ac:dyDescent="0.4">
      <c r="B10" t="s">
        <v>5</v>
      </c>
      <c r="C10" s="1">
        <v>0.03</v>
      </c>
      <c r="L10" s="8">
        <v>40</v>
      </c>
      <c r="M10" s="2">
        <f t="array" ref="M10:T10">[1]!unf_AnsariGradient(diam_mm,theta,eps_m,L10,Qg_rc_m3day,Mul_rc_cP,Mug_rc_cP,sigma_l_Nm,rho_lrc_kgm3,rho_grc_kgm3,p_atma)</f>
        <v>7.5287447858919004E-4</v>
      </c>
      <c r="N10">
        <v>5.7896068495585614E-4</v>
      </c>
      <c r="O10">
        <v>1.7391379363333392E-4</v>
      </c>
      <c r="P10">
        <v>0</v>
      </c>
      <c r="Q10">
        <v>0.15334618943605766</v>
      </c>
      <c r="R10">
        <v>0.38336547359014411</v>
      </c>
      <c r="S10">
        <v>0.59579964592328649</v>
      </c>
      <c r="T10" s="3">
        <v>103</v>
      </c>
      <c r="U10" s="9">
        <f t="array" ref="U10:AB10">[1]!unf_BegsBrillGradient(diam_mm,theta,eps_m,L10,Qg_rc_m3day,Mul_rc_cP,Mug_rc_cP,sigma_l_Nm,rho_lrc_kgm3,rho_grc_kgm3,1,1)</f>
        <v>-1.9034798013162034E-4</v>
      </c>
      <c r="V10" s="10">
        <v>-3.4478876605922453E-4</v>
      </c>
      <c r="W10" s="10">
        <v>1.5444078592760418E-4</v>
      </c>
      <c r="X10" s="10">
        <v>0</v>
      </c>
      <c r="Y10" s="10">
        <v>0.15334618943605766</v>
      </c>
      <c r="Z10" s="10">
        <v>0.38336547359014411</v>
      </c>
      <c r="AA10" s="10">
        <v>0.31724791750124026</v>
      </c>
      <c r="AB10" s="11">
        <v>3</v>
      </c>
      <c r="AC10" s="15">
        <f t="array" ref="AC10:AJ10">[1]!unf_UnifiedTUFFPGradient(diam_mm,theta,eps_m,L10,Qg_rc_m3day,Mul_rc_cP,Mug_rc_cP,sigma_l_Nm,rho_lrc_kgm3,rho_grc_kgm3,p_atma)</f>
        <v>-2.5410382412434336E-5</v>
      </c>
      <c r="AD10" s="16">
        <v>-2.3313033043177527E-4</v>
      </c>
      <c r="AE10" s="16">
        <v>2.0771994801934093E-4</v>
      </c>
      <c r="AF10" s="16">
        <v>-1.1612559009352492E-11</v>
      </c>
      <c r="AG10" s="16">
        <v>0.15334618943605766</v>
      </c>
      <c r="AH10" s="16">
        <v>0.38336547359014411</v>
      </c>
      <c r="AI10" s="16">
        <v>0.20340005811977202</v>
      </c>
      <c r="AJ10" s="17">
        <v>204</v>
      </c>
      <c r="AK10" s="20">
        <f t="array" ref="AK10:AR10">[1]!unf_HagedornandBrawnmodified(diam_mm,theta,eps_m,L10,Qg_rc_m3day,Mul_rc_cP,Mug_rc_cP,sigma_l_Nm,rho_lrc_kgm3,rho_grc_kgm3,p_atma)</f>
        <v>-2.9832431438296572E-4</v>
      </c>
      <c r="AL10" s="21">
        <v>-3.8132669381371094E-4</v>
      </c>
      <c r="AM10" s="21">
        <v>8.3002379430745249E-5</v>
      </c>
      <c r="AN10" s="21">
        <v>0</v>
      </c>
      <c r="AO10" s="21">
        <v>0.15334618943605766</v>
      </c>
      <c r="AP10" s="21">
        <v>0.38336547359014411</v>
      </c>
      <c r="AQ10" s="21">
        <v>0.35452149279798356</v>
      </c>
      <c r="AR10" s="22">
        <v>0</v>
      </c>
      <c r="AS10" s="25">
        <f t="array" ref="AS10:AZ10">[1]!unf_GrayModifiedGradient(diam_mm,theta,eps_m,L10,Qg_rc_m3day,Mul_rc_cP,Mug_rc_cP,sigma_l_Nm,rho_lrc_kgm3,rho_grc_kgm3)</f>
        <v>-2.649260591953323E-4</v>
      </c>
      <c r="AT10" s="26">
        <v>-3.6576483659093886E-4</v>
      </c>
      <c r="AU10" s="26">
        <v>1.0083877739560655E-4</v>
      </c>
      <c r="AV10" s="26">
        <v>0</v>
      </c>
      <c r="AW10" s="26">
        <v>0.15334618943605766</v>
      </c>
      <c r="AX10" s="26">
        <v>0.38336547359014411</v>
      </c>
      <c r="AY10" s="26">
        <v>0.33864631616378205</v>
      </c>
      <c r="AZ10" s="27">
        <v>0</v>
      </c>
    </row>
    <row r="11" spans="2:52" x14ac:dyDescent="0.4">
      <c r="B11" t="s">
        <v>6</v>
      </c>
      <c r="C11" s="1">
        <v>0.25</v>
      </c>
      <c r="L11" s="8">
        <v>50</v>
      </c>
      <c r="M11" s="2">
        <f t="array" ref="M11:T11">[1]!unf_AnsariGradient(diam_mm,theta,eps_m,L11,Qg_rc_m3day,Mul_rc_cP,Mug_rc_cP,sigma_l_Nm,rho_lrc_kgm3,rho_grc_kgm3,p_atma)</f>
        <v>8.0502389233321208E-4</v>
      </c>
      <c r="N11">
        <v>5.9975005004500007E-4</v>
      </c>
      <c r="O11">
        <v>2.0527384228821203E-4</v>
      </c>
      <c r="P11">
        <v>0</v>
      </c>
      <c r="Q11">
        <v>0.19168273679507206</v>
      </c>
      <c r="R11">
        <v>0.38336547359014411</v>
      </c>
      <c r="S11">
        <v>0.6148502689261276</v>
      </c>
      <c r="T11" s="3">
        <v>103</v>
      </c>
      <c r="U11" s="9">
        <f t="array" ref="U11:AB11">[1]!unf_BegsBrillGradient(diam_mm,theta,eps_m,L11,Qg_rc_m3day,Mul_rc_cP,Mug_rc_cP,sigma_l_Nm,rho_lrc_kgm3,rho_grc_kgm3,1,1)</f>
        <v>-1.5845226876703232E-4</v>
      </c>
      <c r="V11" s="10">
        <v>-3.6055671310736412E-4</v>
      </c>
      <c r="W11" s="10">
        <v>2.021044443403318E-4</v>
      </c>
      <c r="X11" s="10">
        <v>0</v>
      </c>
      <c r="Y11" s="10">
        <v>0.19168273679507206</v>
      </c>
      <c r="Z11" s="10">
        <v>0.38336547359014411</v>
      </c>
      <c r="AA11" s="10">
        <v>0.33333333333333331</v>
      </c>
      <c r="AB11" s="11">
        <v>1</v>
      </c>
      <c r="AC11" s="15">
        <f t="array" ref="AC11:AJ11">[1]!unf_UnifiedTUFFPGradient(diam_mm,theta,eps_m,L11,Qg_rc_m3day,Mul_rc_cP,Mug_rc_cP,sigma_l_Nm,rho_lrc_kgm3,rho_grc_kgm3,p_atma)</f>
        <v>-3.1035212758450862E-5</v>
      </c>
      <c r="AD11" s="16">
        <v>-2.6701577654067373E-4</v>
      </c>
      <c r="AE11" s="16">
        <v>2.3598056378222287E-4</v>
      </c>
      <c r="AF11" s="16">
        <v>-1.5497064168700158E-11</v>
      </c>
      <c r="AG11" s="16">
        <v>0.19168273679507206</v>
      </c>
      <c r="AH11" s="16">
        <v>0.38336547359014411</v>
      </c>
      <c r="AI11" s="16">
        <v>0.23797627714696912</v>
      </c>
      <c r="AJ11" s="17">
        <v>204</v>
      </c>
      <c r="AK11" s="20">
        <f t="array" ref="AK11:AR11">[1]!unf_HagedornandBrawnmodified(diam_mm,theta,eps_m,L11,Qg_rc_m3day,Mul_rc_cP,Mug_rc_cP,sigma_l_Nm,rho_lrc_kgm3,rho_grc_kgm3,p_atma)</f>
        <v>-3.0558361077240298E-4</v>
      </c>
      <c r="AL11" s="21">
        <v>-4.1814255660522592E-4</v>
      </c>
      <c r="AM11" s="21">
        <v>1.1255894583282295E-4</v>
      </c>
      <c r="AN11" s="21">
        <v>0</v>
      </c>
      <c r="AO11" s="21">
        <v>0.19168273679507206</v>
      </c>
      <c r="AP11" s="21">
        <v>0.38336547359014411</v>
      </c>
      <c r="AQ11" s="21">
        <v>0.39207859902181991</v>
      </c>
      <c r="AR11" s="22">
        <v>0</v>
      </c>
      <c r="AS11" s="25">
        <f t="array" ref="AS11:AZ11">[1]!unf_GrayModifiedGradient(diam_mm,theta,eps_m,L11,Qg_rc_m3day,Mul_rc_cP,Mug_rc_cP,sigma_l_Nm,rho_lrc_kgm3,rho_grc_kgm3)</f>
        <v>-2.7477104329242362E-4</v>
      </c>
      <c r="AT11" s="26">
        <v>-4.0530719382947058E-4</v>
      </c>
      <c r="AU11" s="26">
        <v>1.3053615053704696E-4</v>
      </c>
      <c r="AV11" s="26">
        <v>0</v>
      </c>
      <c r="AW11" s="26">
        <v>0.19168273679507206</v>
      </c>
      <c r="AX11" s="26">
        <v>0.38336547359014411</v>
      </c>
      <c r="AY11" s="26">
        <v>0.37898481154438451</v>
      </c>
      <c r="AZ11" s="27">
        <v>0</v>
      </c>
    </row>
    <row r="12" spans="2:52" x14ac:dyDescent="0.4">
      <c r="B12" t="s">
        <v>7</v>
      </c>
      <c r="C12">
        <v>600</v>
      </c>
      <c r="L12" s="8">
        <v>60</v>
      </c>
      <c r="M12" s="2">
        <f t="array" ref="M12:T12">[1]!unf_AnsariGradient(diam_mm,theta,eps_m,L12,Qg_rc_m3day,Mul_rc_cP,Mug_rc_cP,sigma_l_Nm,rho_lrc_kgm3,rho_grc_kgm3,p_atma)</f>
        <v>8.5760328560914709E-4</v>
      </c>
      <c r="N12">
        <v>6.1857597317025001E-4</v>
      </c>
      <c r="O12">
        <v>2.3902731243889707E-4</v>
      </c>
      <c r="P12">
        <v>0</v>
      </c>
      <c r="Q12">
        <v>0.23001928415408646</v>
      </c>
      <c r="R12">
        <v>0.38336547359014411</v>
      </c>
      <c r="S12">
        <v>0.63214350760853388</v>
      </c>
      <c r="T12" s="3">
        <v>103</v>
      </c>
      <c r="U12" s="9">
        <f t="array" ref="U12:AB12">[1]!unf_BegsBrillGradient(diam_mm,theta,eps_m,L12,Qg_rc_m3day,Mul_rc_cP,Mug_rc_cP,sigma_l_Nm,rho_lrc_kgm3,rho_grc_kgm3,1,1)</f>
        <v>-1.5357697238421123E-4</v>
      </c>
      <c r="V12" s="10">
        <v>-4.0140102826405767E-4</v>
      </c>
      <c r="W12" s="10">
        <v>2.4782405587984644E-4</v>
      </c>
      <c r="X12" s="10">
        <v>0</v>
      </c>
      <c r="Y12" s="10">
        <v>0.23001928415408646</v>
      </c>
      <c r="Z12" s="10">
        <v>0.38336547359014411</v>
      </c>
      <c r="AA12" s="10">
        <v>0.375</v>
      </c>
      <c r="AB12" s="11">
        <v>1</v>
      </c>
      <c r="AC12" s="15">
        <f t="array" ref="AC12:AJ12">[1]!unf_UnifiedTUFFPGradient(diam_mm,theta,eps_m,L12,Qg_rc_m3day,Mul_rc_cP,Mug_rc_cP,sigma_l_Nm,rho_lrc_kgm3,rho_grc_kgm3,p_atma)</f>
        <v>-3.511595227558928E-5</v>
      </c>
      <c r="AD12" s="16">
        <v>-3.0215174800829247E-4</v>
      </c>
      <c r="AE12" s="16">
        <v>2.6703579573270319E-4</v>
      </c>
      <c r="AF12" s="16">
        <v>-1.9305555140094419E-11</v>
      </c>
      <c r="AG12" s="16">
        <v>0.23001928415408646</v>
      </c>
      <c r="AH12" s="16">
        <v>0.38336547359014411</v>
      </c>
      <c r="AI12" s="16">
        <v>0.27382851416027204</v>
      </c>
      <c r="AJ12" s="17">
        <v>204</v>
      </c>
      <c r="AK12" s="20">
        <f t="array" ref="AK12:AR12">[1]!unf_HagedornandBrawnmodified(diam_mm,theta,eps_m,L12,Qg_rc_m3day,Mul_rc_cP,Mug_rc_cP,sigma_l_Nm,rho_lrc_kgm3,rho_grc_kgm3,p_atma)</f>
        <v>-3.0500706752790226E-4</v>
      </c>
      <c r="AL12" s="21">
        <v>-4.5002972587192204E-4</v>
      </c>
      <c r="AM12" s="21">
        <v>1.4502265834401978E-4</v>
      </c>
      <c r="AN12" s="21">
        <v>0</v>
      </c>
      <c r="AO12" s="21">
        <v>0.23001928415408646</v>
      </c>
      <c r="AP12" s="21">
        <v>0.38336547359014411</v>
      </c>
      <c r="AQ12" s="21">
        <v>0.42460777836249175</v>
      </c>
      <c r="AR12" s="22">
        <v>0</v>
      </c>
      <c r="AS12" s="25">
        <f t="array" ref="AS12:AZ12">[1]!unf_GrayModifiedGradient(diam_mm,theta,eps_m,L12,Qg_rc_m3day,Mul_rc_cP,Mug_rc_cP,sigma_l_Nm,rho_lrc_kgm3,rho_grc_kgm3)</f>
        <v>-2.7799522361050735E-4</v>
      </c>
      <c r="AT12" s="26">
        <v>-4.4058700236609895E-4</v>
      </c>
      <c r="AU12" s="26">
        <v>1.625917787555916E-4</v>
      </c>
      <c r="AV12" s="26">
        <v>0</v>
      </c>
      <c r="AW12" s="26">
        <v>0.23001928415408646</v>
      </c>
      <c r="AX12" s="26">
        <v>0.38336547359014411</v>
      </c>
      <c r="AY12" s="26">
        <v>0.41497493689524662</v>
      </c>
      <c r="AZ12" s="27">
        <v>0</v>
      </c>
    </row>
    <row r="13" spans="2:52" x14ac:dyDescent="0.4">
      <c r="B13" t="s">
        <v>8</v>
      </c>
      <c r="C13">
        <v>20</v>
      </c>
      <c r="L13" s="8">
        <v>70</v>
      </c>
      <c r="M13" s="2">
        <f t="array" ref="M13:T13">[1]!unf_AnsariGradient(diam_mm,theta,eps_m,L13,Qg_rc_m3day,Mul_rc_cP,Mug_rc_cP,sigma_l_Nm,rho_lrc_kgm3,rho_grc_kgm3,p_atma)</f>
        <v>9.1086430729432567E-4</v>
      </c>
      <c r="N13">
        <v>6.3571298736354821E-4</v>
      </c>
      <c r="O13">
        <v>2.7515131993077746E-4</v>
      </c>
      <c r="P13">
        <v>0</v>
      </c>
      <c r="Q13">
        <v>0.26835583151310088</v>
      </c>
      <c r="R13">
        <v>0.38336547359014411</v>
      </c>
      <c r="S13">
        <v>0.64791810541238559</v>
      </c>
      <c r="T13" s="3">
        <v>103</v>
      </c>
      <c r="U13" s="9">
        <f t="array" ref="U13:AB13">[1]!unf_BegsBrillGradient(diam_mm,theta,eps_m,L13,Qg_rc_m3day,Mul_rc_cP,Mug_rc_cP,sigma_l_Nm,rho_lrc_kgm3,rho_grc_kgm3,1,1)</f>
        <v>-1.4054179806846564E-4</v>
      </c>
      <c r="V13" s="10">
        <v>-4.374401298729049E-4</v>
      </c>
      <c r="W13" s="10">
        <v>2.9689833180443926E-4</v>
      </c>
      <c r="X13" s="10">
        <v>0</v>
      </c>
      <c r="Y13" s="10">
        <v>0.26835583151310088</v>
      </c>
      <c r="Z13" s="10">
        <v>0.38336547359014411</v>
      </c>
      <c r="AA13" s="10">
        <v>0.41176470588235292</v>
      </c>
      <c r="AB13" s="11">
        <v>1</v>
      </c>
      <c r="AC13" s="15">
        <f t="array" ref="AC13:AJ13">[1]!unf_UnifiedTUFFPGradient(diam_mm,theta,eps_m,L13,Qg_rc_m3day,Mul_rc_cP,Mug_rc_cP,sigma_l_Nm,rho_lrc_kgm3,rho_grc_kgm3,p_atma)</f>
        <v>-3.8508978071619712E-5</v>
      </c>
      <c r="AD13" s="16">
        <v>-3.3610874990851257E-4</v>
      </c>
      <c r="AE13" s="16">
        <v>2.9759977183689286E-4</v>
      </c>
      <c r="AF13" s="16">
        <v>-2.3341088480822356E-11</v>
      </c>
      <c r="AG13" s="16">
        <v>0.26835583151310088</v>
      </c>
      <c r="AH13" s="16">
        <v>0.38336547359014411</v>
      </c>
      <c r="AI13" s="16">
        <v>0.30847774768181718</v>
      </c>
      <c r="AJ13" s="17">
        <v>204</v>
      </c>
      <c r="AK13" s="20">
        <f t="array" ref="AK13:AR13">[1]!unf_HagedornandBrawnmodified(diam_mm,theta,eps_m,L13,Qg_rc_m3day,Mul_rc_cP,Mug_rc_cP,sigma_l_Nm,rho_lrc_kgm3,rho_grc_kgm3,p_atma)</f>
        <v>-2.9789434607510243E-4</v>
      </c>
      <c r="AL13" s="21">
        <v>-4.7810499121313075E-4</v>
      </c>
      <c r="AM13" s="21">
        <v>1.8021064513802835E-4</v>
      </c>
      <c r="AN13" s="21">
        <v>0</v>
      </c>
      <c r="AO13" s="21">
        <v>0.26835583151310088</v>
      </c>
      <c r="AP13" s="21">
        <v>0.38336547359014411</v>
      </c>
      <c r="AQ13" s="21">
        <v>0.4532483056442585</v>
      </c>
      <c r="AR13" s="22">
        <v>0</v>
      </c>
      <c r="AS13" s="25">
        <f t="array" ref="AS13:AZ13">[1]!unf_GrayModifiedGradient(diam_mm,theta,eps_m,L13,Qg_rc_m3day,Mul_rc_cP,Mug_rc_cP,sigma_l_Nm,rho_lrc_kgm3,rho_grc_kgm3)</f>
        <v>-2.7519187466868393E-4</v>
      </c>
      <c r="AT13" s="26">
        <v>-4.7215507723371317E-4</v>
      </c>
      <c r="AU13" s="26">
        <v>1.9696320256502924E-4</v>
      </c>
      <c r="AV13" s="26">
        <v>0</v>
      </c>
      <c r="AW13" s="26">
        <v>0.26835583151310088</v>
      </c>
      <c r="AX13" s="26">
        <v>0.38336547359014411</v>
      </c>
      <c r="AY13" s="26">
        <v>0.44717859725216907</v>
      </c>
      <c r="AZ13" s="27">
        <v>0</v>
      </c>
    </row>
    <row r="14" spans="2:52" x14ac:dyDescent="0.4">
      <c r="B14" t="s">
        <v>9</v>
      </c>
      <c r="C14">
        <v>100</v>
      </c>
      <c r="L14" s="8">
        <v>80</v>
      </c>
      <c r="M14" s="2">
        <f t="array" ref="M14:T14">[1]!unf_AnsariGradient(diam_mm,theta,eps_m,L14,Qg_rc_m3day,Mul_rc_cP,Mug_rc_cP,sigma_l_Nm,rho_lrc_kgm3,rho_grc_kgm3,p_atma)</f>
        <v>9.6500961332527226E-4</v>
      </c>
      <c r="N14">
        <v>6.513851538527323E-4</v>
      </c>
      <c r="O14">
        <v>3.1362445947253991E-4</v>
      </c>
      <c r="P14">
        <v>0</v>
      </c>
      <c r="Q14">
        <v>0.30669237887211531</v>
      </c>
      <c r="R14">
        <v>0.38336547359014411</v>
      </c>
      <c r="S14">
        <v>0.66237030364945204</v>
      </c>
      <c r="T14" s="3">
        <v>103</v>
      </c>
      <c r="U14" s="9">
        <f t="array" ref="U14:AB14">[1]!unf_BegsBrillGradient(diam_mm,theta,eps_m,L14,Qg_rc_m3day,Mul_rc_cP,Mug_rc_cP,sigma_l_Nm,rho_lrc_kgm3,rho_grc_kgm3,1,1)</f>
        <v>-1.2018218057324324E-4</v>
      </c>
      <c r="V14" s="10">
        <v>-4.6947488685854683E-4</v>
      </c>
      <c r="W14" s="10">
        <v>3.4929270628530359E-4</v>
      </c>
      <c r="X14" s="10">
        <v>0</v>
      </c>
      <c r="Y14" s="10">
        <v>0.30669237887211531</v>
      </c>
      <c r="Z14" s="10">
        <v>0.38336547359014411</v>
      </c>
      <c r="AA14" s="10">
        <v>0.44444444444444442</v>
      </c>
      <c r="AB14" s="11">
        <v>1</v>
      </c>
      <c r="AC14" s="15">
        <f t="array" ref="AC14:AJ14">[1]!unf_UnifiedTUFFPGradient(diam_mm,theta,eps_m,L14,Qg_rc_m3day,Mul_rc_cP,Mug_rc_cP,sigma_l_Nm,rho_lrc_kgm3,rho_grc_kgm3,p_atma)</f>
        <v>-4.0676507357329287E-5</v>
      </c>
      <c r="AD14" s="16">
        <v>-3.6894046655241948E-4</v>
      </c>
      <c r="AE14" s="16">
        <v>3.2826395919509019E-4</v>
      </c>
      <c r="AF14" s="16">
        <v>-2.7223349391026782E-11</v>
      </c>
      <c r="AG14" s="16">
        <v>0.30669237887211531</v>
      </c>
      <c r="AH14" s="16">
        <v>0.38336547359014411</v>
      </c>
      <c r="AI14" s="16">
        <v>0.34197875640604608</v>
      </c>
      <c r="AJ14" s="17">
        <v>204</v>
      </c>
      <c r="AK14" s="20">
        <f t="array" ref="AK14:AR14">[1]!unf_HagedornandBrawnmodified(diam_mm,theta,eps_m,L14,Qg_rc_m3day,Mul_rc_cP,Mug_rc_cP,sigma_l_Nm,rho_lrc_kgm3,rho_grc_kgm3,p_atma)</f>
        <v>-2.8515901935363599E-4</v>
      </c>
      <c r="AL14" s="21">
        <v>-5.0314004473316402E-4</v>
      </c>
      <c r="AM14" s="21">
        <v>2.1798102537952803E-4</v>
      </c>
      <c r="AN14" s="21">
        <v>0</v>
      </c>
      <c r="AO14" s="21">
        <v>0.30669237887211531</v>
      </c>
      <c r="AP14" s="21">
        <v>0.38336547359014411</v>
      </c>
      <c r="AQ14" s="21">
        <v>0.47878741007040865</v>
      </c>
      <c r="AR14" s="22">
        <v>0</v>
      </c>
      <c r="AS14" s="25">
        <f t="array" ref="AS14:AZ14">[1]!unf_GrayModifiedGradient(diam_mm,theta,eps_m,L14,Qg_rc_m3day,Mul_rc_cP,Mug_rc_cP,sigma_l_Nm,rho_lrc_kgm3,rho_grc_kgm3)</f>
        <v>-2.6690508029827373E-4</v>
      </c>
      <c r="AT14" s="26">
        <v>-5.0051711350907651E-4</v>
      </c>
      <c r="AU14" s="26">
        <v>2.3361203321080277E-4</v>
      </c>
      <c r="AV14" s="26">
        <v>0</v>
      </c>
      <c r="AW14" s="26">
        <v>0.30669237887211531</v>
      </c>
      <c r="AX14" s="26">
        <v>0.38336547359014411</v>
      </c>
      <c r="AY14" s="26">
        <v>0.47611166925839177</v>
      </c>
      <c r="AZ14" s="27">
        <v>0</v>
      </c>
    </row>
    <row r="15" spans="2:52" x14ac:dyDescent="0.4">
      <c r="L15" s="8">
        <v>90</v>
      </c>
      <c r="M15" s="2">
        <f t="array" ref="M15:T15">[1]!unf_AnsariGradient(diam_mm,theta,eps_m,L15,Qg_rc_m3day,Mul_rc_cP,Mug_rc_cP,sigma_l_Nm,rho_lrc_kgm3,rho_grc_kgm3,p_atma)</f>
        <v>1.0202041608005498E-3</v>
      </c>
      <c r="N15">
        <v>6.6577747141117268E-4</v>
      </c>
      <c r="O15">
        <v>3.5442668938937721E-4</v>
      </c>
      <c r="P15">
        <v>0</v>
      </c>
      <c r="Q15">
        <v>0.34502892623112974</v>
      </c>
      <c r="R15">
        <v>0.38336547359014411</v>
      </c>
      <c r="S15">
        <v>0.67566312840321752</v>
      </c>
      <c r="T15" s="3">
        <v>103</v>
      </c>
      <c r="U15" s="9">
        <f t="array" ref="U15:AB15">[1]!unf_BegsBrillGradient(diam_mm,theta,eps_m,L15,Qg_rc_m3day,Mul_rc_cP,Mug_rc_cP,sigma_l_Nm,rho_lrc_kgm3,rho_grc_kgm3,1,1)</f>
        <v>-9.3159500654952873E-5</v>
      </c>
      <c r="V15" s="10">
        <v>-4.9813756416148983E-4</v>
      </c>
      <c r="W15" s="10">
        <v>4.0497806350653695E-4</v>
      </c>
      <c r="X15" s="10">
        <v>0</v>
      </c>
      <c r="Y15" s="10">
        <v>0.34502892623112974</v>
      </c>
      <c r="Z15" s="10">
        <v>0.38336547359014411</v>
      </c>
      <c r="AA15" s="10">
        <v>0.47368421052631576</v>
      </c>
      <c r="AB15" s="11">
        <v>1</v>
      </c>
      <c r="AC15" s="15">
        <f t="array" ref="AC15:AJ15">[1]!unf_UnifiedTUFFPGradient(diam_mm,theta,eps_m,L15,Qg_rc_m3day,Mul_rc_cP,Mug_rc_cP,sigma_l_Nm,rho_lrc_kgm3,rho_grc_kgm3,p_atma)</f>
        <v>-4.1166842732472651E-5</v>
      </c>
      <c r="AD15" s="16">
        <v>-4.0068619231329688E-4</v>
      </c>
      <c r="AE15" s="16">
        <v>3.5951934958082423E-4</v>
      </c>
      <c r="AF15" s="16">
        <v>-3.0471244198255244E-11</v>
      </c>
      <c r="AG15" s="16">
        <v>0.34502892623112974</v>
      </c>
      <c r="AH15" s="16">
        <v>0.38336547359014411</v>
      </c>
      <c r="AI15" s="16">
        <v>0.37437163574303034</v>
      </c>
      <c r="AJ15" s="17">
        <v>204</v>
      </c>
      <c r="AK15" s="20">
        <f t="array" ref="AK15:AR15">[1]!unf_HagedornandBrawnmodified(diam_mm,theta,eps_m,L15,Qg_rc_m3day,Mul_rc_cP,Mug_rc_cP,sigma_l_Nm,rho_lrc_kgm3,rho_grc_kgm3,p_atma)</f>
        <v>-2.6747063588794702E-4</v>
      </c>
      <c r="AL15" s="21">
        <v>-5.2569104885163802E-4</v>
      </c>
      <c r="AM15" s="21">
        <v>2.58220412963691E-4</v>
      </c>
      <c r="AN15" s="21">
        <v>0</v>
      </c>
      <c r="AO15" s="21">
        <v>0.34502892623112974</v>
      </c>
      <c r="AP15" s="21">
        <v>0.38336547359014411</v>
      </c>
      <c r="AQ15" s="21">
        <v>0.50179245172671616</v>
      </c>
      <c r="AR15" s="22">
        <v>0</v>
      </c>
      <c r="AS15" s="25">
        <f t="array" ref="AS15:AZ15">[1]!unf_GrayModifiedGradient(diam_mm,theta,eps_m,L15,Qg_rc_m3day,Mul_rc_cP,Mug_rc_cP,sigma_l_Nm,rho_lrc_kgm3,rho_grc_kgm3)</f>
        <v>-2.536073174310478E-4</v>
      </c>
      <c r="AT15" s="26">
        <v>-5.2611067692830366E-4</v>
      </c>
      <c r="AU15" s="26">
        <v>2.7250335949725586E-4</v>
      </c>
      <c r="AV15" s="26">
        <v>0</v>
      </c>
      <c r="AW15" s="26">
        <v>0.34502892623112974</v>
      </c>
      <c r="AX15" s="26">
        <v>0.38336547359014411</v>
      </c>
      <c r="AY15" s="26">
        <v>0.50222052851359145</v>
      </c>
      <c r="AZ15" s="27">
        <v>0</v>
      </c>
    </row>
    <row r="16" spans="2:52" x14ac:dyDescent="0.4">
      <c r="C16" t="s">
        <v>14</v>
      </c>
      <c r="D16" t="s">
        <v>15</v>
      </c>
      <c r="E16" t="s">
        <v>16</v>
      </c>
      <c r="F16" t="s">
        <v>17</v>
      </c>
      <c r="G16" t="s">
        <v>18</v>
      </c>
      <c r="H16" t="s">
        <v>19</v>
      </c>
      <c r="I16" t="s">
        <v>20</v>
      </c>
      <c r="J16" t="s">
        <v>21</v>
      </c>
      <c r="L16" s="8">
        <v>100</v>
      </c>
      <c r="M16" s="2">
        <f t="array" ref="M16:T16">[1]!unf_AnsariGradient(diam_mm,theta,eps_m,L16,Qg_rc_m3day,Mul_rc_cP,Mug_rc_cP,sigma_l_Nm,rho_lrc_kgm3,rho_grc_kgm3,p_atma)</f>
        <v>1.0765834755420561E-3</v>
      </c>
      <c r="N16">
        <v>6.7904425242641859E-4</v>
      </c>
      <c r="O16">
        <v>3.9753922311563749E-4</v>
      </c>
      <c r="P16">
        <v>0</v>
      </c>
      <c r="Q16">
        <v>0.38336547359014411</v>
      </c>
      <c r="R16">
        <v>0.38336547359014411</v>
      </c>
      <c r="S16">
        <v>0.68793329191530062</v>
      </c>
      <c r="T16" s="3">
        <v>103</v>
      </c>
      <c r="U16" s="9">
        <f t="array" ref="U16:AB16">[1]!unf_BegsBrillGradient(diam_mm,theta,eps_m,L16,Qg_rc_m3day,Mul_rc_cP,Mug_rc_cP,sigma_l_Nm,rho_lrc_kgm3,rho_grc_kgm3,1,1)</f>
        <v>-6.0004969516669099E-5</v>
      </c>
      <c r="V16" s="10">
        <v>-5.2393397373413843E-4</v>
      </c>
      <c r="W16" s="10">
        <v>4.6392900421746933E-4</v>
      </c>
      <c r="X16" s="10">
        <v>0</v>
      </c>
      <c r="Y16" s="10">
        <v>0.38336547359014411</v>
      </c>
      <c r="Z16" s="10">
        <v>0.38336547359014411</v>
      </c>
      <c r="AA16" s="10">
        <v>0.5</v>
      </c>
      <c r="AB16" s="11">
        <v>1</v>
      </c>
      <c r="AC16" s="15">
        <f t="array" ref="AC16:AJ16">[1]!unf_UnifiedTUFFPGradient(diam_mm,theta,eps_m,L16,Qg_rc_m3day,Mul_rc_cP,Mug_rc_cP,sigma_l_Nm,rho_lrc_kgm3,rho_grc_kgm3,p_atma)</f>
        <v>-3.9650962018711073E-5</v>
      </c>
      <c r="AD16" s="16">
        <v>-4.3143085076340488E-4</v>
      </c>
      <c r="AE16" s="16">
        <v>3.9177988874469381E-4</v>
      </c>
      <c r="AF16" s="16">
        <v>-3.2521471311374691E-11</v>
      </c>
      <c r="AG16" s="16">
        <v>0.38336547359014411</v>
      </c>
      <c r="AH16" s="16">
        <v>0.38336547359014411</v>
      </c>
      <c r="AI16" s="16">
        <v>0.40574304047741105</v>
      </c>
      <c r="AJ16" s="17">
        <v>204</v>
      </c>
      <c r="AK16" s="20">
        <f t="array" ref="AK16:AR16">[1]!unf_HagedornandBrawnmodified(diam_mm,theta,eps_m,L16,Qg_rc_m3day,Mul_rc_cP,Mug_rc_cP,sigma_l_Nm,rho_lrc_kgm3,rho_grc_kgm3,p_atma)</f>
        <v>-2.453365110458496E-4</v>
      </c>
      <c r="AL16" s="21">
        <v>-5.4617262224022532E-4</v>
      </c>
      <c r="AM16" s="21">
        <v>3.0083611119437572E-4</v>
      </c>
      <c r="AN16" s="21">
        <v>0</v>
      </c>
      <c r="AO16" s="21">
        <v>0.38336547359014411</v>
      </c>
      <c r="AP16" s="21">
        <v>0.38336547359014411</v>
      </c>
      <c r="AQ16" s="21">
        <v>0.52268639713667553</v>
      </c>
      <c r="AR16" s="22">
        <v>0</v>
      </c>
      <c r="AS16" s="25">
        <f t="array" ref="AS16:AZ16">[1]!unf_GrayModifiedGradient(diam_mm,theta,eps_m,L16,Qg_rc_m3day,Mul_rc_cP,Mug_rc_cP,sigma_l_Nm,rho_lrc_kgm3,rho_grc_kgm3)</f>
        <v>-2.3570145074731198E-4</v>
      </c>
      <c r="AT16" s="26">
        <v>-5.4930670628082641E-4</v>
      </c>
      <c r="AU16" s="26">
        <v>3.1360525553351444E-4</v>
      </c>
      <c r="AV16" s="26">
        <v>0</v>
      </c>
      <c r="AW16" s="26">
        <v>0.38336547359014411</v>
      </c>
      <c r="AX16" s="26">
        <v>0.38336547359014411</v>
      </c>
      <c r="AY16" s="26">
        <v>0.52588358221675513</v>
      </c>
      <c r="AZ16" s="27">
        <v>0</v>
      </c>
    </row>
    <row r="17" spans="2:52" x14ac:dyDescent="0.4">
      <c r="B17" t="s">
        <v>11</v>
      </c>
      <c r="C17">
        <f t="array" ref="C17:J17">[1]!unf_AnsariGradient(diam_mm,theta,eps_m,Ql_rc_m3day,Qg_rc_m3day,Mul_rc_cP,Mug_rc_cP,sigma_l_Nm,rho_lrc_kgm3,rho_grc_kgm3,p_atma)</f>
        <v>7.5287447858919004E-4</v>
      </c>
      <c r="D17">
        <v>5.7896068495585614E-4</v>
      </c>
      <c r="E17">
        <v>1.7391379363333392E-4</v>
      </c>
      <c r="F17">
        <v>0</v>
      </c>
      <c r="G17">
        <v>0.15334618943605766</v>
      </c>
      <c r="H17">
        <v>0.38336547359014411</v>
      </c>
      <c r="I17">
        <v>0.59579964592328649</v>
      </c>
      <c r="J17">
        <v>103</v>
      </c>
      <c r="L17" s="8">
        <v>120</v>
      </c>
      <c r="M17" s="2">
        <f t="array" ref="M17:T17">[1]!unf_AnsariGradient(diam_mm,theta,eps_m,L17,Qg_rc_m3day,Mul_rc_cP,Mug_rc_cP,sigma_l_Nm,rho_lrc_kgm3,rho_grc_kgm3,p_atma)</f>
        <v>1.1933268209415784E-3</v>
      </c>
      <c r="N17">
        <v>7.0270108454435906E-4</v>
      </c>
      <c r="O17">
        <v>4.9062573639721931E-4</v>
      </c>
      <c r="P17">
        <v>0</v>
      </c>
      <c r="Q17">
        <v>0.46003856830817291</v>
      </c>
      <c r="R17">
        <v>0.38336547359014411</v>
      </c>
      <c r="S17">
        <v>0.70985098357983445</v>
      </c>
      <c r="T17" s="3">
        <v>103</v>
      </c>
      <c r="U17" s="9">
        <f t="array" ref="U17:AB17">[1]!unf_BegsBrillGradient(diam_mm,theta,eps_m,L17,Qg_rc_m3day,Mul_rc_cP,Mug_rc_cP,sigma_l_Nm,rho_lrc_kgm3,rho_grc_kgm3,1,1)</f>
        <v>2.3048429327836208E-5</v>
      </c>
      <c r="V17" s="10">
        <v>-5.6849140845053128E-4</v>
      </c>
      <c r="W17" s="10">
        <v>5.9153983777836749E-4</v>
      </c>
      <c r="X17" s="10">
        <v>0</v>
      </c>
      <c r="Y17" s="10">
        <v>0.46003856830817291</v>
      </c>
      <c r="Z17" s="10">
        <v>0.38336547359014411</v>
      </c>
      <c r="AA17" s="10">
        <v>0.54545454545454541</v>
      </c>
      <c r="AB17" s="11">
        <v>1</v>
      </c>
      <c r="AC17" s="15">
        <f t="array" ref="AC17:AJ17">[1]!unf_UnifiedTUFFPGradient(diam_mm,theta,eps_m,L17,Qg_rc_m3day,Mul_rc_cP,Mug_rc_cP,sigma_l_Nm,rho_lrc_kgm3,rho_grc_kgm3,p_atma)</f>
        <v>-3.0170471667515149E-5</v>
      </c>
      <c r="AD17" s="16">
        <v>-4.9046488435335197E-4</v>
      </c>
      <c r="AE17" s="16">
        <v>4.6029441268583682E-4</v>
      </c>
      <c r="AF17" s="16">
        <v>-3.0625858928682681E-11</v>
      </c>
      <c r="AG17" s="16">
        <v>0.46003856830817291</v>
      </c>
      <c r="AH17" s="16">
        <v>0.38336547359014411</v>
      </c>
      <c r="AI17" s="16">
        <v>0.46598051437417332</v>
      </c>
      <c r="AJ17" s="17">
        <v>204</v>
      </c>
      <c r="AK17" s="20">
        <f t="array" ref="AK17:AR17">[1]!unf_HagedornandBrawnmodified(diam_mm,theta,eps_m,L17,Qg_rc_m3day,Mul_rc_cP,Mug_rc_cP,sigma_l_Nm,rho_lrc_kgm3,rho_grc_kgm3,p_atma)</f>
        <v>-1.892300484977402E-4</v>
      </c>
      <c r="AL17" s="21">
        <v>-5.8212980565869408E-4</v>
      </c>
      <c r="AM17" s="21">
        <v>3.9289975716095388E-4</v>
      </c>
      <c r="AN17" s="21">
        <v>0</v>
      </c>
      <c r="AO17" s="21">
        <v>0.46003856830817291</v>
      </c>
      <c r="AP17" s="21">
        <v>0.38336547359014411</v>
      </c>
      <c r="AQ17" s="21">
        <v>0.55936753550371232</v>
      </c>
      <c r="AR17" s="22">
        <v>0</v>
      </c>
      <c r="AS17" s="25">
        <f t="array" ref="AS17:AZ17">[1]!unf_GrayModifiedGradient(diam_mm,theta,eps_m,L17,Qg_rc_m3day,Mul_rc_cP,Mug_rc_cP,sigma_l_Nm,rho_lrc_kgm3,rho_grc_kgm3)</f>
        <v>-1.8738128954420673E-4</v>
      </c>
      <c r="AT17" s="26">
        <v>-5.8970691114479542E-4</v>
      </c>
      <c r="AU17" s="26">
        <v>4.0232562160058869E-4</v>
      </c>
      <c r="AV17" s="26">
        <v>0</v>
      </c>
      <c r="AW17" s="26">
        <v>0.46003856830817291</v>
      </c>
      <c r="AX17" s="26">
        <v>0.38336547359014411</v>
      </c>
      <c r="AY17" s="26">
        <v>0.56709719696030336</v>
      </c>
      <c r="AZ17" s="27">
        <v>0</v>
      </c>
    </row>
    <row r="18" spans="2:52" x14ac:dyDescent="0.4">
      <c r="B18" t="s">
        <v>12</v>
      </c>
      <c r="C18">
        <f t="array" ref="C18:J18">[1]!unf_BegsBrillGradient(diam_mm,theta,eps_m,Ql_rc_m3day,Qg_rc_m3day,Mul_rc_cP,Mug_rc_cP,sigma_l_Nm,rho_lrc_kgm3,rho_grc_kgm3,1,1)</f>
        <v>-1.9034798013162034E-4</v>
      </c>
      <c r="D18">
        <v>-3.4478876605922453E-4</v>
      </c>
      <c r="E18">
        <v>1.5444078592760418E-4</v>
      </c>
      <c r="F18">
        <v>0</v>
      </c>
      <c r="G18">
        <v>0.15334618943605766</v>
      </c>
      <c r="H18">
        <v>0.38336547359014411</v>
      </c>
      <c r="I18">
        <v>0.31724791750124026</v>
      </c>
      <c r="J18">
        <v>3</v>
      </c>
      <c r="L18" s="8">
        <v>140</v>
      </c>
      <c r="M18" s="2">
        <f t="array" ref="M18:T18">[1]!unf_AnsariGradient(diam_mm,theta,eps_m,L18,Qg_rc_m3day,Mul_rc_cP,Mug_rc_cP,sigma_l_Nm,rho_lrc_kgm3,rho_grc_kgm3,p_atma)</f>
        <v>1.3159350859752741E-3</v>
      </c>
      <c r="N18">
        <v>7.2317989393403965E-4</v>
      </c>
      <c r="O18">
        <v>5.9275519204123452E-4</v>
      </c>
      <c r="P18">
        <v>0</v>
      </c>
      <c r="Q18">
        <v>0.53671166302620177</v>
      </c>
      <c r="R18">
        <v>0.38336547359014411</v>
      </c>
      <c r="S18">
        <v>0.7288610248956835</v>
      </c>
      <c r="T18" s="3">
        <v>103</v>
      </c>
      <c r="U18" s="9">
        <f t="array" ref="U18:AB18">[1]!unf_BegsBrillGradient(diam_mm,theta,eps_m,L18,Qg_rc_m3day,Mul_rc_cP,Mug_rc_cP,sigma_l_Nm,rho_lrc_kgm3,rho_grc_kgm3,1,1)</f>
        <v>1.2634861243299568E-4</v>
      </c>
      <c r="V18" s="10">
        <v>-6.0562260404752554E-4</v>
      </c>
      <c r="W18" s="10">
        <v>7.3197121648052121E-4</v>
      </c>
      <c r="X18" s="10">
        <v>0</v>
      </c>
      <c r="Y18" s="10">
        <v>0.53671166302620177</v>
      </c>
      <c r="Z18" s="10">
        <v>0.38336547359014411</v>
      </c>
      <c r="AA18" s="10">
        <v>0.58333333333333337</v>
      </c>
      <c r="AB18" s="11">
        <v>1</v>
      </c>
      <c r="AC18" s="15">
        <f t="array" ref="AC18:AJ18">[1]!unf_UnifiedTUFFPGradient(diam_mm,theta,eps_m,L18,Qg_rc_m3day,Mul_rc_cP,Mug_rc_cP,sigma_l_Nm,rho_lrc_kgm3,rho_grc_kgm3,p_atma)</f>
        <v>-1.060331535151322E-5</v>
      </c>
      <c r="AD18" s="16">
        <v>-5.4721398463996912E-4</v>
      </c>
      <c r="AE18" s="16">
        <v>5.366106692884559E-4</v>
      </c>
      <c r="AF18" s="16">
        <v>-1.3532134266112398E-11</v>
      </c>
      <c r="AG18" s="16">
        <v>0.53671166302620177</v>
      </c>
      <c r="AH18" s="16">
        <v>0.38336547359014411</v>
      </c>
      <c r="AI18" s="16">
        <v>0.52388647538175681</v>
      </c>
      <c r="AJ18" s="17">
        <v>204</v>
      </c>
      <c r="AK18" s="20">
        <f t="array" ref="AK18:AR18">[1]!unf_HagedornandBrawnmodified(diam_mm,theta,eps_m,L18,Qg_rc_m3day,Mul_rc_cP,Mug_rc_cP,sigma_l_Nm,rho_lrc_kgm3,rho_grc_kgm3,p_atma)</f>
        <v>-1.1915192085334167E-4</v>
      </c>
      <c r="AL18" s="21">
        <v>-6.1283572611512955E-4</v>
      </c>
      <c r="AM18" s="21">
        <v>4.9368380526178788E-4</v>
      </c>
      <c r="AN18" s="21">
        <v>0</v>
      </c>
      <c r="AO18" s="21">
        <v>0.53671166302620177</v>
      </c>
      <c r="AP18" s="21">
        <v>0.38336547359014411</v>
      </c>
      <c r="AQ18" s="21">
        <v>0.59069168299995967</v>
      </c>
      <c r="AR18" s="22">
        <v>0</v>
      </c>
      <c r="AS18" s="25">
        <f t="array" ref="AS18:AZ18">[1]!unf_GrayModifiedGradient(diam_mm,theta,eps_m,L18,Qg_rc_m3day,Mul_rc_cP,Mug_rc_cP,sigma_l_Nm,rho_lrc_kgm3,rho_grc_kgm3)</f>
        <v>-1.2411187848679892E-4</v>
      </c>
      <c r="AT18" s="26">
        <v>-6.2367558573103189E-4</v>
      </c>
      <c r="AU18" s="26">
        <v>4.9956370724423297E-4</v>
      </c>
      <c r="AV18" s="26">
        <v>0</v>
      </c>
      <c r="AW18" s="26">
        <v>0.53671166302620177</v>
      </c>
      <c r="AX18" s="26">
        <v>0.38336547359014411</v>
      </c>
      <c r="AY18" s="26">
        <v>0.6017497902444201</v>
      </c>
      <c r="AZ18" s="27">
        <v>0</v>
      </c>
    </row>
    <row r="19" spans="2:52" x14ac:dyDescent="0.4">
      <c r="B19" t="s">
        <v>13</v>
      </c>
      <c r="C19">
        <f t="array" ref="C19:J19">[1]!unf_UnifiedTUFFPGradient(diam_mm,theta,eps_m,Ql_rc_m3day,Qg_rc_m3day,Mul_rc_cP,Mug_rc_cP,sigma_l_Nm,rho_lrc_kgm3,rho_grc_kgm3,p_atma)</f>
        <v>-2.5410382412434336E-5</v>
      </c>
      <c r="D19">
        <v>-2.3313033043177527E-4</v>
      </c>
      <c r="E19">
        <v>2.0771994801934093E-4</v>
      </c>
      <c r="F19">
        <v>-1.1612559009352492E-11</v>
      </c>
      <c r="G19">
        <v>0.15334618943605766</v>
      </c>
      <c r="H19">
        <v>0.38336547359014411</v>
      </c>
      <c r="I19">
        <v>0.20340005811977202</v>
      </c>
      <c r="J19">
        <v>204</v>
      </c>
      <c r="L19" s="8">
        <v>160</v>
      </c>
      <c r="M19" s="2">
        <f t="array" ref="M19:T19">[1]!unf_AnsariGradient(diam_mm,theta,eps_m,L19,Qg_rc_m3day,Mul_rc_cP,Mug_rc_cP,sigma_l_Nm,rho_lrc_kgm3,rho_grc_kgm3,p_atma)</f>
        <v>1.4449029526690158E-3</v>
      </c>
      <c r="N19">
        <v>7.4108969912499369E-4</v>
      </c>
      <c r="O19">
        <v>7.0381325354402211E-4</v>
      </c>
      <c r="P19">
        <v>0</v>
      </c>
      <c r="Q19">
        <v>0.61338475774423062</v>
      </c>
      <c r="R19">
        <v>0.38336547359014411</v>
      </c>
      <c r="S19">
        <v>0.745512118910302</v>
      </c>
      <c r="T19" s="3">
        <v>103</v>
      </c>
      <c r="U19" s="9">
        <f t="array" ref="U19:AB19">[1]!unf_BegsBrillGradient(diam_mm,theta,eps_m,L19,Qg_rc_m3day,Mul_rc_cP,Mug_rc_cP,sigma_l_Nm,rho_lrc_kgm3,rho_grc_kgm3,1,1)</f>
        <v>2.4805647317367458E-4</v>
      </c>
      <c r="V19" s="10">
        <v>-6.3704130801421285E-4</v>
      </c>
      <c r="W19" s="10">
        <v>8.8509778118788743E-4</v>
      </c>
      <c r="X19" s="10">
        <v>0</v>
      </c>
      <c r="Y19" s="10">
        <v>0.61338475774423062</v>
      </c>
      <c r="Z19" s="10">
        <v>0.38336547359014411</v>
      </c>
      <c r="AA19" s="10">
        <v>0.61538461538461542</v>
      </c>
      <c r="AB19" s="11">
        <v>1</v>
      </c>
      <c r="AC19" s="15">
        <f t="array" ref="AC19:AJ19">[1]!unf_UnifiedTUFFPGradient(diam_mm,theta,eps_m,L19,Qg_rc_m3day,Mul_rc_cP,Mug_rc_cP,sigma_l_Nm,rho_lrc_kgm3,rho_grc_kgm3,p_atma)</f>
        <v>-5.095011141677307E-7</v>
      </c>
      <c r="AD19" s="16">
        <v>-6.1354940812984569E-4</v>
      </c>
      <c r="AE19" s="16">
        <v>6.1303990701567796E-4</v>
      </c>
      <c r="AF19" s="16">
        <v>-8.8300080190075576E-13</v>
      </c>
      <c r="AG19" s="16">
        <v>0.61338475774423062</v>
      </c>
      <c r="AH19" s="16">
        <v>0.38336547359014411</v>
      </c>
      <c r="AI19" s="16">
        <v>0.59157418191147926</v>
      </c>
      <c r="AJ19" s="17">
        <v>204</v>
      </c>
      <c r="AK19" s="20">
        <f t="array" ref="AK19:AR19">[1]!unf_HagedornandBrawnmodified(diam_mm,theta,eps_m,L19,Qg_rc_m3day,Mul_rc_cP,Mug_rc_cP,sigma_l_Nm,rho_lrc_kgm3,rho_grc_kgm3,p_atma)</f>
        <v>-3.6660561910833609E-5</v>
      </c>
      <c r="AL19" s="21">
        <v>-6.3948566753972236E-4</v>
      </c>
      <c r="AM19" s="21">
        <v>6.0282510562888875E-4</v>
      </c>
      <c r="AN19" s="21">
        <v>0</v>
      </c>
      <c r="AO19" s="21">
        <v>0.61338475774423062</v>
      </c>
      <c r="AP19" s="21">
        <v>0.38336547359014411</v>
      </c>
      <c r="AQ19" s="21">
        <v>0.61787818917015125</v>
      </c>
      <c r="AR19" s="22">
        <v>0</v>
      </c>
      <c r="AS19" s="25">
        <f t="array" ref="AS19:AZ19">[1]!unf_GrayModifiedGradient(diam_mm,theta,eps_m,L19,Qg_rc_m3day,Mul_rc_cP,Mug_rc_cP,sigma_l_Nm,rho_lrc_kgm3,rho_grc_kgm3)</f>
        <v>-4.7482256118728822E-5</v>
      </c>
      <c r="AT19" s="26">
        <v>-6.5262043198438676E-4</v>
      </c>
      <c r="AU19" s="26">
        <v>6.0513817586565794E-4</v>
      </c>
      <c r="AV19" s="26">
        <v>0</v>
      </c>
      <c r="AW19" s="26">
        <v>0.61338475774423062</v>
      </c>
      <c r="AX19" s="26">
        <v>0.38336547359014411</v>
      </c>
      <c r="AY19" s="26">
        <v>0.63127740641155794</v>
      </c>
      <c r="AZ19" s="27">
        <v>0</v>
      </c>
    </row>
    <row r="20" spans="2:52" x14ac:dyDescent="0.4">
      <c r="B20" t="s">
        <v>22</v>
      </c>
      <c r="C20">
        <f t="array" ref="C20:J20">[1]!unf_HagedornandBrawnmodified(diam_mm,theta,eps_m,Ql_rc_m3day,Qg_rc_m3day,Mul_rc_cP,Mug_rc_cP,sigma_l_Nm,rho_lrc_kgm3,rho_grc_kgm3,p_atma)</f>
        <v>-2.9832431438296572E-4</v>
      </c>
      <c r="D20">
        <v>-3.8132669381371094E-4</v>
      </c>
      <c r="E20">
        <v>8.3002379430745249E-5</v>
      </c>
      <c r="F20">
        <v>0</v>
      </c>
      <c r="G20">
        <v>0.15334618943605766</v>
      </c>
      <c r="H20">
        <v>0.38336547359014411</v>
      </c>
      <c r="I20">
        <v>0.35452149279798356</v>
      </c>
      <c r="J20">
        <v>0</v>
      </c>
      <c r="L20" s="8">
        <v>180</v>
      </c>
      <c r="M20" s="2">
        <f t="array" ref="M20:T20">[1]!unf_AnsariGradient(diam_mm,theta,eps_m,L20,Qg_rc_m3day,Mul_rc_cP,Mug_rc_cP,sigma_l_Nm,rho_lrc_kgm3,rho_grc_kgm3,p_atma)</f>
        <v>1.5805891303838238E-3</v>
      </c>
      <c r="N20">
        <v>7.5689122347420712E-4</v>
      </c>
      <c r="O20">
        <v>8.236979069096166E-4</v>
      </c>
      <c r="P20">
        <v>0</v>
      </c>
      <c r="Q20">
        <v>0.69005785246225948</v>
      </c>
      <c r="R20">
        <v>0.38336547359014411</v>
      </c>
      <c r="S20">
        <v>0.76022160880319478</v>
      </c>
      <c r="T20" s="3">
        <v>103</v>
      </c>
      <c r="U20" s="9">
        <f t="array" ref="U20:AB20">[1]!unf_BegsBrillGradient(diam_mm,theta,eps_m,L20,Qg_rc_m3day,Mul_rc_cP,Mug_rc_cP,sigma_l_Nm,rho_lrc_kgm3,rho_grc_kgm3,1,1)</f>
        <v>3.8684509572470553E-4</v>
      </c>
      <c r="V20" s="10">
        <v>-6.6397162569994494E-4</v>
      </c>
      <c r="W20" s="10">
        <v>1.0508167214246505E-3</v>
      </c>
      <c r="X20" s="10">
        <v>0</v>
      </c>
      <c r="Y20" s="10">
        <v>0.69005785246225948</v>
      </c>
      <c r="Z20" s="10">
        <v>0.38336547359014411</v>
      </c>
      <c r="AA20" s="10">
        <v>0.6428571428571429</v>
      </c>
      <c r="AB20" s="11">
        <v>1</v>
      </c>
      <c r="AC20" s="15">
        <f t="array" ref="AC20:AJ20">[1]!unf_UnifiedTUFFPGradient(diam_mm,theta,eps_m,L20,Qg_rc_m3day,Mul_rc_cP,Mug_rc_cP,sigma_l_Nm,rho_lrc_kgm3,rho_grc_kgm3,p_atma)</f>
        <v>1.5784392501785871E-5</v>
      </c>
      <c r="AD20" s="16">
        <v>-6.9211776022491147E-4</v>
      </c>
      <c r="AE20" s="16">
        <v>7.0790215272669734E-4</v>
      </c>
      <c r="AF20" s="16">
        <v>4.2316989764274292E-11</v>
      </c>
      <c r="AG20" s="16">
        <v>0.69005785246225948</v>
      </c>
      <c r="AH20" s="16">
        <v>0.38336547359014411</v>
      </c>
      <c r="AI20" s="16">
        <v>0.67174419183003076</v>
      </c>
      <c r="AJ20" s="17">
        <v>204</v>
      </c>
      <c r="AK20" s="20">
        <f t="array" ref="AK20:AR20">[1]!unf_HagedornandBrawnmodified(diam_mm,theta,eps_m,L20,Qg_rc_m3day,Mul_rc_cP,Mug_rc_cP,sigma_l_Nm,rho_lrc_kgm3,rho_grc_kgm3,p_atma)</f>
        <v>5.4918264484469636E-5</v>
      </c>
      <c r="AL20" s="21">
        <v>-6.6397162569994494E-4</v>
      </c>
      <c r="AM20" s="21">
        <v>7.1888989018441458E-4</v>
      </c>
      <c r="AN20" s="21">
        <v>0</v>
      </c>
      <c r="AO20" s="21">
        <v>0.69005785246225948</v>
      </c>
      <c r="AP20" s="21">
        <v>0.38336547359014411</v>
      </c>
      <c r="AQ20" s="21">
        <v>0.6428571428571429</v>
      </c>
      <c r="AR20" s="22">
        <v>0</v>
      </c>
      <c r="AS20" s="25">
        <f t="array" ref="AS20:AZ20">[1]!unf_GrayModifiedGradient(diam_mm,theta,eps_m,L20,Qg_rc_m3day,Mul_rc_cP,Mug_rc_cP,sigma_l_Nm,rho_lrc_kgm3,rho_grc_kgm3)</f>
        <v>4.1317556041669981E-5</v>
      </c>
      <c r="AT20" s="26">
        <v>-6.7757233414274449E-4</v>
      </c>
      <c r="AU20" s="26">
        <v>7.1888989018441447E-4</v>
      </c>
      <c r="AV20" s="26">
        <v>0</v>
      </c>
      <c r="AW20" s="26">
        <v>0.69005785246225948</v>
      </c>
      <c r="AX20" s="26">
        <v>0.38336547359014411</v>
      </c>
      <c r="AY20" s="26">
        <v>0.65673168532266335</v>
      </c>
      <c r="AZ20" s="27">
        <v>0</v>
      </c>
    </row>
    <row r="21" spans="2:52" x14ac:dyDescent="0.4">
      <c r="B21" t="s">
        <v>23</v>
      </c>
      <c r="C21">
        <f t="array" ref="C21:J21">[1]!unf_GrayModifiedGradient(diam_mm,theta,eps_m,Ql_rc_m3day,Qg_rc_m3day,Mul_rc_cP,Mug_rc_cP,sigma_l_Nm,rho_lrc_kgm3,rho_grc_kgm3)</f>
        <v>-2.649260591953323E-4</v>
      </c>
      <c r="D21">
        <v>-3.6576483659093886E-4</v>
      </c>
      <c r="E21">
        <v>1.0083877739560655E-4</v>
      </c>
      <c r="F21">
        <v>0</v>
      </c>
      <c r="G21">
        <v>0.15334618943605766</v>
      </c>
      <c r="H21">
        <v>0.38336547359014411</v>
      </c>
      <c r="I21">
        <v>0.33864631616378205</v>
      </c>
      <c r="J21">
        <v>0</v>
      </c>
      <c r="L21" s="8">
        <v>200</v>
      </c>
      <c r="M21" s="2">
        <f t="array" ref="M21:T21">[1]!unf_AnsariGradient(diam_mm,theta,eps_m,L21,Qg_rc_m3day,Mul_rc_cP,Mug_rc_cP,sigma_l_Nm,rho_lrc_kgm3,rho_grc_kgm3,p_atma)</f>
        <v>1.7232576777957407E-3</v>
      </c>
      <c r="N21">
        <v>7.709399948732117E-4</v>
      </c>
      <c r="O21">
        <v>9.5231768292252891E-4</v>
      </c>
      <c r="P21">
        <v>0</v>
      </c>
      <c r="Q21">
        <v>0.76673094718028822</v>
      </c>
      <c r="R21">
        <v>0.38336547359014411</v>
      </c>
      <c r="S21">
        <v>0.77331297641481955</v>
      </c>
      <c r="T21" s="3">
        <v>103</v>
      </c>
      <c r="U21" s="9">
        <f t="array" ref="U21:AB21">[1]!unf_BegsBrillGradient(diam_mm,theta,eps_m,L21,Qg_rc_m3day,Mul_rc_cP,Mug_rc_cP,sigma_l_Nm,rho_lrc_kgm3,rho_grc_kgm3,1,1)</f>
        <v>5.4173232459141338E-4</v>
      </c>
      <c r="V21" s="10">
        <v>-6.8731123436091264E-4</v>
      </c>
      <c r="W21" s="10">
        <v>1.229043558952326E-3</v>
      </c>
      <c r="X21" s="10">
        <v>0</v>
      </c>
      <c r="Y21" s="10">
        <v>0.76673094718028822</v>
      </c>
      <c r="Z21" s="10">
        <v>0.38336547359014411</v>
      </c>
      <c r="AA21" s="10">
        <v>0.66666666666666663</v>
      </c>
      <c r="AB21" s="11">
        <v>1</v>
      </c>
      <c r="AC21" s="15">
        <f t="array" ref="AC21:AJ21">[1]!unf_UnifiedTUFFPGradient(diam_mm,theta,eps_m,L21,Qg_rc_m3day,Mul_rc_cP,Mug_rc_cP,sigma_l_Nm,rho_lrc_kgm3,rho_grc_kgm3,p_atma)</f>
        <v>-4.7330932050555329E-4</v>
      </c>
      <c r="AD21" s="16">
        <v>-7.8434605789159983E-4</v>
      </c>
      <c r="AE21" s="16">
        <v>3.1103673738604653E-4</v>
      </c>
      <c r="AF21" s="16">
        <v>0</v>
      </c>
      <c r="AG21" s="16">
        <v>0.76673094718028822</v>
      </c>
      <c r="AH21" s="16">
        <v>0.38336547359014411</v>
      </c>
      <c r="AI21" s="16">
        <v>0.7658526126069235</v>
      </c>
      <c r="AJ21" s="17">
        <v>203</v>
      </c>
      <c r="AK21" s="20">
        <f t="array" ref="AK21:AR21">[1]!unf_HagedornandBrawnmodified(diam_mm,theta,eps_m,L21,Qg_rc_m3day,Mul_rc_cP,Mug_rc_cP,sigma_l_Nm,rho_lrc_kgm3,rho_grc_kgm3,p_atma)</f>
        <v>1.5336638519805612E-4</v>
      </c>
      <c r="AL21" s="21">
        <v>-6.8731123436091264E-4</v>
      </c>
      <c r="AM21" s="21">
        <v>8.4067761955896876E-4</v>
      </c>
      <c r="AN21" s="21">
        <v>0</v>
      </c>
      <c r="AO21" s="21">
        <v>0.76673094718028822</v>
      </c>
      <c r="AP21" s="21">
        <v>0.38336547359014411</v>
      </c>
      <c r="AQ21" s="21">
        <v>0.66666666666666663</v>
      </c>
      <c r="AR21" s="22">
        <v>0</v>
      </c>
      <c r="AS21" s="25">
        <f t="array" ref="AS21:AZ21">[1]!unf_GrayModifiedGradient(diam_mm,theta,eps_m,L21,Qg_rc_m3day,Mul_rc_cP,Mug_rc_cP,sigma_l_Nm,rho_lrc_kgm3,rho_grc_kgm3)</f>
        <v>1.4137673495761085E-4</v>
      </c>
      <c r="AT21" s="26">
        <v>-6.9930088460135801E-4</v>
      </c>
      <c r="AU21" s="26">
        <v>8.4067761955896887E-4</v>
      </c>
      <c r="AV21" s="26">
        <v>0</v>
      </c>
      <c r="AW21" s="26">
        <v>0.76673094718028822</v>
      </c>
      <c r="AX21" s="26">
        <v>0.38336547359014411</v>
      </c>
      <c r="AY21" s="26">
        <v>0.67889771419683154</v>
      </c>
      <c r="AZ21" s="27">
        <v>0</v>
      </c>
    </row>
    <row r="22" spans="2:52" x14ac:dyDescent="0.4">
      <c r="L22" s="8">
        <v>220</v>
      </c>
      <c r="M22" s="2">
        <f t="array" ref="M22:T22">[1]!unf_AnsariGradient(diam_mm,theta,eps_m,L22,Qg_rc_m3day,Mul_rc_cP,Mug_rc_cP,sigma_l_Nm,rho_lrc_kgm3,rho_grc_kgm3,p_atma)</f>
        <v>1.8731052539716084E-3</v>
      </c>
      <c r="N22">
        <v>7.8351506984001304E-4</v>
      </c>
      <c r="O22">
        <v>1.0895901841315953E-3</v>
      </c>
      <c r="P22">
        <v>0</v>
      </c>
      <c r="Q22">
        <v>0.84340404189831708</v>
      </c>
      <c r="R22">
        <v>0.38336547359014411</v>
      </c>
      <c r="S22">
        <v>0.78504106249488848</v>
      </c>
      <c r="T22" s="3">
        <v>103</v>
      </c>
      <c r="U22" s="9">
        <f t="array" ref="U22:AB22">[1]!unf_BegsBrillGradient(diam_mm,theta,eps_m,L22,Qg_rc_m3day,Mul_rc_cP,Mug_rc_cP,sigma_l_Nm,rho_lrc_kgm3,rho_grc_kgm3,1,1)</f>
        <v>7.1197562227132767E-4</v>
      </c>
      <c r="V22" s="10">
        <v>-7.0773339193925958E-4</v>
      </c>
      <c r="W22" s="10">
        <v>1.4197090142105873E-3</v>
      </c>
      <c r="X22" s="10">
        <v>0</v>
      </c>
      <c r="Y22" s="10">
        <v>0.84340404189831708</v>
      </c>
      <c r="Z22" s="10">
        <v>0.38336547359014411</v>
      </c>
      <c r="AA22" s="10">
        <v>0.6875</v>
      </c>
      <c r="AB22" s="11">
        <v>1</v>
      </c>
      <c r="AC22" s="15">
        <f t="array" ref="AC22:AJ22">[1]!unf_UnifiedTUFFPGradient(diam_mm,theta,eps_m,L22,Qg_rc_m3day,Mul_rc_cP,Mug_rc_cP,sigma_l_Nm,rho_lrc_kgm3,rho_grc_kgm3,p_atma)</f>
        <v>-2.8893100465159798E-4</v>
      </c>
      <c r="AD22" s="16">
        <v>-7.9369651497235446E-4</v>
      </c>
      <c r="AE22" s="16">
        <v>5.0476551032075647E-4</v>
      </c>
      <c r="AF22" s="16">
        <v>0</v>
      </c>
      <c r="AG22" s="16">
        <v>0.84340404189831708</v>
      </c>
      <c r="AH22" s="16">
        <v>0.38336547359014411</v>
      </c>
      <c r="AI22" s="16">
        <v>0.775393683749666</v>
      </c>
      <c r="AJ22" s="17">
        <v>203</v>
      </c>
      <c r="AK22" s="20">
        <f t="array" ref="AK22:AR22">[1]!unf_HagedornandBrawnmodified(diam_mm,theta,eps_m,L22,Qg_rc_m3day,Mul_rc_cP,Mug_rc_cP,sigma_l_Nm,rho_lrc_kgm3,rho_grc_kgm3,p_atma)</f>
        <v>2.6264143769550471E-4</v>
      </c>
      <c r="AL22" s="21">
        <v>-7.0773339193925958E-4</v>
      </c>
      <c r="AM22" s="21">
        <v>9.7037482963476429E-4</v>
      </c>
      <c r="AN22" s="21">
        <v>0</v>
      </c>
      <c r="AO22" s="21">
        <v>0.84340404189831708</v>
      </c>
      <c r="AP22" s="21">
        <v>0.38336547359014411</v>
      </c>
      <c r="AQ22" s="21">
        <v>0.6875</v>
      </c>
      <c r="AR22" s="22">
        <v>0</v>
      </c>
      <c r="AS22" s="25">
        <f t="array" ref="AS22:AZ22">[1]!unf_GrayModifiedGradient(diam_mm,theta,eps_m,L22,Qg_rc_m3day,Mul_rc_cP,Mug_rc_cP,sigma_l_Nm,rho_lrc_kgm3,rho_grc_kgm3)</f>
        <v>2.519836933635905E-4</v>
      </c>
      <c r="AT22" s="26">
        <v>-7.1839113627117379E-4</v>
      </c>
      <c r="AU22" s="26">
        <v>9.7037482963476429E-4</v>
      </c>
      <c r="AV22" s="26">
        <v>0</v>
      </c>
      <c r="AW22" s="26">
        <v>0.84340404189831708</v>
      </c>
      <c r="AX22" s="26">
        <v>0.38336547359014411</v>
      </c>
      <c r="AY22" s="26">
        <v>0.69837232528670878</v>
      </c>
      <c r="AZ22" s="27">
        <v>0</v>
      </c>
    </row>
    <row r="23" spans="2:52" x14ac:dyDescent="0.4">
      <c r="L23" s="8">
        <v>240</v>
      </c>
      <c r="M23" s="2">
        <f t="array" ref="M23:T23">[1]!unf_AnsariGradient(diam_mm,theta,eps_m,L23,Qg_rc_m3day,Mul_rc_cP,Mug_rc_cP,sigma_l_Nm,rho_lrc_kgm3,rho_grc_kgm3,p_atma)</f>
        <v>2.0302795987937067E-3</v>
      </c>
      <c r="N23">
        <v>7.9483873844967269E-4</v>
      </c>
      <c r="O23">
        <v>1.2354408603440343E-3</v>
      </c>
      <c r="P23">
        <v>0</v>
      </c>
      <c r="Q23">
        <v>0.92007713661634583</v>
      </c>
      <c r="R23">
        <v>0.38336547359014411</v>
      </c>
      <c r="S23">
        <v>0.79560949905016254</v>
      </c>
      <c r="T23" s="3">
        <v>103</v>
      </c>
      <c r="U23" s="9">
        <f t="array" ref="U23:AB23">[1]!unf_BegsBrillGradient(diam_mm,theta,eps_m,L23,Qg_rc_m3day,Mul_rc_cP,Mug_rc_cP,sigma_l_Nm,rho_lrc_kgm3,rho_grc_kgm3,1,1)</f>
        <v>8.970036554147644E-4</v>
      </c>
      <c r="V23" s="10">
        <v>-7.2575294274368322E-4</v>
      </c>
      <c r="W23" s="10">
        <v>1.6227565981584476E-3</v>
      </c>
      <c r="X23" s="10">
        <v>0</v>
      </c>
      <c r="Y23" s="10">
        <v>0.92007713661634583</v>
      </c>
      <c r="Z23" s="10">
        <v>0.38336547359014411</v>
      </c>
      <c r="AA23" s="10">
        <v>0.70588235294117652</v>
      </c>
      <c r="AB23" s="11">
        <v>1</v>
      </c>
      <c r="AC23" s="15">
        <f t="array" ref="AC23:AJ23">[1]!unf_UnifiedTUFFPGradient(diam_mm,theta,eps_m,L23,Qg_rc_m3day,Mul_rc_cP,Mug_rc_cP,sigma_l_Nm,rho_lrc_kgm3,rho_grc_kgm3,p_atma)</f>
        <v>-7.7722680538061788E-5</v>
      </c>
      <c r="AD23" s="16">
        <v>-8.024179320059513E-4</v>
      </c>
      <c r="AE23" s="16">
        <v>7.2469525146788951E-4</v>
      </c>
      <c r="AF23" s="16">
        <v>0</v>
      </c>
      <c r="AG23" s="16">
        <v>0.92007713661634583</v>
      </c>
      <c r="AH23" s="16">
        <v>0.38336547359014411</v>
      </c>
      <c r="AI23" s="16">
        <v>0.78429289152789583</v>
      </c>
      <c r="AJ23" s="17">
        <v>203</v>
      </c>
      <c r="AK23" s="20">
        <f t="array" ref="AK23:AR23">[1]!unf_HagedornandBrawnmodified(diam_mm,theta,eps_m,L23,Qg_rc_m3day,Mul_rc_cP,Mug_rc_cP,sigma_l_Nm,rho_lrc_kgm3,rho_grc_kgm3,p_atma)</f>
        <v>3.8211428499630425E-4</v>
      </c>
      <c r="AL23" s="21">
        <v>-7.2575294274368322E-4</v>
      </c>
      <c r="AM23" s="21">
        <v>1.1078672277399875E-3</v>
      </c>
      <c r="AN23" s="21">
        <v>0</v>
      </c>
      <c r="AO23" s="21">
        <v>0.92007713661634583</v>
      </c>
      <c r="AP23" s="21">
        <v>0.38336547359014411</v>
      </c>
      <c r="AQ23" s="21">
        <v>0.70588235294117652</v>
      </c>
      <c r="AR23" s="22">
        <v>0</v>
      </c>
      <c r="AS23" s="25">
        <f t="array" ref="AS23:AZ23">[1]!unf_GrayModifiedGradient(diam_mm,theta,eps_m,L23,Qg_rc_m3day,Mul_rc_cP,Mug_rc_cP,sigma_l_Nm,rho_lrc_kgm3,rho_grc_kgm3)</f>
        <v>3.7257193907636467E-4</v>
      </c>
      <c r="AT23" s="26">
        <v>-7.352952886636228E-4</v>
      </c>
      <c r="AU23" s="26">
        <v>1.1078672277399875E-3</v>
      </c>
      <c r="AV23" s="26">
        <v>0</v>
      </c>
      <c r="AW23" s="26">
        <v>0.92007713661634583</v>
      </c>
      <c r="AX23" s="26">
        <v>0.38336547359014411</v>
      </c>
      <c r="AY23" s="26">
        <v>0.71561682260087878</v>
      </c>
      <c r="AZ23" s="27">
        <v>0</v>
      </c>
    </row>
    <row r="24" spans="2:52" x14ac:dyDescent="0.4">
      <c r="L24" s="8">
        <v>260</v>
      </c>
      <c r="M24" s="2">
        <f t="array" ref="M24:T24">[1]!unf_AnsariGradient(diam_mm,theta,eps_m,L24,Qg_rc_m3day,Mul_rc_cP,Mug_rc_cP,sigma_l_Nm,rho_lrc_kgm3,rho_grc_kgm3,p_atma)</f>
        <v>2.1948923665155561E-3</v>
      </c>
      <c r="N24">
        <v>8.0509038033062903E-4</v>
      </c>
      <c r="O24">
        <v>1.3898019861849273E-3</v>
      </c>
      <c r="P24">
        <v>0</v>
      </c>
      <c r="Q24">
        <v>0.99675023133437479</v>
      </c>
      <c r="R24">
        <v>0.38336547359014411</v>
      </c>
      <c r="S24">
        <v>0.80518304510955807</v>
      </c>
      <c r="T24" s="3">
        <v>103</v>
      </c>
      <c r="U24" s="9">
        <f t="array" ref="U24:AB24">[1]!unf_BegsBrillGradient(diam_mm,theta,eps_m,L24,Qg_rc_m3day,Mul_rc_cP,Mug_rc_cP,sigma_l_Nm,rho_lrc_kgm3,rho_grc_kgm3,1,1)</f>
        <v>1.0963704015879115E-3</v>
      </c>
      <c r="V24" s="10">
        <v>-7.4177032123650408E-4</v>
      </c>
      <c r="W24" s="10">
        <v>1.8381407228244156E-3</v>
      </c>
      <c r="X24" s="10">
        <v>0</v>
      </c>
      <c r="Y24" s="10">
        <v>0.99675023133437479</v>
      </c>
      <c r="Z24" s="10">
        <v>0.38336547359014411</v>
      </c>
      <c r="AA24" s="10">
        <v>0.72222222222222221</v>
      </c>
      <c r="AB24" s="11">
        <v>1</v>
      </c>
      <c r="AC24" s="15">
        <f t="array" ref="AC24:AJ24">[1]!unf_UnifiedTUFFPGradient(diam_mm,theta,eps_m,L24,Qg_rc_m3day,Mul_rc_cP,Mug_rc_cP,sigma_l_Nm,rho_lrc_kgm3,rho_grc_kgm3,p_atma)</f>
        <v>1.497557506533303E-4</v>
      </c>
      <c r="AD24" s="16">
        <v>-8.1054495534363131E-4</v>
      </c>
      <c r="AE24" s="16">
        <v>9.6030070599696161E-4</v>
      </c>
      <c r="AF24" s="16">
        <v>0</v>
      </c>
      <c r="AG24" s="16">
        <v>0.99675023133437479</v>
      </c>
      <c r="AH24" s="16">
        <v>0.38336547359014411</v>
      </c>
      <c r="AI24" s="16">
        <v>0.7925855885772376</v>
      </c>
      <c r="AJ24" s="17">
        <v>203</v>
      </c>
      <c r="AK24" s="20">
        <f t="array" ref="AK24:AR24">[1]!unf_HagedornandBrawnmodified(diam_mm,theta,eps_m,L24,Qg_rc_m3day,Mul_rc_cP,Mug_rc_cP,sigma_l_Nm,rho_lrc_kgm3,rho_grc_kgm3,p_atma)</f>
        <v>5.1128052856240285E-4</v>
      </c>
      <c r="AL24" s="21">
        <v>-7.4177032123650408E-4</v>
      </c>
      <c r="AM24" s="21">
        <v>1.2530508497989069E-3</v>
      </c>
      <c r="AN24" s="21">
        <v>0</v>
      </c>
      <c r="AO24" s="21">
        <v>0.99675023133437479</v>
      </c>
      <c r="AP24" s="21">
        <v>0.38336547359014411</v>
      </c>
      <c r="AQ24" s="21">
        <v>0.72222222222222221</v>
      </c>
      <c r="AR24" s="22">
        <v>0</v>
      </c>
      <c r="AS24" s="25">
        <f t="array" ref="AS24:AZ24">[1]!unf_GrayModifiedGradient(diam_mm,theta,eps_m,L24,Qg_rc_m3day,Mul_rc_cP,Mug_rc_cP,sigma_l_Nm,rho_lrc_kgm3,rho_grc_kgm3)</f>
        <v>5.026827194530186E-4</v>
      </c>
      <c r="AT24" s="26">
        <v>-7.5036813034588812E-4</v>
      </c>
      <c r="AU24" s="26">
        <v>1.2530508497989067E-3</v>
      </c>
      <c r="AV24" s="26">
        <v>0</v>
      </c>
      <c r="AW24" s="26">
        <v>0.99675023133437479</v>
      </c>
      <c r="AX24" s="26">
        <v>0.38336547359014411</v>
      </c>
      <c r="AY24" s="26">
        <v>0.7309931379506408</v>
      </c>
      <c r="AZ24" s="27">
        <v>0</v>
      </c>
    </row>
    <row r="25" spans="2:52" x14ac:dyDescent="0.4">
      <c r="L25" s="8">
        <v>280</v>
      </c>
      <c r="M25" s="2">
        <f t="array" ref="M25:T25">[1]!unf_AnsariGradient(diam_mm,theta,eps_m,L25,Qg_rc_m3day,Mul_rc_cP,Mug_rc_cP,sigma_l_Nm,rho_lrc_kgm3,rho_grc_kgm3,p_atma)</f>
        <v>2.2737166730549957E-3</v>
      </c>
      <c r="N25">
        <v>8.3095344765399129E-4</v>
      </c>
      <c r="O25">
        <v>1.4427632254010046E-3</v>
      </c>
      <c r="P25">
        <v>0</v>
      </c>
      <c r="Q25">
        <v>1.0734233260524035</v>
      </c>
      <c r="R25">
        <v>0.38336547359014411</v>
      </c>
      <c r="S25">
        <v>0.81340942347242839</v>
      </c>
      <c r="T25" s="3">
        <v>103</v>
      </c>
      <c r="U25" s="9">
        <f t="array" ref="U25:AB25">[1]!unf_BegsBrillGradient(diam_mm,theta,eps_m,L25,Qg_rc_m3day,Mul_rc_cP,Mug_rc_cP,sigma_l_Nm,rho_lrc_kgm3,rho_grc_kgm3,1,1)</f>
        <v>1.3097235359619921E-3</v>
      </c>
      <c r="V25" s="10">
        <v>-7.5610165988797555E-4</v>
      </c>
      <c r="W25" s="10">
        <v>2.0658251958499676E-3</v>
      </c>
      <c r="X25" s="10">
        <v>0</v>
      </c>
      <c r="Y25" s="10">
        <v>1.0734233260524035</v>
      </c>
      <c r="Z25" s="10">
        <v>0.38336547359014411</v>
      </c>
      <c r="AA25" s="10">
        <v>0.73684210526315785</v>
      </c>
      <c r="AB25" s="11">
        <v>1</v>
      </c>
      <c r="AC25" s="15">
        <f t="array" ref="AC25:AJ25">[1]!unf_UnifiedTUFFPGradient(diam_mm,theta,eps_m,L25,Qg_rc_m3day,Mul_rc_cP,Mug_rc_cP,sigma_l_Nm,rho_lrc_kgm3,rho_grc_kgm3,p_atma)</f>
        <v>3.8579253070731537E-4</v>
      </c>
      <c r="AD25" s="16">
        <v>-8.1811190921580209E-4</v>
      </c>
      <c r="AE25" s="16">
        <v>1.2039044399231175E-3</v>
      </c>
      <c r="AF25" s="16">
        <v>0</v>
      </c>
      <c r="AG25" s="16">
        <v>1.0734233260524035</v>
      </c>
      <c r="AH25" s="16">
        <v>0.38336547359014411</v>
      </c>
      <c r="AI25" s="16">
        <v>0.80030679884585842</v>
      </c>
      <c r="AJ25" s="17">
        <v>203</v>
      </c>
      <c r="AK25" s="20">
        <f t="array" ref="AK25:AR25">[1]!unf_HagedornandBrawnmodified(diam_mm,theta,eps_m,L25,Qg_rc_m3day,Mul_rc_cP,Mug_rc_cP,sigma_l_Nm,rho_lrc_kgm3,rho_grc_kgm3,p_atma)</f>
        <v>6.4972888428669489E-4</v>
      </c>
      <c r="AL25" s="21">
        <v>-7.5610165988797555E-4</v>
      </c>
      <c r="AM25" s="21">
        <v>1.4058305441746704E-3</v>
      </c>
      <c r="AN25" s="21">
        <v>0</v>
      </c>
      <c r="AO25" s="21">
        <v>1.0734233260524035</v>
      </c>
      <c r="AP25" s="21">
        <v>0.38336547359014411</v>
      </c>
      <c r="AQ25" s="21">
        <v>0.73684210526315785</v>
      </c>
      <c r="AR25" s="22">
        <v>0</v>
      </c>
      <c r="AS25" s="25">
        <f t="array" ref="AS25:AZ25">[1]!unf_GrayModifiedGradient(diam_mm,theta,eps_m,L25,Qg_rc_m3day,Mul_rc_cP,Mug_rc_cP,sigma_l_Nm,rho_lrc_kgm3,rho_grc_kgm3)</f>
        <v>6.41938739725143E-4</v>
      </c>
      <c r="AT25" s="26">
        <v>-7.6389180444952766E-4</v>
      </c>
      <c r="AU25" s="26">
        <v>1.4058305441746707E-3</v>
      </c>
      <c r="AV25" s="26">
        <v>0</v>
      </c>
      <c r="AW25" s="26">
        <v>1.0734233260524035</v>
      </c>
      <c r="AX25" s="26">
        <v>0.38336547359014411</v>
      </c>
      <c r="AY25" s="26">
        <v>0.74478909508257574</v>
      </c>
      <c r="AZ25" s="27">
        <v>0</v>
      </c>
    </row>
    <row r="26" spans="2:52" x14ac:dyDescent="0.4">
      <c r="L26" s="8">
        <v>300</v>
      </c>
      <c r="M26" s="4">
        <f t="array" ref="M26:T26">[1]!unf_AnsariGradient(diam_mm,theta,eps_m,L26,Qg_rc_m3day,Mul_rc_cP,Mug_rc_cP,sigma_l_Nm,rho_lrc_kgm3,rho_grc_kgm3,p_atma)</f>
        <v>2.4376609282981123E-3</v>
      </c>
      <c r="N26" s="5">
        <v>8.3882411862064841E-4</v>
      </c>
      <c r="O26" s="5">
        <v>1.5988368096774637E-3</v>
      </c>
      <c r="P26" s="5">
        <v>0</v>
      </c>
      <c r="Q26" s="5">
        <v>1.1500964207704323</v>
      </c>
      <c r="R26" s="5">
        <v>0.38336547359014411</v>
      </c>
      <c r="S26" s="5">
        <v>0.82144053568370456</v>
      </c>
      <c r="T26" s="6">
        <v>103</v>
      </c>
      <c r="U26" s="12">
        <f t="array" ref="U26:AB26">[1]!unf_BegsBrillGradient(diam_mm,theta,eps_m,L26,Qg_rc_m3day,Mul_rc_cP,Mug_rc_cP,sigma_l_Nm,rho_lrc_kgm3,rho_grc_kgm3,1,1)</f>
        <v>1.5367821410784909E-3</v>
      </c>
      <c r="V26" s="13">
        <v>-7.6899986467429985E-4</v>
      </c>
      <c r="W26" s="13">
        <v>2.3057820057527907E-3</v>
      </c>
      <c r="X26" s="13">
        <v>0</v>
      </c>
      <c r="Y26" s="13">
        <v>1.1500964207704323</v>
      </c>
      <c r="Z26" s="13">
        <v>0.38336547359014411</v>
      </c>
      <c r="AA26" s="13">
        <v>0.75</v>
      </c>
      <c r="AB26" s="14">
        <v>2</v>
      </c>
      <c r="AC26" s="15">
        <f t="array" ref="AC26:AJ26">[1]!unf_UnifiedTUFFPGradient(diam_mm,theta,eps_m,L26,Qg_rc_m3day,Mul_rc_cP,Mug_rc_cP,sigma_l_Nm,rho_lrc_kgm3,rho_grc_kgm3,p_atma)</f>
        <v>6.2513717804119778E-4</v>
      </c>
      <c r="AD26" s="18">
        <v>-8.2515427506622016E-4</v>
      </c>
      <c r="AE26" s="18">
        <v>1.4502914531074179E-3</v>
      </c>
      <c r="AF26" s="18">
        <v>0</v>
      </c>
      <c r="AG26" s="18">
        <v>1.1500964207704323</v>
      </c>
      <c r="AH26" s="18">
        <v>0.38336547359014411</v>
      </c>
      <c r="AI26" s="18">
        <v>0.80749272708570419</v>
      </c>
      <c r="AJ26" s="19">
        <v>203</v>
      </c>
      <c r="AK26" s="20">
        <f t="array" ref="AK26:AR26">[1]!unf_HagedornandBrawnmodified(diam_mm,theta,eps_m,L26,Qg_rc_m3day,Mul_rc_cP,Mug_rc_cP,sigma_l_Nm,rho_lrc_kgm3,rho_grc_kgm3,p_atma)</f>
        <v>7.9711888765718114E-4</v>
      </c>
      <c r="AL26" s="23">
        <v>-7.6899986467429985E-4</v>
      </c>
      <c r="AM26" s="23">
        <v>1.566118752331481E-3</v>
      </c>
      <c r="AN26" s="23">
        <v>0</v>
      </c>
      <c r="AO26" s="23">
        <v>1.1500964207704323</v>
      </c>
      <c r="AP26" s="23">
        <v>0.38336547359014411</v>
      </c>
      <c r="AQ26" s="23">
        <v>0.75</v>
      </c>
      <c r="AR26" s="24">
        <v>0</v>
      </c>
      <c r="AS26" s="28">
        <f t="array" ref="AS26:AZ26">[1]!unf_GrayModifiedGradient(diam_mm,theta,eps_m,L26,Qg_rc_m3day,Mul_rc_cP,Mug_rc_cP,sigma_l_Nm,rho_lrc_kgm3,rho_grc_kgm3)</f>
        <v>7.9002532195594549E-4</v>
      </c>
      <c r="AT26" s="29">
        <v>-7.7609343037553528E-4</v>
      </c>
      <c r="AU26" s="29">
        <v>1.5661187523314808E-3</v>
      </c>
      <c r="AV26" s="29">
        <v>0</v>
      </c>
      <c r="AW26" s="29">
        <v>1.1500964207704323</v>
      </c>
      <c r="AX26" s="29">
        <v>0.38336547359014411</v>
      </c>
      <c r="AY26" s="29">
        <v>0.75723638617559341</v>
      </c>
      <c r="AZ26" s="30">
        <v>0</v>
      </c>
    </row>
  </sheetData>
  <mergeCells count="5">
    <mergeCell ref="M3:T3"/>
    <mergeCell ref="U3:AB3"/>
    <mergeCell ref="AC3:AJ3"/>
    <mergeCell ref="AK3:AR3"/>
    <mergeCell ref="AS3:AZ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diam_mm</vt:lpstr>
      <vt:lpstr>eps_m</vt:lpstr>
      <vt:lpstr>Mug_rc_cP</vt:lpstr>
      <vt:lpstr>Mul_rc_cP</vt:lpstr>
      <vt:lpstr>p_atma</vt:lpstr>
      <vt:lpstr>Qg_rc_m3day</vt:lpstr>
      <vt:lpstr>Ql_rc_m3day</vt:lpstr>
      <vt:lpstr>rho_grc_kgm3</vt:lpstr>
      <vt:lpstr>rho_lrc_kgm3</vt:lpstr>
      <vt:lpstr>sigma_l_Nm</vt:lpstr>
      <vt:lpstr>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2021-08-13T06:02:51Z</dcterms:created>
  <dcterms:modified xsi:type="dcterms:W3CDTF">2025-04-03T05:48:51Z</dcterms:modified>
</cp:coreProperties>
</file>