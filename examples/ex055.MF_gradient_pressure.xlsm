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EBFA475C-A77D-407D-90C1-878F728A0AAB}" xr6:coauthVersionLast="47" xr6:coauthVersionMax="47" xr10:uidLastSave="{00000000-0000-0000-0000-000000000000}"/>
  <bookViews>
    <workbookView xWindow="13950" yWindow="765" windowWidth="17280" windowHeight="9105" xr2:uid="{ADD5F99D-A288-4457-BA12-F5FEC0312DAC}"/>
  </bookViews>
  <sheets>
    <sheet name="Лист1" sheetId="1" r:id="rId1"/>
  </sheets>
  <externalReferences>
    <externalReference r:id="rId2"/>
  </externalReferences>
  <definedNames>
    <definedName name="diam_mm">Лист1!$C$4</definedName>
    <definedName name="eps_m">Лист1!$C$6</definedName>
    <definedName name="Mug_rc_cP">Лист1!$C$10</definedName>
    <definedName name="Mul_rc_cP">Лист1!$C$9</definedName>
    <definedName name="p_atma">Лист1!$C$14</definedName>
    <definedName name="Qg_rc_m3day">Лист1!$C$8</definedName>
    <definedName name="Ql_rc_m3day">Лист1!$C$7</definedName>
    <definedName name="rho_grc_kgm3">Лист1!$C$13</definedName>
    <definedName name="rho_lrc_kgm3">Лист1!$C$12</definedName>
    <definedName name="sigma_l_Nm">Лист1!$C$11</definedName>
    <definedName name="theta">Лист1!$C$5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M5" i="1" a="1"/>
  <c r="AC13" i="1" a="1"/>
  <c r="AS10" i="1" a="1"/>
  <c r="AC23" i="1" a="1"/>
  <c r="AS15" i="1" a="1"/>
  <c r="AC16" i="1" a="1"/>
  <c r="M19" i="1" a="1"/>
  <c r="AS6" i="1" a="1"/>
  <c r="AC9" i="1" a="1"/>
  <c r="M7" i="1" a="1"/>
  <c r="AS25" i="1" a="1"/>
  <c r="M24" i="1" a="1"/>
  <c r="AC6" i="1" a="1"/>
  <c r="AS17" i="1" a="1"/>
  <c r="C18" i="1" a="1"/>
  <c r="AS18" i="1" a="1"/>
  <c r="M8" i="1" a="1"/>
  <c r="AS26" i="1" a="1"/>
  <c r="AC22" i="1" a="1"/>
  <c r="AS9" i="1" a="1"/>
  <c r="AC20" i="1" a="1"/>
  <c r="AC12" i="1" a="1"/>
  <c r="AS7" i="1" a="1"/>
  <c r="C17" i="1" a="1"/>
  <c r="AC17" i="1" a="1"/>
  <c r="U20" i="1" a="1"/>
  <c r="AS5" i="1" a="1"/>
  <c r="U22" i="1" a="1"/>
  <c r="AS23" i="1" a="1"/>
  <c r="AC15" i="1" a="1"/>
  <c r="AK26" i="1" a="1"/>
  <c r="AS16" i="1" a="1"/>
  <c r="AC18" i="1" a="1"/>
  <c r="U26" i="1" a="1"/>
  <c r="AS12" i="1" a="1"/>
  <c r="AC21" i="1" a="1"/>
  <c r="AS19" i="1" a="1"/>
  <c r="AK20" i="1" a="1"/>
  <c r="AS13" i="1" a="1"/>
  <c r="AC5" i="1" a="1"/>
  <c r="AK14" i="1" a="1"/>
  <c r="U17" i="1" a="1"/>
  <c r="AK22" i="1" a="1"/>
  <c r="U10" i="1" a="1"/>
  <c r="M25" i="1" a="1"/>
  <c r="AK11" i="1" a="1"/>
  <c r="U16" i="1" a="1"/>
  <c r="AK16" i="1" a="1"/>
  <c r="U9" i="1" a="1"/>
  <c r="U13" i="1" a="1"/>
  <c r="AK18" i="1" a="1"/>
  <c r="M14" i="1" a="1"/>
  <c r="U5" i="1" a="1"/>
  <c r="U18" i="1" a="1"/>
  <c r="AK8" i="1" a="1"/>
  <c r="U15" i="1" a="1"/>
  <c r="AK10" i="1" a="1"/>
  <c r="U21" i="1" a="1"/>
  <c r="U23" i="1" a="1"/>
  <c r="AC7" i="1" a="1"/>
  <c r="U8" i="1" a="1"/>
  <c r="AK15" i="1" a="1"/>
  <c r="U6" i="1" a="1"/>
  <c r="AK21" i="1" a="1"/>
  <c r="U19" i="1" a="1"/>
  <c r="AK12" i="1" a="1"/>
  <c r="U11" i="1" a="1"/>
  <c r="M13" i="1" a="1"/>
  <c r="AK19" i="1" a="1"/>
  <c r="M26" i="1" a="1"/>
  <c r="M10" i="1" a="1"/>
  <c r="M11" i="1" a="1"/>
  <c r="AK6" i="1" a="1"/>
  <c r="U25" i="1" a="1"/>
  <c r="AK13" i="1" a="1"/>
  <c r="C19" i="1" a="1"/>
  <c r="M16" i="1" a="1"/>
  <c r="AK9" i="1" a="1"/>
  <c r="AK23" i="1" a="1"/>
  <c r="M12" i="1" a="1"/>
  <c r="AK7" i="1" a="1"/>
  <c r="M22" i="1" a="1"/>
  <c r="C20" i="1" a="1"/>
  <c r="M20" i="1" a="1"/>
  <c r="AS20" i="1" a="1"/>
  <c r="AC26" i="1" a="1"/>
  <c r="M15" i="1" a="1"/>
  <c r="AC10" i="1" a="1"/>
  <c r="M21" i="1" a="1"/>
  <c r="AK24" i="1" a="1"/>
  <c r="M18" i="1" a="1"/>
  <c r="AK5" i="1" a="1"/>
  <c r="AS14" i="1" a="1"/>
  <c r="AC25" i="1" a="1"/>
  <c r="M9" i="1" a="1"/>
  <c r="AS11" i="1" a="1"/>
  <c r="AC8" i="1" a="1"/>
  <c r="M23" i="1" a="1"/>
  <c r="AS21" i="1" a="1"/>
  <c r="M6" i="1" a="1"/>
  <c r="AC14" i="1" a="1"/>
  <c r="C21" i="1" a="1"/>
  <c r="U14" i="1" a="1"/>
  <c r="AK17" i="1" a="1"/>
  <c r="AK25" i="1" a="1"/>
  <c r="AS8" i="1" a="1"/>
  <c r="AC19" i="1" a="1"/>
  <c r="AS22" i="1" a="1"/>
  <c r="AC24" i="1" a="1"/>
  <c r="M17" i="1" a="1"/>
  <c r="AC11" i="1" a="1"/>
  <c r="AS24" i="1" a="1"/>
  <c r="U12" i="1" a="1"/>
  <c r="U7" i="1" a="1"/>
  <c r="U24" i="1" a="1"/>
  <c r="M5" i="1" l="1"/>
  <c r="AS19" i="1"/>
  <c r="AS13" i="1"/>
  <c r="AS7" i="1"/>
  <c r="AS24" i="1"/>
  <c r="AS18" i="1"/>
  <c r="AS12" i="1"/>
  <c r="AS6" i="1"/>
  <c r="AS25" i="1"/>
  <c r="AS17" i="1"/>
  <c r="AS16" i="1"/>
  <c r="AS21" i="1"/>
  <c r="AS15" i="1"/>
  <c r="AS9" i="1"/>
  <c r="AS23" i="1"/>
  <c r="AS11" i="1"/>
  <c r="AS22" i="1"/>
  <c r="AS10" i="1"/>
  <c r="AS26" i="1"/>
  <c r="AS20" i="1"/>
  <c r="AS14" i="1"/>
  <c r="AS8" i="1"/>
  <c r="AS5" i="1"/>
  <c r="C21" i="1"/>
  <c r="AK25" i="1"/>
  <c r="AK19" i="1"/>
  <c r="AK13" i="1"/>
  <c r="AK7" i="1"/>
  <c r="AK24" i="1"/>
  <c r="AK18" i="1"/>
  <c r="AK12" i="1"/>
  <c r="AK6" i="1"/>
  <c r="AK23" i="1"/>
  <c r="AK11" i="1"/>
  <c r="AK16" i="1"/>
  <c r="AK21" i="1"/>
  <c r="AK9" i="1"/>
  <c r="AK17" i="1"/>
  <c r="AK22" i="1"/>
  <c r="AK10" i="1"/>
  <c r="AK15" i="1"/>
  <c r="AK26" i="1"/>
  <c r="AK20" i="1"/>
  <c r="AK14" i="1"/>
  <c r="AK8" i="1"/>
  <c r="AK5" i="1"/>
  <c r="C20" i="1"/>
  <c r="AC6" i="1"/>
  <c r="AC17" i="1"/>
  <c r="AC10" i="1"/>
  <c r="AC21" i="1"/>
  <c r="AC9" i="1"/>
  <c r="AC12" i="1"/>
  <c r="AC15" i="1"/>
  <c r="AC18" i="1"/>
  <c r="AC11" i="1"/>
  <c r="AC16" i="1"/>
  <c r="AC20" i="1"/>
  <c r="AC14" i="1"/>
  <c r="AC8" i="1"/>
  <c r="AC24" i="1"/>
  <c r="AC23" i="1"/>
  <c r="AC22" i="1"/>
  <c r="AC26" i="1"/>
  <c r="AC25" i="1"/>
  <c r="AC19" i="1"/>
  <c r="AC13" i="1"/>
  <c r="AC7" i="1"/>
  <c r="AC5" i="1"/>
  <c r="U25" i="1"/>
  <c r="U24" i="1"/>
  <c r="U23" i="1"/>
  <c r="U11" i="1"/>
  <c r="U13" i="1"/>
  <c r="U6" i="1"/>
  <c r="U16" i="1"/>
  <c r="U9" i="1"/>
  <c r="U19" i="1"/>
  <c r="U12" i="1"/>
  <c r="U22" i="1"/>
  <c r="U10" i="1"/>
  <c r="U21" i="1"/>
  <c r="U15" i="1"/>
  <c r="U7" i="1"/>
  <c r="U18" i="1"/>
  <c r="U17" i="1"/>
  <c r="U26" i="1"/>
  <c r="U20" i="1"/>
  <c r="U14" i="1"/>
  <c r="U8" i="1"/>
  <c r="U5" i="1"/>
  <c r="M26" i="1"/>
  <c r="M7" i="1"/>
  <c r="M24" i="1"/>
  <c r="M18" i="1"/>
  <c r="M12" i="1"/>
  <c r="M6" i="1"/>
  <c r="M19" i="1"/>
  <c r="M10" i="1"/>
  <c r="M25" i="1"/>
  <c r="M23" i="1"/>
  <c r="M17" i="1"/>
  <c r="M22" i="1"/>
  <c r="M21" i="1"/>
  <c r="M15" i="1"/>
  <c r="M9" i="1"/>
  <c r="M13" i="1"/>
  <c r="M11" i="1"/>
  <c r="M16" i="1"/>
  <c r="M20" i="1"/>
  <c r="M14" i="1"/>
  <c r="M8" i="1"/>
  <c r="C19" i="1"/>
  <c r="C18" i="1"/>
  <c r="C1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<sst xmlns="http://schemas.openxmlformats.org/spreadsheetml/2006/main" count="71" uniqueCount="28">
  <si>
    <t>theta</t>
  </si>
  <si>
    <t>eps_m</t>
  </si>
  <si>
    <t>Ql_rc_m3day</t>
  </si>
  <si>
    <t>Qg_rc_m3day</t>
  </si>
  <si>
    <t>Mul_rc_cP</t>
  </si>
  <si>
    <t>Mug_rc_cP</t>
  </si>
  <si>
    <t>sigma_l_Nm</t>
  </si>
  <si>
    <t>rho_lrc_kgm3</t>
  </si>
  <si>
    <t>rho_grc_kgm3</t>
  </si>
  <si>
    <t>p_atma</t>
  </si>
  <si>
    <t>diam_m</t>
  </si>
  <si>
    <t>Ansari</t>
  </si>
  <si>
    <t>Beggs Brill</t>
  </si>
  <si>
    <t>TUFFP</t>
  </si>
  <si>
    <t>dPdL</t>
  </si>
  <si>
    <t>dPdL_g</t>
  </si>
  <si>
    <t>dPdL_f</t>
  </si>
  <si>
    <t>dPdL_a</t>
  </si>
  <si>
    <t>vsl</t>
  </si>
  <si>
    <t>vsg</t>
  </si>
  <si>
    <t>Hl</t>
  </si>
  <si>
    <t>fpat</t>
  </si>
  <si>
    <t>HB</t>
  </si>
  <si>
    <t>gray</t>
  </si>
  <si>
    <t>Проверка расчета градиента давления для разных гидравлических корреляций</t>
  </si>
  <si>
    <t>Ql</t>
  </si>
  <si>
    <t>Hagedorn Brown</t>
  </si>
  <si>
    <t>Gray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</si>
</sst>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11" fontId="0" fillId="0" borderId="0" xfId="0" applyNumberFormat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dP/dL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Лист1!$M$5:$M$26</c:f>
              <c:numCache>
                <c:formatCode>General</c:formatCode>
                <c:ptCount val="22"/>
                <c:pt idx="0">
                  <c:v>3.7219135868588244E-4</c:v>
                </c:pt>
                <c:pt idx="1">
                  <c:v>3.9949386404309072E-4</c:v>
                </c:pt>
                <c:pt idx="2">
                  <c:v>5.9537320434358888E-4</c:v>
                </c:pt>
                <c:pt idx="3">
                  <c:v>6.4851282591091124E-4</c:v>
                </c:pt>
                <c:pt idx="4">
                  <c:v>7.0083865667272364E-4</c:v>
                </c:pt>
                <c:pt idx="5">
                  <c:v>7.5287447858919036E-4</c:v>
                </c:pt>
                <c:pt idx="6">
                  <c:v>8.0502389233321229E-4</c:v>
                </c:pt>
                <c:pt idx="7">
                  <c:v>8.5760328560914676E-4</c:v>
                </c:pt>
                <c:pt idx="8">
                  <c:v>9.1086430729432589E-4</c:v>
                </c:pt>
                <c:pt idx="9">
                  <c:v>9.6500961332527248E-4</c:v>
                </c:pt>
                <c:pt idx="10">
                  <c:v>1.02020416080055E-3</c:v>
                </c:pt>
                <c:pt idx="11">
                  <c:v>1.0765834755420561E-3</c:v>
                </c:pt>
                <c:pt idx="12">
                  <c:v>1.1933268209415784E-3</c:v>
                </c:pt>
                <c:pt idx="13">
                  <c:v>1.3159350859752747E-3</c:v>
                </c:pt>
                <c:pt idx="14">
                  <c:v>1.4449029526690158E-3</c:v>
                </c:pt>
                <c:pt idx="15">
                  <c:v>1.580589130383823E-3</c:v>
                </c:pt>
                <c:pt idx="16">
                  <c:v>1.7232576777957403E-3</c:v>
                </c:pt>
                <c:pt idx="17">
                  <c:v>1.8731052539716084E-3</c:v>
                </c:pt>
                <c:pt idx="18">
                  <c:v>2.0302795987937076E-3</c:v>
                </c:pt>
                <c:pt idx="19">
                  <c:v>2.1948923665155566E-3</c:v>
                </c:pt>
                <c:pt idx="20">
                  <c:v>2.2737166730549957E-3</c:v>
                </c:pt>
                <c:pt idx="21">
                  <c:v>2.4376609282981123E-3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FD-445A-86BA-201E14B8449D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Лист1!$U$5:$U$26</c:f>
              <c:numCache>
                <c:formatCode>General</c:formatCode>
                <c:ptCount val="22"/>
                <c:pt idx="0">
                  <c:v>-1.0052317023733404E-4</c:v>
                </c:pt>
                <c:pt idx="1">
                  <c:v>-1.7973956735003538E-4</c:v>
                </c:pt>
                <c:pt idx="2">
                  <c:v>-2.2537649030900269E-4</c:v>
                </c:pt>
                <c:pt idx="3">
                  <c:v>-2.4725381948238631E-4</c:v>
                </c:pt>
                <c:pt idx="4">
                  <c:v>-2.3106798619308623E-4</c:v>
                </c:pt>
                <c:pt idx="5">
                  <c:v>-1.903479801316204E-4</c:v>
                </c:pt>
                <c:pt idx="6">
                  <c:v>-1.5845226876703221E-4</c:v>
                </c:pt>
                <c:pt idx="7">
                  <c:v>-1.5357697238421118E-4</c:v>
                </c:pt>
                <c:pt idx="8">
                  <c:v>-1.4054179806846558E-4</c:v>
                </c:pt>
                <c:pt idx="9">
                  <c:v>-1.2018218057324324E-4</c:v>
                </c:pt>
                <c:pt idx="10">
                  <c:v>-9.3159500654952764E-5</c:v>
                </c:pt>
                <c:pt idx="11">
                  <c:v>-6.0004969516669153E-5</c:v>
                </c:pt>
                <c:pt idx="12">
                  <c:v>2.3048429327836208E-5</c:v>
                </c:pt>
                <c:pt idx="13">
                  <c:v>1.2634861243299568E-4</c:v>
                </c:pt>
                <c:pt idx="14">
                  <c:v>2.4805647317367448E-4</c:v>
                </c:pt>
                <c:pt idx="15">
                  <c:v>3.8684509572470542E-4</c:v>
                </c:pt>
                <c:pt idx="16">
                  <c:v>5.4173232459141317E-4</c:v>
                </c:pt>
                <c:pt idx="17">
                  <c:v>7.1197562227132778E-4</c:v>
                </c:pt>
                <c:pt idx="18">
                  <c:v>8.970036554147644E-4</c:v>
                </c:pt>
                <c:pt idx="19">
                  <c:v>1.0963704015879104E-3</c:v>
                </c:pt>
                <c:pt idx="20">
                  <c:v>1.3097235359619921E-3</c:v>
                </c:pt>
                <c:pt idx="21">
                  <c:v>1.5367821410784913E-3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D-445A-86BA-201E14B8449D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Лист1!$AC$5:$AC$26</c:f>
              <c:numCache>
                <c:formatCode>General</c:formatCode>
                <c:ptCount val="22"/>
                <c:pt idx="0">
                  <c:v>-3.1525946121984164E-5</c:v>
                </c:pt>
                <c:pt idx="1">
                  <c:v>-2.7658822291167684E-5</c:v>
                </c:pt>
                <c:pt idx="2">
                  <c:v>-2.7453763447374691E-5</c:v>
                </c:pt>
                <c:pt idx="3">
                  <c:v>-2.7138691894150788E-5</c:v>
                </c:pt>
                <c:pt idx="4">
                  <c:v>-2.6854777647654235E-5</c:v>
                </c:pt>
                <c:pt idx="5">
                  <c:v>-2.5410382412434173E-5</c:v>
                </c:pt>
                <c:pt idx="6">
                  <c:v>-3.1035212758450862E-5</c:v>
                </c:pt>
                <c:pt idx="7">
                  <c:v>-3.5115952275589226E-5</c:v>
                </c:pt>
                <c:pt idx="8">
                  <c:v>-3.8508978071619766E-5</c:v>
                </c:pt>
                <c:pt idx="9">
                  <c:v>-4.0676507357329395E-5</c:v>
                </c:pt>
                <c:pt idx="10">
                  <c:v>-4.1166842732472651E-5</c:v>
                </c:pt>
                <c:pt idx="11">
                  <c:v>-3.965096201871129E-5</c:v>
                </c:pt>
                <c:pt idx="12">
                  <c:v>-3.0170471667514986E-5</c:v>
                </c:pt>
                <c:pt idx="13">
                  <c:v>-1.060331535151322E-5</c:v>
                </c:pt>
                <c:pt idx="14">
                  <c:v>-5.0950111416783912E-7</c:v>
                </c:pt>
                <c:pt idx="15">
                  <c:v>1.5784392501786088E-5</c:v>
                </c:pt>
                <c:pt idx="16">
                  <c:v>-4.7330932050555866E-4</c:v>
                </c:pt>
                <c:pt idx="17">
                  <c:v>-2.8893100465159701E-4</c:v>
                </c:pt>
                <c:pt idx="18">
                  <c:v>-7.7722680538059837E-5</c:v>
                </c:pt>
                <c:pt idx="19">
                  <c:v>1.4975575065333214E-4</c:v>
                </c:pt>
                <c:pt idx="20">
                  <c:v>3.8579253070731526E-4</c:v>
                </c:pt>
                <c:pt idx="21">
                  <c:v>6.2513717804120049E-4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FD-445A-86BA-201E14B8449D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Лист1!$AK$5:$AK$26</c:f>
              <c:numCache>
                <c:formatCode>General</c:formatCode>
                <c:ptCount val="22"/>
                <c:pt idx="0">
                  <c:v>-1.1335801820406831E-4</c:v>
                </c:pt>
                <c:pt idx="1">
                  <c:v>-1.7047593514682598E-4</c:v>
                </c:pt>
                <c:pt idx="2">
                  <c:v>-2.0336048972151023E-4</c:v>
                </c:pt>
                <c:pt idx="3">
                  <c:v>-2.5134021991908291E-4</c:v>
                </c:pt>
                <c:pt idx="4">
                  <c:v>-2.8128035719488762E-4</c:v>
                </c:pt>
                <c:pt idx="5">
                  <c:v>-2.9832431438296539E-4</c:v>
                </c:pt>
                <c:pt idx="6">
                  <c:v>-3.0558361077240325E-4</c:v>
                </c:pt>
                <c:pt idx="7">
                  <c:v>-3.0500706752790258E-4</c:v>
                </c:pt>
                <c:pt idx="8">
                  <c:v>-2.9789434607510276E-4</c:v>
                </c:pt>
                <c:pt idx="9">
                  <c:v>-2.8515901935363615E-4</c:v>
                </c:pt>
                <c:pt idx="10">
                  <c:v>-2.6747063588794789E-4</c:v>
                </c:pt>
                <c:pt idx="11">
                  <c:v>-2.4533651104584981E-4</c:v>
                </c:pt>
                <c:pt idx="12">
                  <c:v>-1.8923004849774036E-4</c:v>
                </c:pt>
                <c:pt idx="13">
                  <c:v>-1.1915192085334135E-4</c:v>
                </c:pt>
                <c:pt idx="14">
                  <c:v>-3.6660561910835453E-5</c:v>
                </c:pt>
                <c:pt idx="15">
                  <c:v>5.4918264484469527E-5</c:v>
                </c:pt>
                <c:pt idx="16">
                  <c:v>1.5336638519805579E-4</c:v>
                </c:pt>
                <c:pt idx="17">
                  <c:v>2.6264143769550482E-4</c:v>
                </c:pt>
                <c:pt idx="18">
                  <c:v>3.8211428499630446E-4</c:v>
                </c:pt>
                <c:pt idx="19">
                  <c:v>5.1128052856240242E-4</c:v>
                </c:pt>
                <c:pt idx="20">
                  <c:v>6.4972888428669489E-4</c:v>
                </c:pt>
                <c:pt idx="21">
                  <c:v>7.9711888765718114E-4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FD-445A-86BA-201E14B8449D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Лист1!$AS$5:$AS$26</c:f>
              <c:numCache>
                <c:formatCode>General</c:formatCode>
                <c:ptCount val="22"/>
                <c:pt idx="0">
                  <c:v>-1.8959590521210761E-4</c:v>
                </c:pt>
                <c:pt idx="1">
                  <c:v>-1.8395417822900849E-4</c:v>
                </c:pt>
                <c:pt idx="2">
                  <c:v>-1.9500892367831213E-4</c:v>
                </c:pt>
                <c:pt idx="3">
                  <c:v>-2.2372872910806924E-4</c:v>
                </c:pt>
                <c:pt idx="4">
                  <c:v>-2.4792504224151901E-4</c:v>
                </c:pt>
                <c:pt idx="5">
                  <c:v>-2.6492605919533225E-4</c:v>
                </c:pt>
                <c:pt idx="6">
                  <c:v>-2.7477104329242362E-4</c:v>
                </c:pt>
                <c:pt idx="7">
                  <c:v>-2.7799522361050756E-4</c:v>
                </c:pt>
                <c:pt idx="8">
                  <c:v>-2.7519187466868399E-4</c:v>
                </c:pt>
                <c:pt idx="9">
                  <c:v>-2.6690508029827368E-4</c:v>
                </c:pt>
                <c:pt idx="10">
                  <c:v>-2.536073174310478E-4</c:v>
                </c:pt>
                <c:pt idx="11">
                  <c:v>-2.3570145074731187E-4</c:v>
                </c:pt>
                <c:pt idx="12">
                  <c:v>-1.8738128954420662E-4</c:v>
                </c:pt>
                <c:pt idx="13">
                  <c:v>-1.2411187848679892E-4</c:v>
                </c:pt>
                <c:pt idx="14">
                  <c:v>-4.7482256118728714E-5</c:v>
                </c:pt>
                <c:pt idx="15">
                  <c:v>4.1317556041670089E-5</c:v>
                </c:pt>
                <c:pt idx="16">
                  <c:v>1.4137673495761064E-4</c:v>
                </c:pt>
                <c:pt idx="17">
                  <c:v>2.519836933635905E-4</c:v>
                </c:pt>
                <c:pt idx="18">
                  <c:v>3.7257193907636477E-4</c:v>
                </c:pt>
                <c:pt idx="19">
                  <c:v>5.0268271945301838E-4</c:v>
                </c:pt>
                <c:pt idx="20">
                  <c:v>6.4193873972514289E-4</c:v>
                </c:pt>
                <c:pt idx="21">
                  <c:v>7.900253219559456E-4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FD-445A-86BA-201E14B84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dpdl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HoldUp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Лист1!$S$5:$S$26</c:f>
              <c:numCache>
                <c:formatCode>General</c:formatCode>
                <c:ptCount val="22"/>
                <c:pt idx="0">
                  <c:v>0.35200489450948047</c:v>
                </c:pt>
                <c:pt idx="1">
                  <c:v>0.37012550352055174</c:v>
                </c:pt>
                <c:pt idx="2">
                  <c:v>0.52477271125778424</c:v>
                </c:pt>
                <c:pt idx="3">
                  <c:v>0.55117725826435104</c:v>
                </c:pt>
                <c:pt idx="4">
                  <c:v>0.57469765952492324</c:v>
                </c:pt>
                <c:pt idx="5">
                  <c:v>0.5957996459232866</c:v>
                </c:pt>
                <c:pt idx="6">
                  <c:v>0.61485026892612771</c:v>
                </c:pt>
                <c:pt idx="7">
                  <c:v>0.63214350760853377</c:v>
                </c:pt>
                <c:pt idx="8">
                  <c:v>0.64791810541238559</c:v>
                </c:pt>
                <c:pt idx="9">
                  <c:v>0.66237030364945204</c:v>
                </c:pt>
                <c:pt idx="10">
                  <c:v>0.67566312840321763</c:v>
                </c:pt>
                <c:pt idx="11">
                  <c:v>0.68793329191530062</c:v>
                </c:pt>
                <c:pt idx="12">
                  <c:v>0.70985098357983456</c:v>
                </c:pt>
                <c:pt idx="13">
                  <c:v>0.7288610248956835</c:v>
                </c:pt>
                <c:pt idx="14">
                  <c:v>0.745512118910302</c:v>
                </c:pt>
                <c:pt idx="15">
                  <c:v>0.76022160880319478</c:v>
                </c:pt>
                <c:pt idx="16">
                  <c:v>0.77331297641481966</c:v>
                </c:pt>
                <c:pt idx="17">
                  <c:v>0.78504106249488848</c:v>
                </c:pt>
                <c:pt idx="18">
                  <c:v>0.79560949905016232</c:v>
                </c:pt>
                <c:pt idx="19">
                  <c:v>0.80518304510955807</c:v>
                </c:pt>
                <c:pt idx="20">
                  <c:v>0.81340942347242839</c:v>
                </c:pt>
                <c:pt idx="21">
                  <c:v>0.82144053568370456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6A-46A2-882A-94845BC101AE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Лист1!$AA$5:$AA$26</c:f>
              <c:numCache>
                <c:formatCode>General</c:formatCode>
                <c:ptCount val="22"/>
                <c:pt idx="0">
                  <c:v>8.0192606489271664E-2</c:v>
                </c:pt>
                <c:pt idx="1">
                  <c:v>0.17219953200679769</c:v>
                </c:pt>
                <c:pt idx="2">
                  <c:v>0.23367552871346475</c:v>
                </c:pt>
                <c:pt idx="3">
                  <c:v>0.28990208323684236</c:v>
                </c:pt>
                <c:pt idx="4">
                  <c:v>0.31286335978105928</c:v>
                </c:pt>
                <c:pt idx="5">
                  <c:v>0.31724791750124026</c:v>
                </c:pt>
                <c:pt idx="6">
                  <c:v>0.33333333333333331</c:v>
                </c:pt>
                <c:pt idx="7">
                  <c:v>0.375</c:v>
                </c:pt>
                <c:pt idx="8">
                  <c:v>0.41176470588235292</c:v>
                </c:pt>
                <c:pt idx="9">
                  <c:v>0.44444444444444442</c:v>
                </c:pt>
                <c:pt idx="10">
                  <c:v>0.47368421052631576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0.58333333333333337</c:v>
                </c:pt>
                <c:pt idx="14">
                  <c:v>0.61538461538461542</c:v>
                </c:pt>
                <c:pt idx="15">
                  <c:v>0.6428571428571429</c:v>
                </c:pt>
                <c:pt idx="16">
                  <c:v>0.66666666666666663</c:v>
                </c:pt>
                <c:pt idx="17">
                  <c:v>0.6875</c:v>
                </c:pt>
                <c:pt idx="18">
                  <c:v>0.70588235294117652</c:v>
                </c:pt>
                <c:pt idx="19">
                  <c:v>0.72222222222222221</c:v>
                </c:pt>
                <c:pt idx="20">
                  <c:v>0.73684210526315785</c:v>
                </c:pt>
                <c:pt idx="21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6A-46A2-882A-94845BC101AE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Лист1!$AI$5:$AI$26</c:f>
              <c:numCache>
                <c:formatCode>General</c:formatCode>
                <c:ptCount val="22"/>
                <c:pt idx="0">
                  <c:v>1.5303339450571014E-2</c:v>
                </c:pt>
                <c:pt idx="1">
                  <c:v>4.6966703781080005E-2</c:v>
                </c:pt>
                <c:pt idx="2">
                  <c:v>7.5473997048848829E-2</c:v>
                </c:pt>
                <c:pt idx="3">
                  <c:v>0.12240977042764339</c:v>
                </c:pt>
                <c:pt idx="4">
                  <c:v>0.16316287031831234</c:v>
                </c:pt>
                <c:pt idx="5">
                  <c:v>0.20340005811977199</c:v>
                </c:pt>
                <c:pt idx="6">
                  <c:v>0.23797627714696912</c:v>
                </c:pt>
                <c:pt idx="7">
                  <c:v>0.27382851416027204</c:v>
                </c:pt>
                <c:pt idx="8">
                  <c:v>0.30847774768181718</c:v>
                </c:pt>
                <c:pt idx="9">
                  <c:v>0.34197875640604608</c:v>
                </c:pt>
                <c:pt idx="10">
                  <c:v>0.37437163574303017</c:v>
                </c:pt>
                <c:pt idx="11">
                  <c:v>0.40574304047741105</c:v>
                </c:pt>
                <c:pt idx="12">
                  <c:v>0.46598051437417343</c:v>
                </c:pt>
                <c:pt idx="13">
                  <c:v>0.52388647538175681</c:v>
                </c:pt>
                <c:pt idx="14">
                  <c:v>0.59157418191147926</c:v>
                </c:pt>
                <c:pt idx="15">
                  <c:v>0.67174419183003031</c:v>
                </c:pt>
                <c:pt idx="16">
                  <c:v>0.7658526126069235</c:v>
                </c:pt>
                <c:pt idx="17">
                  <c:v>0.77539368374966577</c:v>
                </c:pt>
                <c:pt idx="18">
                  <c:v>0.78429289152789561</c:v>
                </c:pt>
                <c:pt idx="19">
                  <c:v>0.79258558857723738</c:v>
                </c:pt>
                <c:pt idx="20">
                  <c:v>0.80030679884585831</c:v>
                </c:pt>
                <c:pt idx="21">
                  <c:v>0.8074927270857043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6A-46A2-882A-94845BC101AE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Лист1!$AQ$5:$AQ$26</c:f>
              <c:numCache>
                <c:formatCode>General</c:formatCode>
                <c:ptCount val="22"/>
                <c:pt idx="0">
                  <c:v>8.4388009168851613E-2</c:v>
                </c:pt>
                <c:pt idx="1">
                  <c:v>0.1469018967293971</c:v>
                </c:pt>
                <c:pt idx="2">
                  <c:v>0.18813770895156576</c:v>
                </c:pt>
                <c:pt idx="3">
                  <c:v>0.25629427148263745</c:v>
                </c:pt>
                <c:pt idx="4">
                  <c:v>0.31019885701259942</c:v>
                </c:pt>
                <c:pt idx="5">
                  <c:v>0.35452149279798328</c:v>
                </c:pt>
                <c:pt idx="6">
                  <c:v>0.39207859902182018</c:v>
                </c:pt>
                <c:pt idx="7">
                  <c:v>0.42460777836249203</c:v>
                </c:pt>
                <c:pt idx="8">
                  <c:v>0.45324830564425883</c:v>
                </c:pt>
                <c:pt idx="9">
                  <c:v>0.47878741007040887</c:v>
                </c:pt>
                <c:pt idx="10">
                  <c:v>0.5017924517267166</c:v>
                </c:pt>
                <c:pt idx="11">
                  <c:v>0.52268639713667564</c:v>
                </c:pt>
                <c:pt idx="12">
                  <c:v>0.55936753550371243</c:v>
                </c:pt>
                <c:pt idx="13">
                  <c:v>0.59069168299995956</c:v>
                </c:pt>
                <c:pt idx="14">
                  <c:v>0.61787818917015225</c:v>
                </c:pt>
                <c:pt idx="15">
                  <c:v>0.6428571428571429</c:v>
                </c:pt>
                <c:pt idx="16">
                  <c:v>0.66666666666666663</c:v>
                </c:pt>
                <c:pt idx="17">
                  <c:v>0.6875</c:v>
                </c:pt>
                <c:pt idx="18">
                  <c:v>0.70588235294117652</c:v>
                </c:pt>
                <c:pt idx="19">
                  <c:v>0.72222222222222221</c:v>
                </c:pt>
                <c:pt idx="20">
                  <c:v>0.73684210526315785</c:v>
                </c:pt>
                <c:pt idx="21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6A-46A2-882A-94845BC101AE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Лист1!$AY$5:$AY$26</c:f>
              <c:numCache>
                <c:formatCode>General</c:formatCode>
                <c:ptCount val="22"/>
                <c:pt idx="0">
                  <c:v>0.16758230894289047</c:v>
                </c:pt>
                <c:pt idx="1">
                  <c:v>0.16969244666021388</c:v>
                </c:pt>
                <c:pt idx="2">
                  <c:v>0.19137734032375889</c:v>
                </c:pt>
                <c:pt idx="3">
                  <c:v>0.24344418641336385</c:v>
                </c:pt>
                <c:pt idx="4">
                  <c:v>0.29346160317674597</c:v>
                </c:pt>
                <c:pt idx="5">
                  <c:v>0.33864631616378205</c:v>
                </c:pt>
                <c:pt idx="6">
                  <c:v>0.37898481154438446</c:v>
                </c:pt>
                <c:pt idx="7">
                  <c:v>0.41497493689524673</c:v>
                </c:pt>
                <c:pt idx="8">
                  <c:v>0.44717859725216907</c:v>
                </c:pt>
                <c:pt idx="9">
                  <c:v>0.47611166925839177</c:v>
                </c:pt>
                <c:pt idx="10">
                  <c:v>0.50222052851359134</c:v>
                </c:pt>
                <c:pt idx="11">
                  <c:v>0.52588358221675513</c:v>
                </c:pt>
                <c:pt idx="12">
                  <c:v>0.56709719696030336</c:v>
                </c:pt>
                <c:pt idx="13">
                  <c:v>0.60174979024442021</c:v>
                </c:pt>
                <c:pt idx="14">
                  <c:v>0.63127740641155794</c:v>
                </c:pt>
                <c:pt idx="15">
                  <c:v>0.65673168532266335</c:v>
                </c:pt>
                <c:pt idx="16">
                  <c:v>0.67889771419683154</c:v>
                </c:pt>
                <c:pt idx="17">
                  <c:v>0.69837232528670889</c:v>
                </c:pt>
                <c:pt idx="18">
                  <c:v>0.71561682260087889</c:v>
                </c:pt>
                <c:pt idx="19">
                  <c:v>0.7309931379506408</c:v>
                </c:pt>
                <c:pt idx="20">
                  <c:v>0.74478909508257574</c:v>
                </c:pt>
                <c:pt idx="21">
                  <c:v>0.75723638617559341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6A-46A2-882A-94845BC1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H;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dP/dL friction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Лист1!$O$5:$O$26</c:f>
              <c:numCache>
                <c:formatCode>General</c:formatCode>
                <c:ptCount val="22"/>
                <c:pt idx="0">
                  <c:v>5.3624620244844153E-5</c:v>
                </c:pt>
                <c:pt idx="1">
                  <c:v>6.135554016576708E-5</c:v>
                </c:pt>
                <c:pt idx="2">
                  <c:v>9.444760182546285E-5</c:v>
                </c:pt>
                <c:pt idx="3">
                  <c:v>1.1847359347653792E-4</c:v>
                </c:pt>
                <c:pt idx="4">
                  <c:v>1.4497164768834759E-4</c:v>
                </c:pt>
                <c:pt idx="5">
                  <c:v>1.739137936333339E-4</c:v>
                </c:pt>
                <c:pt idx="6">
                  <c:v>2.0527384228821212E-4</c:v>
                </c:pt>
                <c:pt idx="7">
                  <c:v>2.3902731243889702E-4</c:v>
                </c:pt>
                <c:pt idx="8">
                  <c:v>2.7515131993077757E-4</c:v>
                </c:pt>
                <c:pt idx="9">
                  <c:v>3.1362445947254002E-4</c:v>
                </c:pt>
                <c:pt idx="10">
                  <c:v>3.5442668938937704E-4</c:v>
                </c:pt>
                <c:pt idx="11">
                  <c:v>3.9753922311563749E-4</c:v>
                </c:pt>
                <c:pt idx="12">
                  <c:v>4.9062573639721931E-4</c:v>
                </c:pt>
                <c:pt idx="13">
                  <c:v>5.9275519204123484E-4</c:v>
                </c:pt>
                <c:pt idx="14">
                  <c:v>7.0381325354402201E-4</c:v>
                </c:pt>
                <c:pt idx="15">
                  <c:v>8.2369790690961595E-4</c:v>
                </c:pt>
                <c:pt idx="16">
                  <c:v>9.5231768292252847E-4</c:v>
                </c:pt>
                <c:pt idx="17">
                  <c:v>1.0895901841315953E-3</c:v>
                </c:pt>
                <c:pt idx="18">
                  <c:v>1.2354408603440347E-3</c:v>
                </c:pt>
                <c:pt idx="19">
                  <c:v>1.3898019861849273E-3</c:v>
                </c:pt>
                <c:pt idx="20">
                  <c:v>1.4427632254010046E-3</c:v>
                </c:pt>
                <c:pt idx="21">
                  <c:v>1.5988368096774637E-3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64-4DD0-AF1D-7B29F975635D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Лист1!$W$5:$W$26</c:f>
              <c:numCache>
                <c:formatCode>General</c:formatCode>
                <c:ptCount val="22"/>
                <c:pt idx="0">
                  <c:v>1.1888911840909892E-5</c:v>
                </c:pt>
                <c:pt idx="1">
                  <c:v>2.286355142667893E-5</c:v>
                </c:pt>
                <c:pt idx="2">
                  <c:v>3.7489308085126807E-5</c:v>
                </c:pt>
                <c:pt idx="3">
                  <c:v>7.072882162681154E-5</c:v>
                </c:pt>
                <c:pt idx="4">
                  <c:v>1.0942275768983948E-4</c:v>
                </c:pt>
                <c:pt idx="5">
                  <c:v>1.5444078592760418E-4</c:v>
                </c:pt>
                <c:pt idx="6">
                  <c:v>2.021044443403318E-4</c:v>
                </c:pt>
                <c:pt idx="7">
                  <c:v>2.4782405587984644E-4</c:v>
                </c:pt>
                <c:pt idx="8">
                  <c:v>2.9689833180443931E-4</c:v>
                </c:pt>
                <c:pt idx="9">
                  <c:v>3.492927062853037E-4</c:v>
                </c:pt>
                <c:pt idx="10">
                  <c:v>4.0497806350653695E-4</c:v>
                </c:pt>
                <c:pt idx="11">
                  <c:v>4.6392900421746928E-4</c:v>
                </c:pt>
                <c:pt idx="12">
                  <c:v>5.9153983777836749E-4</c:v>
                </c:pt>
                <c:pt idx="13">
                  <c:v>7.3197121648052132E-4</c:v>
                </c:pt>
                <c:pt idx="14">
                  <c:v>8.8509778118788743E-4</c:v>
                </c:pt>
                <c:pt idx="15">
                  <c:v>1.0508167214246505E-3</c:v>
                </c:pt>
                <c:pt idx="16">
                  <c:v>1.2290435589523258E-3</c:v>
                </c:pt>
                <c:pt idx="17">
                  <c:v>1.4197090142105873E-3</c:v>
                </c:pt>
                <c:pt idx="18">
                  <c:v>1.6227565981584476E-3</c:v>
                </c:pt>
                <c:pt idx="19">
                  <c:v>1.8381407228244145E-3</c:v>
                </c:pt>
                <c:pt idx="20">
                  <c:v>2.0658251958499676E-3</c:v>
                </c:pt>
                <c:pt idx="21">
                  <c:v>2.3057820057527912E-3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64-4DD0-AF1D-7B29F975635D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Лист1!$AE$5:$AE$26</c:f>
              <c:numCache>
                <c:formatCode>General</c:formatCode>
                <c:ptCount val="22"/>
                <c:pt idx="0">
                  <c:v>1.7265512013998069E-5</c:v>
                </c:pt>
                <c:pt idx="1">
                  <c:v>5.2163421044432069E-5</c:v>
                </c:pt>
                <c:pt idx="2">
                  <c:v>8.0306246853887781E-5</c:v>
                </c:pt>
                <c:pt idx="3">
                  <c:v>1.2661939639694634E-4</c:v>
                </c:pt>
                <c:pt idx="4">
                  <c:v>1.6684223424378209E-4</c:v>
                </c:pt>
                <c:pt idx="5">
                  <c:v>2.0771994801934104E-4</c:v>
                </c:pt>
                <c:pt idx="6">
                  <c:v>2.3598056378222287E-4</c:v>
                </c:pt>
                <c:pt idx="7">
                  <c:v>2.6703579573270325E-4</c:v>
                </c:pt>
                <c:pt idx="8">
                  <c:v>2.975997718368928E-4</c:v>
                </c:pt>
                <c:pt idx="9">
                  <c:v>3.2826395919509008E-4</c:v>
                </c:pt>
                <c:pt idx="10">
                  <c:v>3.5951934958082413E-4</c:v>
                </c:pt>
                <c:pt idx="11">
                  <c:v>3.9177988874469359E-4</c:v>
                </c:pt>
                <c:pt idx="12">
                  <c:v>4.6029441268583709E-4</c:v>
                </c:pt>
                <c:pt idx="13">
                  <c:v>5.366106692884559E-4</c:v>
                </c:pt>
                <c:pt idx="14">
                  <c:v>6.1303990701567785E-4</c:v>
                </c:pt>
                <c:pt idx="15">
                  <c:v>7.0790215272669712E-4</c:v>
                </c:pt>
                <c:pt idx="16">
                  <c:v>3.110367373860416E-4</c:v>
                </c:pt>
                <c:pt idx="17">
                  <c:v>5.047655103207568E-4</c:v>
                </c:pt>
                <c:pt idx="18">
                  <c:v>7.2469525146788864E-4</c:v>
                </c:pt>
                <c:pt idx="19">
                  <c:v>9.6030070599696443E-4</c:v>
                </c:pt>
                <c:pt idx="20">
                  <c:v>1.2039044399231179E-3</c:v>
                </c:pt>
                <c:pt idx="21">
                  <c:v>1.4502914531074199E-3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64-4DD0-AF1D-7B29F975635D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Лист1!$AM$5:$AM$26</c:f>
              <c:numCache>
                <c:formatCode>General</c:formatCode>
                <c:ptCount val="22"/>
                <c:pt idx="0">
                  <c:v>3.1666642562716325E-6</c:v>
                </c:pt>
                <c:pt idx="1">
                  <c:v>7.3288335181465967E-6</c:v>
                </c:pt>
                <c:pt idx="2">
                  <c:v>1.4866243186930211E-5</c:v>
                </c:pt>
                <c:pt idx="3">
                  <c:v>3.3697907869741149E-5</c:v>
                </c:pt>
                <c:pt idx="4">
                  <c:v>5.6598471708577522E-5</c:v>
                </c:pt>
                <c:pt idx="5">
                  <c:v>8.3002379430745303E-5</c:v>
                </c:pt>
                <c:pt idx="6">
                  <c:v>1.1255894583282286E-4</c:v>
                </c:pt>
                <c:pt idx="7">
                  <c:v>1.450226583440197E-4</c:v>
                </c:pt>
                <c:pt idx="8">
                  <c:v>1.8021064513802824E-4</c:v>
                </c:pt>
                <c:pt idx="9">
                  <c:v>2.1798102537952808E-4</c:v>
                </c:pt>
                <c:pt idx="10">
                  <c:v>2.5822041296369056E-4</c:v>
                </c:pt>
                <c:pt idx="11">
                  <c:v>3.0083611119437561E-4</c:v>
                </c:pt>
                <c:pt idx="12">
                  <c:v>3.9289975716095383E-4</c:v>
                </c:pt>
                <c:pt idx="13">
                  <c:v>4.9368380526178821E-4</c:v>
                </c:pt>
                <c:pt idx="14">
                  <c:v>6.0282510562888788E-4</c:v>
                </c:pt>
                <c:pt idx="15">
                  <c:v>7.1888989018441458E-4</c:v>
                </c:pt>
                <c:pt idx="16">
                  <c:v>8.4067761955896854E-4</c:v>
                </c:pt>
                <c:pt idx="17">
                  <c:v>9.7037482963476429E-4</c:v>
                </c:pt>
                <c:pt idx="18">
                  <c:v>1.1078672277399877E-3</c:v>
                </c:pt>
                <c:pt idx="19">
                  <c:v>1.2530508497989065E-3</c:v>
                </c:pt>
                <c:pt idx="20">
                  <c:v>1.4058305441746704E-3</c:v>
                </c:pt>
                <c:pt idx="21">
                  <c:v>1.566118752331481E-3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64-4DD0-AF1D-7B29F975635D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Лист1!$AU$5:$AU$26</c:f>
              <c:numCache>
                <c:formatCode>General</c:formatCode>
                <c:ptCount val="22"/>
                <c:pt idx="0">
                  <c:v>8.4811180293031743E-6</c:v>
                </c:pt>
                <c:pt idx="1">
                  <c:v>1.6191336131211503E-5</c:v>
                </c:pt>
                <c:pt idx="2">
                  <c:v>2.6393501824305146E-5</c:v>
                </c:pt>
                <c:pt idx="3">
                  <c:v>4.8712928496121213E-5</c:v>
                </c:pt>
                <c:pt idx="4">
                  <c:v>7.3546866569245889E-5</c:v>
                </c:pt>
                <c:pt idx="5">
                  <c:v>1.0083877739560655E-4</c:v>
                </c:pt>
                <c:pt idx="6">
                  <c:v>1.3053615053704694E-4</c:v>
                </c:pt>
                <c:pt idx="7">
                  <c:v>1.625917787555916E-4</c:v>
                </c:pt>
                <c:pt idx="8">
                  <c:v>1.9696320256502924E-4</c:v>
                </c:pt>
                <c:pt idx="9">
                  <c:v>2.336120332108028E-4</c:v>
                </c:pt>
                <c:pt idx="10">
                  <c:v>2.7250335949725575E-4</c:v>
                </c:pt>
                <c:pt idx="11">
                  <c:v>3.1360525553351454E-4</c:v>
                </c:pt>
                <c:pt idx="12">
                  <c:v>4.0232562160058869E-4</c:v>
                </c:pt>
                <c:pt idx="13">
                  <c:v>4.9956370724423308E-4</c:v>
                </c:pt>
                <c:pt idx="14">
                  <c:v>6.0513817586565805E-4</c:v>
                </c:pt>
                <c:pt idx="15">
                  <c:v>7.1888989018441458E-4</c:v>
                </c:pt>
                <c:pt idx="16">
                  <c:v>8.4067761955896865E-4</c:v>
                </c:pt>
                <c:pt idx="17">
                  <c:v>9.7037482963476429E-4</c:v>
                </c:pt>
                <c:pt idx="18">
                  <c:v>1.1078672277399877E-3</c:v>
                </c:pt>
                <c:pt idx="19">
                  <c:v>1.2530508497989065E-3</c:v>
                </c:pt>
                <c:pt idx="20">
                  <c:v>1.4058305441746707E-3</c:v>
                </c:pt>
                <c:pt idx="21">
                  <c:v>1.566118752331481E-3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64-4DD0-AF1D-7B29F9756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dpdl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73756</xdr:colOff>
      <xdr:row>27</xdr:row>
      <xdr:rowOff>145066</xdr:rowOff>
    </xdr:from>
    <xdr:to>
      <xdr:col>10</xdr:col>
      <xdr:colOff>581891</xdr:colOff>
      <xdr:row>53</xdr:row>
      <xdr:rowOff>166255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D85504C-BDE1-40BF-A248-F9014F3EF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96982</xdr:colOff>
      <xdr:row>27</xdr:row>
      <xdr:rowOff>138546</xdr:rowOff>
    </xdr:from>
    <xdr:to>
      <xdr:col>21</xdr:col>
      <xdr:colOff>341881</xdr:colOff>
      <xdr:row>53</xdr:row>
      <xdr:rowOff>159735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5921DF9-6785-4DCD-A1F6-3BC4F201F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429491</xdr:colOff>
      <xdr:row>27</xdr:row>
      <xdr:rowOff>138547</xdr:rowOff>
    </xdr:from>
    <xdr:to>
      <xdr:col>32</xdr:col>
      <xdr:colOff>244899</xdr:colOff>
      <xdr:row>53</xdr:row>
      <xdr:rowOff>159736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02BF5E1-D311-48BA-9C6D-176039789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AnsariGradient"/>
      <definedName name="unf_BegsBrillGradient"/>
      <definedName name="unf_GrayModifiedGradient"/>
      <definedName name="unf_HagedornandBrawnmodified"/>
      <definedName name="unf_UnifiedTUFFPGradien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E4EB5-CC68-4D05-AF98-E8177B5553B0}">
  <sheetPr codeName="Лист1"/>
  <dimension ref="B2:AZ26"/>
  <sheetViews>
    <sheetView tabSelected="1" topLeftCell="A4" zoomScale="115" zoomScaleNormal="115" workbookViewId="0">
      <selection activeCell="H24" sqref="H24"/>
    </sheetView>
  </sheetViews>
  <sheetFormatPr defaultRowHeight="15" x14ac:dyDescent="0.25"/>
  <cols>
    <col min="2" max="2" width="16.85546875" customWidth="1"/>
    <col min="3" max="3" width="12.42578125" bestFit="1" customWidth="1"/>
    <col min="13" max="13" width="12" bestFit="1" customWidth="1"/>
    <col min="21" max="21" width="12.42578125" bestFit="1" customWidth="1"/>
    <col min="29" max="29" width="13" bestFit="1" customWidth="1"/>
    <col min="37" max="37" width="12.42578125" bestFit="1" customWidth="1"/>
    <col min="45" max="45" width="12.42578125" bestFit="1" customWidth="1"/>
  </cols>
  <sheetData>
    <row r="2" spans="2:52" x14ac:dyDescent="0.25">
      <c r="B2" t="s">
        <v>24</v>
      </c>
    </row>
    <row r="3" spans="2:52" x14ac:dyDescent="0.25">
      <c r="L3" s="8"/>
      <c r="M3" s="32" t="s">
        <v>11</v>
      </c>
      <c r="N3" s="33"/>
      <c r="O3" s="33"/>
      <c r="P3" s="33"/>
      <c r="Q3" s="33"/>
      <c r="R3" s="33"/>
      <c r="S3" s="33"/>
      <c r="T3" s="34"/>
      <c r="U3" s="35" t="s">
        <v>12</v>
      </c>
      <c r="V3" s="36"/>
      <c r="W3" s="36"/>
      <c r="X3" s="36"/>
      <c r="Y3" s="36"/>
      <c r="Z3" s="36"/>
      <c r="AA3" s="36"/>
      <c r="AB3" s="37"/>
      <c r="AC3" s="38" t="s">
        <v>13</v>
      </c>
      <c r="AD3" s="39"/>
      <c r="AE3" s="39"/>
      <c r="AF3" s="39"/>
      <c r="AG3" s="39"/>
      <c r="AH3" s="39"/>
      <c r="AI3" s="39"/>
      <c r="AJ3" s="40"/>
      <c r="AK3" s="41" t="s">
        <v>26</v>
      </c>
      <c r="AL3" s="42"/>
      <c r="AM3" s="42"/>
      <c r="AN3" s="42"/>
      <c r="AO3" s="42"/>
      <c r="AP3" s="42"/>
      <c r="AQ3" s="42"/>
      <c r="AR3" s="43"/>
      <c r="AS3" s="44" t="s">
        <v>27</v>
      </c>
      <c r="AT3" s="45"/>
      <c r="AU3" s="45"/>
      <c r="AV3" s="45"/>
      <c r="AW3" s="45"/>
      <c r="AX3" s="45"/>
      <c r="AY3" s="45"/>
      <c r="AZ3" s="46"/>
    </row>
    <row r="4" spans="2:52" x14ac:dyDescent="0.25">
      <c r="B4" t="s">
        <v>10</v>
      </c>
      <c r="C4">
        <f>62/1000</f>
        <v>6.2E-2</v>
      </c>
      <c r="L4" s="9" t="s">
        <v>25</v>
      </c>
      <c r="M4" s="2" t="s">
        <v>14</v>
      </c>
      <c r="N4" s="3" t="s">
        <v>15</v>
      </c>
      <c r="O4" s="3" t="s">
        <v>16</v>
      </c>
      <c r="P4" s="3" t="s">
        <v>17</v>
      </c>
      <c r="Q4" s="3" t="s">
        <v>18</v>
      </c>
      <c r="R4" s="3" t="s">
        <v>19</v>
      </c>
      <c r="S4" s="3" t="s">
        <v>20</v>
      </c>
      <c r="T4" s="4" t="s">
        <v>21</v>
      </c>
      <c r="U4" s="10" t="s">
        <v>14</v>
      </c>
      <c r="V4" s="11" t="s">
        <v>15</v>
      </c>
      <c r="W4" s="11" t="s">
        <v>16</v>
      </c>
      <c r="X4" s="11" t="s">
        <v>17</v>
      </c>
      <c r="Y4" s="11" t="s">
        <v>18</v>
      </c>
      <c r="Z4" s="11" t="s">
        <v>19</v>
      </c>
      <c r="AA4" s="11" t="s">
        <v>20</v>
      </c>
      <c r="AB4" s="12" t="s">
        <v>21</v>
      </c>
      <c r="AC4" s="16" t="s">
        <v>14</v>
      </c>
      <c r="AD4" s="17" t="s">
        <v>15</v>
      </c>
      <c r="AE4" s="17" t="s">
        <v>16</v>
      </c>
      <c r="AF4" s="17" t="s">
        <v>17</v>
      </c>
      <c r="AG4" s="17" t="s">
        <v>18</v>
      </c>
      <c r="AH4" s="17" t="s">
        <v>19</v>
      </c>
      <c r="AI4" s="17" t="s">
        <v>20</v>
      </c>
      <c r="AJ4" s="18" t="s">
        <v>21</v>
      </c>
      <c r="AK4" s="21" t="s">
        <v>14</v>
      </c>
      <c r="AL4" s="22" t="s">
        <v>15</v>
      </c>
      <c r="AM4" s="22" t="s">
        <v>16</v>
      </c>
      <c r="AN4" s="22" t="s">
        <v>17</v>
      </c>
      <c r="AO4" s="22" t="s">
        <v>18</v>
      </c>
      <c r="AP4" s="22" t="s">
        <v>19</v>
      </c>
      <c r="AQ4" s="22" t="s">
        <v>20</v>
      </c>
      <c r="AR4" s="23" t="s">
        <v>21</v>
      </c>
      <c r="AS4" s="26" t="s">
        <v>14</v>
      </c>
      <c r="AT4" s="27" t="s">
        <v>15</v>
      </c>
      <c r="AU4" s="27" t="s">
        <v>16</v>
      </c>
      <c r="AV4" s="27" t="s">
        <v>17</v>
      </c>
      <c r="AW4" s="27" t="s">
        <v>18</v>
      </c>
      <c r="AX4" s="27" t="s">
        <v>19</v>
      </c>
      <c r="AY4" s="27" t="s">
        <v>20</v>
      </c>
      <c r="AZ4" s="28" t="s">
        <v>21</v>
      </c>
    </row>
    <row r="5" spans="2:52" x14ac:dyDescent="0.25">
      <c r="B5" t="s">
        <v>0</v>
      </c>
      <c r="C5">
        <v>-1</v>
      </c>
      <c r="L5" s="9">
        <v>1</v>
      </c>
      <c r="M5" s="2" cm="1">
        <f t="array" ref="M5:T5">[1]!unf_AnsariGradient(diam_mm,theta,eps_m,L5,Qg_rc_m3day,Mul_rc_cP,Mug_rc_cP,sigma_l_Nm,rho_lrc_kgm3,rho_grc_kgm3,p_atma)</f>
        <v>3.7219135868588244E-4</v>
      </c>
      <c r="N5" s="3">
        <v>3.185667384410383E-4</v>
      </c>
      <c r="O5" s="3">
        <v>5.3624620244844153E-5</v>
      </c>
      <c r="P5" s="3">
        <v>0</v>
      </c>
      <c r="Q5" s="3">
        <v>3.8336547359014411E-3</v>
      </c>
      <c r="R5" s="3">
        <v>0.38336547359014411</v>
      </c>
      <c r="S5" s="3">
        <v>0.35200489450948047</v>
      </c>
      <c r="T5" s="4">
        <v>103</v>
      </c>
      <c r="U5" s="10" cm="1">
        <f t="array" ref="U5:AB5">[1]!unf_BegsBrillGradient(diam_mm,theta,eps_m,L5,Qg_rc_m3day,Mul_rc_cP,Mug_rc_cP,sigma_l_Nm,rho_lrc_kgm3,rho_grc_kgm3,1,1)</f>
        <v>-1.0052317023733404E-4</v>
      </c>
      <c r="V5" s="11">
        <v>-1.1241208207824393E-4</v>
      </c>
      <c r="W5" s="11">
        <v>1.1888911840909892E-5</v>
      </c>
      <c r="X5" s="11">
        <v>0</v>
      </c>
      <c r="Y5" s="11">
        <v>3.8336547359014411E-3</v>
      </c>
      <c r="Z5" s="11">
        <v>0.38336547359014411</v>
      </c>
      <c r="AA5" s="11">
        <v>8.0192606489271664E-2</v>
      </c>
      <c r="AB5" s="12">
        <v>0</v>
      </c>
      <c r="AC5" s="16" cm="1">
        <f t="array" ref="AC5:AJ5">[1]!unf_UnifiedTUFFPGradient(diam_mm,theta,eps_m,L5,Qg_rc_m3day,Mul_rc_cP,Mug_rc_cP,sigma_l_Nm,rho_lrc_kgm3,rho_grc_kgm3,p_atma)</f>
        <v>-3.1525946121984164E-5</v>
      </c>
      <c r="AD5" s="17">
        <v>-4.8791458135982229E-5</v>
      </c>
      <c r="AE5" s="17">
        <v>1.7265512013998069E-5</v>
      </c>
      <c r="AF5" s="17">
        <v>-9.4319705726110501E-12</v>
      </c>
      <c r="AG5" s="17">
        <v>3.8336547359014411E-3</v>
      </c>
      <c r="AH5" s="17">
        <v>0.38336547359014411</v>
      </c>
      <c r="AI5" s="17">
        <v>1.5303339450571014E-2</v>
      </c>
      <c r="AJ5" s="18">
        <v>204</v>
      </c>
      <c r="AK5" s="21" cm="1">
        <f t="array" ref="AK5:AR5">[1]!unf_HagedornandBrawnmodified(diam_mm,theta,eps_m,L5,Qg_rc_m3day,Mul_rc_cP,Mug_rc_cP,sigma_l_Nm,rho_lrc_kgm3,rho_grc_kgm3,p_atma)</f>
        <v>-1.1335801820406831E-4</v>
      </c>
      <c r="AL5" s="22">
        <v>-1.1652468246033993E-4</v>
      </c>
      <c r="AM5" s="22">
        <v>3.1666642562716325E-6</v>
      </c>
      <c r="AN5" s="22">
        <v>0</v>
      </c>
      <c r="AO5" s="22">
        <v>3.8336547359014411E-3</v>
      </c>
      <c r="AP5" s="22">
        <v>0.38336547359014411</v>
      </c>
      <c r="AQ5" s="22">
        <v>8.4388009168851613E-2</v>
      </c>
      <c r="AR5" s="23">
        <v>0</v>
      </c>
      <c r="AS5" s="26" cm="1">
        <f t="array" ref="AS5:AZ5">[1]!unf_GrayModifiedGradient(diam_mm,theta,eps_m,L5,Qg_rc_m3day,Mul_rc_cP,Mug_rc_cP,sigma_l_Nm,rho_lrc_kgm3,rho_grc_kgm3)</f>
        <v>-1.8959590521210761E-4</v>
      </c>
      <c r="AT5" s="27">
        <v>-1.9807702324141078E-4</v>
      </c>
      <c r="AU5" s="27">
        <v>8.4811180293031743E-6</v>
      </c>
      <c r="AV5" s="27">
        <v>0</v>
      </c>
      <c r="AW5" s="27">
        <v>3.8336547359014411E-3</v>
      </c>
      <c r="AX5" s="27">
        <v>0.38336547359014411</v>
      </c>
      <c r="AY5" s="27">
        <v>0.16758230894289047</v>
      </c>
      <c r="AZ5" s="28">
        <v>0</v>
      </c>
    </row>
    <row r="6" spans="2:52" x14ac:dyDescent="0.25">
      <c r="B6" t="s">
        <v>1</v>
      </c>
      <c r="C6">
        <v>1.0000000000000001E-5</v>
      </c>
      <c r="L6" s="9">
        <v>5</v>
      </c>
      <c r="M6" s="2" cm="1">
        <f t="array" ref="M6:T6">[1]!unf_AnsariGradient(diam_mm,theta,eps_m,L6,Qg_rc_m3day,Mul_rc_cP,Mug_rc_cP,sigma_l_Nm,rho_lrc_kgm3,rho_grc_kgm3,p_atma)</f>
        <v>3.9949386404309072E-4</v>
      </c>
      <c r="N6" s="3">
        <v>3.3813832387732365E-4</v>
      </c>
      <c r="O6" s="3">
        <v>6.135554016576708E-5</v>
      </c>
      <c r="P6" s="3">
        <v>0</v>
      </c>
      <c r="Q6" s="3">
        <v>1.9168273679507207E-2</v>
      </c>
      <c r="R6" s="3">
        <v>0.38336547359014411</v>
      </c>
      <c r="S6" s="3">
        <v>0.37012550352055174</v>
      </c>
      <c r="T6" s="4">
        <v>103</v>
      </c>
      <c r="U6" s="10" cm="1">
        <f t="array" ref="U6:AB6">[1]!unf_BegsBrillGradient(diam_mm,theta,eps_m,L6,Qg_rc_m3day,Mul_rc_cP,Mug_rc_cP,sigma_l_Nm,rho_lrc_kgm3,rho_grc_kgm3,1,1)</f>
        <v>-1.7973956735003538E-4</v>
      </c>
      <c r="V6" s="11">
        <v>-2.0260311877671431E-4</v>
      </c>
      <c r="W6" s="11">
        <v>2.286355142667893E-5</v>
      </c>
      <c r="X6" s="11">
        <v>0</v>
      </c>
      <c r="Y6" s="11">
        <v>1.9168273679507207E-2</v>
      </c>
      <c r="Z6" s="11">
        <v>0.38336547359014411</v>
      </c>
      <c r="AA6" s="11">
        <v>0.17219953200679769</v>
      </c>
      <c r="AB6" s="12">
        <v>0</v>
      </c>
      <c r="AC6" s="16" cm="1">
        <f t="array" ref="AC6:AJ6">[1]!unf_UnifiedTUFFPGradient(diam_mm,theta,eps_m,L6,Qg_rc_m3day,Mul_rc_cP,Mug_rc_cP,sigma_l_Nm,rho_lrc_kgm3,rho_grc_kgm3,p_atma)</f>
        <v>-2.7658822291167684E-5</v>
      </c>
      <c r="AD6" s="17">
        <v>-7.9822243335599753E-5</v>
      </c>
      <c r="AE6" s="17">
        <v>5.2163421044432069E-5</v>
      </c>
      <c r="AF6" s="17">
        <v>-8.8339085707919645E-12</v>
      </c>
      <c r="AG6" s="17">
        <v>1.9168273679507207E-2</v>
      </c>
      <c r="AH6" s="17">
        <v>0.38336547359014411</v>
      </c>
      <c r="AI6" s="17">
        <v>4.6966703781080005E-2</v>
      </c>
      <c r="AJ6" s="18">
        <v>204</v>
      </c>
      <c r="AK6" s="21" cm="1">
        <f t="array" ref="AK6:AR6">[1]!unf_HagedornandBrawnmodified(diam_mm,theta,eps_m,L6,Qg_rc_m3day,Mul_rc_cP,Mug_rc_cP,sigma_l_Nm,rho_lrc_kgm3,rho_grc_kgm3,p_atma)</f>
        <v>-1.7047593514682598E-4</v>
      </c>
      <c r="AL6" s="22">
        <v>-1.7780476866497257E-4</v>
      </c>
      <c r="AM6" s="22">
        <v>7.3288335181465967E-6</v>
      </c>
      <c r="AN6" s="22">
        <v>0</v>
      </c>
      <c r="AO6" s="22">
        <v>1.9168273679507207E-2</v>
      </c>
      <c r="AP6" s="22">
        <v>0.38336547359014411</v>
      </c>
      <c r="AQ6" s="22">
        <v>0.1469018967293971</v>
      </c>
      <c r="AR6" s="23">
        <v>0</v>
      </c>
      <c r="AS6" s="26" cm="1">
        <f t="array" ref="AS6:AZ6">[1]!unf_GrayModifiedGradient(diam_mm,theta,eps_m,L6,Qg_rc_m3day,Mul_rc_cP,Mug_rc_cP,sigma_l_Nm,rho_lrc_kgm3,rho_grc_kgm3)</f>
        <v>-1.8395417822900849E-4</v>
      </c>
      <c r="AT6" s="27">
        <v>-2.0014551436021999E-4</v>
      </c>
      <c r="AU6" s="27">
        <v>1.6191336131211503E-5</v>
      </c>
      <c r="AV6" s="27">
        <v>0</v>
      </c>
      <c r="AW6" s="27">
        <v>1.9168273679507207E-2</v>
      </c>
      <c r="AX6" s="27">
        <v>0.38336547359014411</v>
      </c>
      <c r="AY6" s="27">
        <v>0.16969244666021388</v>
      </c>
      <c r="AZ6" s="28">
        <v>0</v>
      </c>
    </row>
    <row r="7" spans="2:52" x14ac:dyDescent="0.25">
      <c r="B7" t="s">
        <v>2</v>
      </c>
      <c r="C7">
        <v>40</v>
      </c>
      <c r="L7" s="9">
        <v>10</v>
      </c>
      <c r="M7" s="2" cm="1">
        <f t="array" ref="M7:T7">[1]!unf_AnsariGradient(diam_mm,theta,eps_m,L7,Qg_rc_m3day,Mul_rc_cP,Mug_rc_cP,sigma_l_Nm,rho_lrc_kgm3,rho_grc_kgm3,p_atma)</f>
        <v>5.9537320434358888E-4</v>
      </c>
      <c r="N7" s="3">
        <v>5.0092560251812604E-4</v>
      </c>
      <c r="O7" s="3">
        <v>9.444760182546285E-5</v>
      </c>
      <c r="P7" s="3">
        <v>0</v>
      </c>
      <c r="Q7" s="3">
        <v>3.8336547359014414E-2</v>
      </c>
      <c r="R7" s="3">
        <v>0.38336547359014411</v>
      </c>
      <c r="S7" s="3">
        <v>0.52477271125778424</v>
      </c>
      <c r="T7" s="4">
        <v>103</v>
      </c>
      <c r="U7" s="10" cm="1">
        <f t="array" ref="U7:AB7">[1]!unf_BegsBrillGradient(diam_mm,theta,eps_m,L7,Qg_rc_m3day,Mul_rc_cP,Mug_rc_cP,sigma_l_Nm,rho_lrc_kgm3,rho_grc_kgm3,1,1)</f>
        <v>-2.2537649030900269E-4</v>
      </c>
      <c r="V7" s="11">
        <v>-2.6286579839412949E-4</v>
      </c>
      <c r="W7" s="11">
        <v>3.7489308085126807E-5</v>
      </c>
      <c r="X7" s="11">
        <v>0</v>
      </c>
      <c r="Y7" s="11">
        <v>3.8336547359014414E-2</v>
      </c>
      <c r="Z7" s="11">
        <v>0.38336547359014411</v>
      </c>
      <c r="AA7" s="11">
        <v>0.23367552871346475</v>
      </c>
      <c r="AB7" s="12">
        <v>0</v>
      </c>
      <c r="AC7" s="16" cm="1">
        <f t="array" ref="AC7:AJ7">[1]!unf_UnifiedTUFFPGradient(diam_mm,theta,eps_m,L7,Qg_rc_m3day,Mul_rc_cP,Mug_rc_cP,sigma_l_Nm,rho_lrc_kgm3,rho_grc_kgm3,p_atma)</f>
        <v>-2.7453763447374691E-5</v>
      </c>
      <c r="AD7" s="17">
        <v>-1.0776001030126247E-4</v>
      </c>
      <c r="AE7" s="17">
        <v>8.0306246853887781E-5</v>
      </c>
      <c r="AF7" s="17">
        <v>-9.3172910437502853E-12</v>
      </c>
      <c r="AG7" s="17">
        <v>3.8336547359014414E-2</v>
      </c>
      <c r="AH7" s="17">
        <v>0.38336547359014411</v>
      </c>
      <c r="AI7" s="17">
        <v>7.5473997048848829E-2</v>
      </c>
      <c r="AJ7" s="18">
        <v>204</v>
      </c>
      <c r="AK7" s="21" cm="1">
        <f t="array" ref="AK7:AR7">[1]!unf_HagedornandBrawnmodified(diam_mm,theta,eps_m,L7,Qg_rc_m3day,Mul_rc_cP,Mug_rc_cP,sigma_l_Nm,rho_lrc_kgm3,rho_grc_kgm3,p_atma)</f>
        <v>-2.0336048972151023E-4</v>
      </c>
      <c r="AL7" s="22">
        <v>-2.1822673290844045E-4</v>
      </c>
      <c r="AM7" s="22">
        <v>1.4866243186930211E-5</v>
      </c>
      <c r="AN7" s="22">
        <v>0</v>
      </c>
      <c r="AO7" s="22">
        <v>3.8336547359014414E-2</v>
      </c>
      <c r="AP7" s="22">
        <v>0.38336547359014411</v>
      </c>
      <c r="AQ7" s="22">
        <v>0.18813770895156576</v>
      </c>
      <c r="AR7" s="23">
        <v>0</v>
      </c>
      <c r="AS7" s="26" cm="1">
        <f t="array" ref="AS7:AZ7">[1]!unf_GrayModifiedGradient(diam_mm,theta,eps_m,L7,Qg_rc_m3day,Mul_rc_cP,Mug_rc_cP,sigma_l_Nm,rho_lrc_kgm3,rho_grc_kgm3)</f>
        <v>-1.9500892367831213E-4</v>
      </c>
      <c r="AT7" s="27">
        <v>-2.2140242550261726E-4</v>
      </c>
      <c r="AU7" s="27">
        <v>2.6393501824305146E-5</v>
      </c>
      <c r="AV7" s="27">
        <v>0</v>
      </c>
      <c r="AW7" s="27">
        <v>3.8336547359014414E-2</v>
      </c>
      <c r="AX7" s="27">
        <v>0.38336547359014411</v>
      </c>
      <c r="AY7" s="27">
        <v>0.19137734032375889</v>
      </c>
      <c r="AZ7" s="28">
        <v>0</v>
      </c>
    </row>
    <row r="8" spans="2:52" x14ac:dyDescent="0.25">
      <c r="B8" t="s">
        <v>3</v>
      </c>
      <c r="C8">
        <v>100</v>
      </c>
      <c r="L8" s="9">
        <v>20</v>
      </c>
      <c r="M8" s="2" cm="1">
        <f t="array" ref="M8:T8">[1]!unf_AnsariGradient(diam_mm,theta,eps_m,L8,Qg_rc_m3day,Mul_rc_cP,Mug_rc_cP,sigma_l_Nm,rho_lrc_kgm3,rho_grc_kgm3,p_atma)</f>
        <v>6.4851282591091124E-4</v>
      </c>
      <c r="N8" s="3">
        <v>5.3003923243437334E-4</v>
      </c>
      <c r="O8" s="3">
        <v>1.1847359347653792E-4</v>
      </c>
      <c r="P8" s="3">
        <v>0</v>
      </c>
      <c r="Q8" s="3">
        <v>7.6673094718028828E-2</v>
      </c>
      <c r="R8" s="3">
        <v>0.38336547359014411</v>
      </c>
      <c r="S8" s="3">
        <v>0.55117725826435104</v>
      </c>
      <c r="T8" s="4">
        <v>103</v>
      </c>
      <c r="U8" s="10" cm="1">
        <f t="array" ref="U8:AB8">[1]!unf_BegsBrillGradient(diam_mm,theta,eps_m,L8,Qg_rc_m3day,Mul_rc_cP,Mug_rc_cP,sigma_l_Nm,rho_lrc_kgm3,rho_grc_kgm3,1,1)</f>
        <v>-2.4725381948238631E-4</v>
      </c>
      <c r="V8" s="11">
        <v>-3.1798264110919787E-4</v>
      </c>
      <c r="W8" s="11">
        <v>7.072882162681154E-5</v>
      </c>
      <c r="X8" s="11">
        <v>0</v>
      </c>
      <c r="Y8" s="11">
        <v>7.6673094718028828E-2</v>
      </c>
      <c r="Z8" s="11">
        <v>0.38336547359014411</v>
      </c>
      <c r="AA8" s="11">
        <v>0.28990208323684236</v>
      </c>
      <c r="AB8" s="12">
        <v>3</v>
      </c>
      <c r="AC8" s="16" cm="1">
        <f t="array" ref="AC8:AJ8">[1]!unf_UnifiedTUFFPGradient(diam_mm,theta,eps_m,L8,Qg_rc_m3day,Mul_rc_cP,Mug_rc_cP,sigma_l_Nm,rho_lrc_kgm3,rho_grc_kgm3,p_atma)</f>
        <v>-2.7138691894150788E-5</v>
      </c>
      <c r="AD8" s="17">
        <v>-1.5375808829109713E-4</v>
      </c>
      <c r="AE8" s="17">
        <v>1.2661939639694634E-4</v>
      </c>
      <c r="AF8" s="17">
        <v>-1.0221180907987162E-11</v>
      </c>
      <c r="AG8" s="17">
        <v>7.6673094718028828E-2</v>
      </c>
      <c r="AH8" s="17">
        <v>0.38336547359014411</v>
      </c>
      <c r="AI8" s="17">
        <v>0.12240977042764339</v>
      </c>
      <c r="AJ8" s="18">
        <v>204</v>
      </c>
      <c r="AK8" s="21" cm="1">
        <f t="array" ref="AK8:AR8">[1]!unf_HagedornandBrawnmodified(diam_mm,theta,eps_m,L8,Qg_rc_m3day,Mul_rc_cP,Mug_rc_cP,sigma_l_Nm,rho_lrc_kgm3,rho_grc_kgm3,p_atma)</f>
        <v>-2.5134021991908291E-4</v>
      </c>
      <c r="AL8" s="22">
        <v>-2.8503812778882406E-4</v>
      </c>
      <c r="AM8" s="22">
        <v>3.3697907869741149E-5</v>
      </c>
      <c r="AN8" s="22">
        <v>0</v>
      </c>
      <c r="AO8" s="22">
        <v>7.6673094718028828E-2</v>
      </c>
      <c r="AP8" s="22">
        <v>0.38336547359014411</v>
      </c>
      <c r="AQ8" s="22">
        <v>0.25629427148263745</v>
      </c>
      <c r="AR8" s="23">
        <v>0</v>
      </c>
      <c r="AS8" s="26" cm="1">
        <f t="array" ref="AS8:AZ8">[1]!unf_GrayModifiedGradient(diam_mm,theta,eps_m,L8,Qg_rc_m3day,Mul_rc_cP,Mug_rc_cP,sigma_l_Nm,rho_lrc_kgm3,rho_grc_kgm3)</f>
        <v>-2.2372872910806924E-4</v>
      </c>
      <c r="AT8" s="27">
        <v>-2.7244165760419045E-4</v>
      </c>
      <c r="AU8" s="27">
        <v>4.8712928496121213E-5</v>
      </c>
      <c r="AV8" s="27">
        <v>0</v>
      </c>
      <c r="AW8" s="27">
        <v>7.6673094718028828E-2</v>
      </c>
      <c r="AX8" s="27">
        <v>0.38336547359014411</v>
      </c>
      <c r="AY8" s="27">
        <v>0.24344418641336385</v>
      </c>
      <c r="AZ8" s="28">
        <v>0</v>
      </c>
    </row>
    <row r="9" spans="2:52" x14ac:dyDescent="0.25">
      <c r="B9" t="s">
        <v>4</v>
      </c>
      <c r="C9">
        <v>0.6</v>
      </c>
      <c r="L9" s="9">
        <v>30</v>
      </c>
      <c r="M9" s="2" cm="1">
        <f t="array" ref="M9:T9">[1]!unf_AnsariGradient(diam_mm,theta,eps_m,L9,Qg_rc_m3day,Mul_rc_cP,Mug_rc_cP,sigma_l_Nm,rho_lrc_kgm3,rho_grc_kgm3,p_atma)</f>
        <v>7.0083865667272364E-4</v>
      </c>
      <c r="N9" s="3">
        <v>5.5586700898437611E-4</v>
      </c>
      <c r="O9" s="3">
        <v>1.4497164768834759E-4</v>
      </c>
      <c r="P9" s="3">
        <v>0</v>
      </c>
      <c r="Q9" s="3">
        <v>0.11500964207704324</v>
      </c>
      <c r="R9" s="3">
        <v>0.38336547359014411</v>
      </c>
      <c r="S9" s="3">
        <v>0.57469765952492324</v>
      </c>
      <c r="T9" s="4">
        <v>103</v>
      </c>
      <c r="U9" s="10" cm="1">
        <f t="array" ref="U9:AB9">[1]!unf_BegsBrillGradient(diam_mm,theta,eps_m,L9,Qg_rc_m3day,Mul_rc_cP,Mug_rc_cP,sigma_l_Nm,rho_lrc_kgm3,rho_grc_kgm3,1,1)</f>
        <v>-2.3106798619308623E-4</v>
      </c>
      <c r="V9" s="11">
        <v>-3.4049074388292573E-4</v>
      </c>
      <c r="W9" s="11">
        <v>1.0942275768983948E-4</v>
      </c>
      <c r="X9" s="11">
        <v>0</v>
      </c>
      <c r="Y9" s="11">
        <v>0.11500964207704324</v>
      </c>
      <c r="Z9" s="11">
        <v>0.38336547359014411</v>
      </c>
      <c r="AA9" s="11">
        <v>0.31286335978105928</v>
      </c>
      <c r="AB9" s="12">
        <v>3</v>
      </c>
      <c r="AC9" s="16" cm="1">
        <f t="array" ref="AC9:AJ9">[1]!unf_UnifiedTUFFPGradient(diam_mm,theta,eps_m,L9,Qg_rc_m3day,Mul_rc_cP,Mug_rc_cP,sigma_l_Nm,rho_lrc_kgm3,rho_grc_kgm3,p_atma)</f>
        <v>-2.6854777647654235E-5</v>
      </c>
      <c r="AD9" s="17">
        <v>-1.9369701189143632E-4</v>
      </c>
      <c r="AE9" s="17">
        <v>1.6684223424378209E-4</v>
      </c>
      <c r="AF9" s="17">
        <v>-1.1122232177661902E-11</v>
      </c>
      <c r="AG9" s="17">
        <v>0.11500964207704324</v>
      </c>
      <c r="AH9" s="17">
        <v>0.38336547359014411</v>
      </c>
      <c r="AI9" s="17">
        <v>0.16316287031831234</v>
      </c>
      <c r="AJ9" s="18">
        <v>204</v>
      </c>
      <c r="AK9" s="21" cm="1">
        <f t="array" ref="AK9:AR9">[1]!unf_HagedornandBrawnmodified(diam_mm,theta,eps_m,L9,Qg_rc_m3day,Mul_rc_cP,Mug_rc_cP,sigma_l_Nm,rho_lrc_kgm3,rho_grc_kgm3,p_atma)</f>
        <v>-2.8128035719488762E-4</v>
      </c>
      <c r="AL9" s="22">
        <v>-3.3787882890346513E-4</v>
      </c>
      <c r="AM9" s="22">
        <v>5.6598471708577522E-5</v>
      </c>
      <c r="AN9" s="22">
        <v>0</v>
      </c>
      <c r="AO9" s="22">
        <v>0.11500964207704324</v>
      </c>
      <c r="AP9" s="22">
        <v>0.38336547359014411</v>
      </c>
      <c r="AQ9" s="22">
        <v>0.31019885701259942</v>
      </c>
      <c r="AR9" s="23">
        <v>0</v>
      </c>
      <c r="AS9" s="26" cm="1">
        <f t="array" ref="AS9:AZ9">[1]!unf_GrayModifiedGradient(diam_mm,theta,eps_m,L9,Qg_rc_m3day,Mul_rc_cP,Mug_rc_cP,sigma_l_Nm,rho_lrc_kgm3,rho_grc_kgm3)</f>
        <v>-2.4792504224151901E-4</v>
      </c>
      <c r="AT9" s="27">
        <v>-3.2147190881076491E-4</v>
      </c>
      <c r="AU9" s="27">
        <v>7.3546866569245889E-5</v>
      </c>
      <c r="AV9" s="27">
        <v>0</v>
      </c>
      <c r="AW9" s="27">
        <v>0.11500964207704324</v>
      </c>
      <c r="AX9" s="27">
        <v>0.38336547359014411</v>
      </c>
      <c r="AY9" s="27">
        <v>0.29346160317674597</v>
      </c>
      <c r="AZ9" s="28">
        <v>0</v>
      </c>
    </row>
    <row r="10" spans="2:52" x14ac:dyDescent="0.25">
      <c r="B10" t="s">
        <v>5</v>
      </c>
      <c r="C10" s="1">
        <v>0.03</v>
      </c>
      <c r="L10" s="9">
        <v>40</v>
      </c>
      <c r="M10" s="2" cm="1">
        <f t="array" ref="M10:T10">[1]!unf_AnsariGradient(diam_mm,theta,eps_m,L10,Qg_rc_m3day,Mul_rc_cP,Mug_rc_cP,sigma_l_Nm,rho_lrc_kgm3,rho_grc_kgm3,p_atma)</f>
        <v>7.5287447858919036E-4</v>
      </c>
      <c r="N10" s="3">
        <v>5.7896068495585646E-4</v>
      </c>
      <c r="O10" s="3">
        <v>1.739137936333339E-4</v>
      </c>
      <c r="P10" s="3">
        <v>0</v>
      </c>
      <c r="Q10" s="3">
        <v>0.15334618943605766</v>
      </c>
      <c r="R10" s="3">
        <v>0.38336547359014411</v>
      </c>
      <c r="S10" s="3">
        <v>0.5957996459232866</v>
      </c>
      <c r="T10" s="4">
        <v>103</v>
      </c>
      <c r="U10" s="10" cm="1">
        <f t="array" ref="U10:AB10">[1]!unf_BegsBrillGradient(diam_mm,theta,eps_m,L10,Qg_rc_m3day,Mul_rc_cP,Mug_rc_cP,sigma_l_Nm,rho_lrc_kgm3,rho_grc_kgm3,1,1)</f>
        <v>-1.903479801316204E-4</v>
      </c>
      <c r="V10" s="11">
        <v>-3.4478876605922458E-4</v>
      </c>
      <c r="W10" s="11">
        <v>1.5444078592760418E-4</v>
      </c>
      <c r="X10" s="11">
        <v>0</v>
      </c>
      <c r="Y10" s="11">
        <v>0.15334618943605766</v>
      </c>
      <c r="Z10" s="11">
        <v>0.38336547359014411</v>
      </c>
      <c r="AA10" s="11">
        <v>0.31724791750124026</v>
      </c>
      <c r="AB10" s="12">
        <v>3</v>
      </c>
      <c r="AC10" s="16" cm="1">
        <f t="array" ref="AC10:AJ10">[1]!unf_UnifiedTUFFPGradient(diam_mm,theta,eps_m,L10,Qg_rc_m3day,Mul_rc_cP,Mug_rc_cP,sigma_l_Nm,rho_lrc_kgm3,rho_grc_kgm3,p_atma)</f>
        <v>-2.5410382412434173E-5</v>
      </c>
      <c r="AD10" s="17">
        <v>-2.3313033043177522E-4</v>
      </c>
      <c r="AE10" s="17">
        <v>2.0771994801934104E-4</v>
      </c>
      <c r="AF10" s="17">
        <v>-1.1612558996204032E-11</v>
      </c>
      <c r="AG10" s="17">
        <v>0.15334618943605766</v>
      </c>
      <c r="AH10" s="17">
        <v>0.38336547359014411</v>
      </c>
      <c r="AI10" s="17">
        <v>0.20340005811977199</v>
      </c>
      <c r="AJ10" s="18">
        <v>204</v>
      </c>
      <c r="AK10" s="21" cm="1">
        <f t="array" ref="AK10:AR10">[1]!unf_HagedornandBrawnmodified(diam_mm,theta,eps_m,L10,Qg_rc_m3day,Mul_rc_cP,Mug_rc_cP,sigma_l_Nm,rho_lrc_kgm3,rho_grc_kgm3,p_atma)</f>
        <v>-2.9832431438296539E-4</v>
      </c>
      <c r="AL10" s="22">
        <v>-3.8132669381371072E-4</v>
      </c>
      <c r="AM10" s="22">
        <v>8.3002379430745303E-5</v>
      </c>
      <c r="AN10" s="22">
        <v>0</v>
      </c>
      <c r="AO10" s="22">
        <v>0.15334618943605766</v>
      </c>
      <c r="AP10" s="22">
        <v>0.38336547359014411</v>
      </c>
      <c r="AQ10" s="22">
        <v>0.35452149279798328</v>
      </c>
      <c r="AR10" s="23">
        <v>0</v>
      </c>
      <c r="AS10" s="26" cm="1">
        <f t="array" ref="AS10:AZ10">[1]!unf_GrayModifiedGradient(diam_mm,theta,eps_m,L10,Qg_rc_m3day,Mul_rc_cP,Mug_rc_cP,sigma_l_Nm,rho_lrc_kgm3,rho_grc_kgm3)</f>
        <v>-2.6492605919533225E-4</v>
      </c>
      <c r="AT10" s="27">
        <v>-3.6576483659093881E-4</v>
      </c>
      <c r="AU10" s="27">
        <v>1.0083877739560655E-4</v>
      </c>
      <c r="AV10" s="27">
        <v>0</v>
      </c>
      <c r="AW10" s="27">
        <v>0.15334618943605766</v>
      </c>
      <c r="AX10" s="27">
        <v>0.38336547359014411</v>
      </c>
      <c r="AY10" s="27">
        <v>0.33864631616378205</v>
      </c>
      <c r="AZ10" s="28">
        <v>0</v>
      </c>
    </row>
    <row r="11" spans="2:52" x14ac:dyDescent="0.25">
      <c r="B11" t="s">
        <v>6</v>
      </c>
      <c r="C11" s="1">
        <v>0.25</v>
      </c>
      <c r="L11" s="9">
        <v>50</v>
      </c>
      <c r="M11" s="2" cm="1">
        <f t="array" ref="M11:T11">[1]!unf_AnsariGradient(diam_mm,theta,eps_m,L11,Qg_rc_m3day,Mul_rc_cP,Mug_rc_cP,sigma_l_Nm,rho_lrc_kgm3,rho_grc_kgm3,p_atma)</f>
        <v>8.0502389233321229E-4</v>
      </c>
      <c r="N11" s="3">
        <v>5.9975005004500018E-4</v>
      </c>
      <c r="O11" s="3">
        <v>2.0527384228821212E-4</v>
      </c>
      <c r="P11" s="3">
        <v>0</v>
      </c>
      <c r="Q11" s="3">
        <v>0.19168273679507206</v>
      </c>
      <c r="R11" s="3">
        <v>0.38336547359014411</v>
      </c>
      <c r="S11" s="3">
        <v>0.61485026892612771</v>
      </c>
      <c r="T11" s="4">
        <v>103</v>
      </c>
      <c r="U11" s="10" cm="1">
        <f t="array" ref="U11:AB11">[1]!unf_BegsBrillGradient(diam_mm,theta,eps_m,L11,Qg_rc_m3day,Mul_rc_cP,Mug_rc_cP,sigma_l_Nm,rho_lrc_kgm3,rho_grc_kgm3,1,1)</f>
        <v>-1.5845226876703221E-4</v>
      </c>
      <c r="V11" s="11">
        <v>-3.6055671310736401E-4</v>
      </c>
      <c r="W11" s="11">
        <v>2.021044443403318E-4</v>
      </c>
      <c r="X11" s="11">
        <v>0</v>
      </c>
      <c r="Y11" s="11">
        <v>0.19168273679507206</v>
      </c>
      <c r="Z11" s="11">
        <v>0.38336547359014411</v>
      </c>
      <c r="AA11" s="11">
        <v>0.33333333333333331</v>
      </c>
      <c r="AB11" s="12">
        <v>1</v>
      </c>
      <c r="AC11" s="16" cm="1">
        <f t="array" ref="AC11:AJ11">[1]!unf_UnifiedTUFFPGradient(diam_mm,theta,eps_m,L11,Qg_rc_m3day,Mul_rc_cP,Mug_rc_cP,sigma_l_Nm,rho_lrc_kgm3,rho_grc_kgm3,p_atma)</f>
        <v>-3.1035212758450862E-5</v>
      </c>
      <c r="AD11" s="17">
        <v>-2.6701577654067373E-4</v>
      </c>
      <c r="AE11" s="17">
        <v>2.3598056378222287E-4</v>
      </c>
      <c r="AF11" s="17">
        <v>-1.5497064173082977E-11</v>
      </c>
      <c r="AG11" s="17">
        <v>0.19168273679507206</v>
      </c>
      <c r="AH11" s="17">
        <v>0.38336547359014411</v>
      </c>
      <c r="AI11" s="17">
        <v>0.23797627714696912</v>
      </c>
      <c r="AJ11" s="18">
        <v>204</v>
      </c>
      <c r="AK11" s="21" cm="1">
        <f t="array" ref="AK11:AR11">[1]!unf_HagedornandBrawnmodified(diam_mm,theta,eps_m,L11,Qg_rc_m3day,Mul_rc_cP,Mug_rc_cP,sigma_l_Nm,rho_lrc_kgm3,rho_grc_kgm3,p_atma)</f>
        <v>-3.0558361077240325E-4</v>
      </c>
      <c r="AL11" s="22">
        <v>-4.1814255660522614E-4</v>
      </c>
      <c r="AM11" s="22">
        <v>1.1255894583282286E-4</v>
      </c>
      <c r="AN11" s="22">
        <v>0</v>
      </c>
      <c r="AO11" s="22">
        <v>0.19168273679507206</v>
      </c>
      <c r="AP11" s="22">
        <v>0.38336547359014411</v>
      </c>
      <c r="AQ11" s="22">
        <v>0.39207859902182018</v>
      </c>
      <c r="AR11" s="23">
        <v>0</v>
      </c>
      <c r="AS11" s="26" cm="1">
        <f t="array" ref="AS11:AZ11">[1]!unf_GrayModifiedGradient(diam_mm,theta,eps_m,L11,Qg_rc_m3day,Mul_rc_cP,Mug_rc_cP,sigma_l_Nm,rho_lrc_kgm3,rho_grc_kgm3)</f>
        <v>-2.7477104329242362E-4</v>
      </c>
      <c r="AT11" s="27">
        <v>-4.0530719382947053E-4</v>
      </c>
      <c r="AU11" s="27">
        <v>1.3053615053704694E-4</v>
      </c>
      <c r="AV11" s="27">
        <v>0</v>
      </c>
      <c r="AW11" s="27">
        <v>0.19168273679507206</v>
      </c>
      <c r="AX11" s="27">
        <v>0.38336547359014411</v>
      </c>
      <c r="AY11" s="27">
        <v>0.37898481154438446</v>
      </c>
      <c r="AZ11" s="28">
        <v>0</v>
      </c>
    </row>
    <row r="12" spans="2:52" x14ac:dyDescent="0.25">
      <c r="B12" t="s">
        <v>7</v>
      </c>
      <c r="C12">
        <v>600</v>
      </c>
      <c r="L12" s="9">
        <v>60</v>
      </c>
      <c r="M12" s="2" cm="1">
        <f t="array" ref="M12:T12">[1]!unf_AnsariGradient(diam_mm,theta,eps_m,L12,Qg_rc_m3day,Mul_rc_cP,Mug_rc_cP,sigma_l_Nm,rho_lrc_kgm3,rho_grc_kgm3,p_atma)</f>
        <v>8.5760328560914676E-4</v>
      </c>
      <c r="N12" s="3">
        <v>6.1857597317024969E-4</v>
      </c>
      <c r="O12" s="3">
        <v>2.3902731243889702E-4</v>
      </c>
      <c r="P12" s="3">
        <v>0</v>
      </c>
      <c r="Q12" s="3">
        <v>0.23001928415408648</v>
      </c>
      <c r="R12" s="3">
        <v>0.38336547359014411</v>
      </c>
      <c r="S12" s="3">
        <v>0.63214350760853377</v>
      </c>
      <c r="T12" s="4">
        <v>103</v>
      </c>
      <c r="U12" s="10" cm="1">
        <f t="array" ref="U12:AB12">[1]!unf_BegsBrillGradient(diam_mm,theta,eps_m,L12,Qg_rc_m3day,Mul_rc_cP,Mug_rc_cP,sigma_l_Nm,rho_lrc_kgm3,rho_grc_kgm3,1,1)</f>
        <v>-1.5357697238421118E-4</v>
      </c>
      <c r="V12" s="11">
        <v>-4.0140102826405761E-4</v>
      </c>
      <c r="W12" s="11">
        <v>2.4782405587984644E-4</v>
      </c>
      <c r="X12" s="11">
        <v>0</v>
      </c>
      <c r="Y12" s="11">
        <v>0.23001928415408648</v>
      </c>
      <c r="Z12" s="11">
        <v>0.38336547359014411</v>
      </c>
      <c r="AA12" s="11">
        <v>0.375</v>
      </c>
      <c r="AB12" s="12">
        <v>1</v>
      </c>
      <c r="AC12" s="16" cm="1">
        <f t="array" ref="AC12:AJ12">[1]!unf_UnifiedTUFFPGradient(diam_mm,theta,eps_m,L12,Qg_rc_m3day,Mul_rc_cP,Mug_rc_cP,sigma_l_Nm,rho_lrc_kgm3,rho_grc_kgm3,p_atma)</f>
        <v>-3.5115952275589226E-5</v>
      </c>
      <c r="AD12" s="17">
        <v>-3.0215174800829247E-4</v>
      </c>
      <c r="AE12" s="17">
        <v>2.6703579573270325E-4</v>
      </c>
      <c r="AF12" s="17">
        <v>-1.9305555153242878E-11</v>
      </c>
      <c r="AG12" s="17">
        <v>0.23001928415408648</v>
      </c>
      <c r="AH12" s="17">
        <v>0.38336547359014411</v>
      </c>
      <c r="AI12" s="17">
        <v>0.27382851416027204</v>
      </c>
      <c r="AJ12" s="18">
        <v>204</v>
      </c>
      <c r="AK12" s="21" cm="1">
        <f t="array" ref="AK12:AR12">[1]!unf_HagedornandBrawnmodified(diam_mm,theta,eps_m,L12,Qg_rc_m3day,Mul_rc_cP,Mug_rc_cP,sigma_l_Nm,rho_lrc_kgm3,rho_grc_kgm3,p_atma)</f>
        <v>-3.0500706752790258E-4</v>
      </c>
      <c r="AL12" s="22">
        <v>-4.5002972587192231E-4</v>
      </c>
      <c r="AM12" s="22">
        <v>1.450226583440197E-4</v>
      </c>
      <c r="AN12" s="22">
        <v>0</v>
      </c>
      <c r="AO12" s="22">
        <v>0.23001928415408648</v>
      </c>
      <c r="AP12" s="22">
        <v>0.38336547359014411</v>
      </c>
      <c r="AQ12" s="22">
        <v>0.42460777836249203</v>
      </c>
      <c r="AR12" s="23">
        <v>0</v>
      </c>
      <c r="AS12" s="26" cm="1">
        <f t="array" ref="AS12:AZ12">[1]!unf_GrayModifiedGradient(diam_mm,theta,eps_m,L12,Qg_rc_m3day,Mul_rc_cP,Mug_rc_cP,sigma_l_Nm,rho_lrc_kgm3,rho_grc_kgm3)</f>
        <v>-2.7799522361050756E-4</v>
      </c>
      <c r="AT12" s="27">
        <v>-4.4058700236609917E-4</v>
      </c>
      <c r="AU12" s="27">
        <v>1.625917787555916E-4</v>
      </c>
      <c r="AV12" s="27">
        <v>0</v>
      </c>
      <c r="AW12" s="27">
        <v>0.23001928415408648</v>
      </c>
      <c r="AX12" s="27">
        <v>0.38336547359014411</v>
      </c>
      <c r="AY12" s="27">
        <v>0.41497493689524673</v>
      </c>
      <c r="AZ12" s="28">
        <v>0</v>
      </c>
    </row>
    <row r="13" spans="2:52" x14ac:dyDescent="0.25">
      <c r="B13" t="s">
        <v>8</v>
      </c>
      <c r="C13">
        <v>20</v>
      </c>
      <c r="L13" s="9">
        <v>70</v>
      </c>
      <c r="M13" s="2" cm="1">
        <f t="array" ref="M13:T13">[1]!unf_AnsariGradient(diam_mm,theta,eps_m,L13,Qg_rc_m3day,Mul_rc_cP,Mug_rc_cP,sigma_l_Nm,rho_lrc_kgm3,rho_grc_kgm3,p_atma)</f>
        <v>9.1086430729432589E-4</v>
      </c>
      <c r="N13" s="3">
        <v>6.3571298736354832E-4</v>
      </c>
      <c r="O13" s="3">
        <v>2.7515131993077757E-4</v>
      </c>
      <c r="P13" s="3">
        <v>0</v>
      </c>
      <c r="Q13" s="3">
        <v>0.26835583151310088</v>
      </c>
      <c r="R13" s="3">
        <v>0.38336547359014411</v>
      </c>
      <c r="S13" s="3">
        <v>0.64791810541238559</v>
      </c>
      <c r="T13" s="4">
        <v>103</v>
      </c>
      <c r="U13" s="10" cm="1">
        <f t="array" ref="U13:AB13">[1]!unf_BegsBrillGradient(diam_mm,theta,eps_m,L13,Qg_rc_m3day,Mul_rc_cP,Mug_rc_cP,sigma_l_Nm,rho_lrc_kgm3,rho_grc_kgm3,1,1)</f>
        <v>-1.4054179806846558E-4</v>
      </c>
      <c r="V13" s="11">
        <v>-4.374401298729049E-4</v>
      </c>
      <c r="W13" s="11">
        <v>2.9689833180443931E-4</v>
      </c>
      <c r="X13" s="11">
        <v>0</v>
      </c>
      <c r="Y13" s="11">
        <v>0.26835583151310088</v>
      </c>
      <c r="Z13" s="11">
        <v>0.38336547359014411</v>
      </c>
      <c r="AA13" s="11">
        <v>0.41176470588235292</v>
      </c>
      <c r="AB13" s="12">
        <v>1</v>
      </c>
      <c r="AC13" s="16" cm="1">
        <f t="array" ref="AC13:AJ13">[1]!unf_UnifiedTUFFPGradient(diam_mm,theta,eps_m,L13,Qg_rc_m3day,Mul_rc_cP,Mug_rc_cP,sigma_l_Nm,rho_lrc_kgm3,rho_grc_kgm3,p_atma)</f>
        <v>-3.8508978071619766E-5</v>
      </c>
      <c r="AD13" s="17">
        <v>-3.3610874990851257E-4</v>
      </c>
      <c r="AE13" s="17">
        <v>2.975997718368928E-4</v>
      </c>
      <c r="AF13" s="17">
        <v>-2.3341088507119274E-11</v>
      </c>
      <c r="AG13" s="17">
        <v>0.26835583151310088</v>
      </c>
      <c r="AH13" s="17">
        <v>0.38336547359014411</v>
      </c>
      <c r="AI13" s="17">
        <v>0.30847774768181718</v>
      </c>
      <c r="AJ13" s="18">
        <v>204</v>
      </c>
      <c r="AK13" s="21" cm="1">
        <f t="array" ref="AK13:AR13">[1]!unf_HagedornandBrawnmodified(diam_mm,theta,eps_m,L13,Qg_rc_m3day,Mul_rc_cP,Mug_rc_cP,sigma_l_Nm,rho_lrc_kgm3,rho_grc_kgm3,p_atma)</f>
        <v>-2.9789434607510276E-4</v>
      </c>
      <c r="AL13" s="22">
        <v>-4.7810499121313103E-4</v>
      </c>
      <c r="AM13" s="22">
        <v>1.8021064513802824E-4</v>
      </c>
      <c r="AN13" s="22">
        <v>0</v>
      </c>
      <c r="AO13" s="22">
        <v>0.26835583151310088</v>
      </c>
      <c r="AP13" s="22">
        <v>0.38336547359014411</v>
      </c>
      <c r="AQ13" s="22">
        <v>0.45324830564425883</v>
      </c>
      <c r="AR13" s="23">
        <v>0</v>
      </c>
      <c r="AS13" s="26" cm="1">
        <f t="array" ref="AS13:AZ13">[1]!unf_GrayModifiedGradient(diam_mm,theta,eps_m,L13,Qg_rc_m3day,Mul_rc_cP,Mug_rc_cP,sigma_l_Nm,rho_lrc_kgm3,rho_grc_kgm3)</f>
        <v>-2.7519187466868399E-4</v>
      </c>
      <c r="AT13" s="27">
        <v>-4.7215507723371322E-4</v>
      </c>
      <c r="AU13" s="27">
        <v>1.9696320256502924E-4</v>
      </c>
      <c r="AV13" s="27">
        <v>0</v>
      </c>
      <c r="AW13" s="27">
        <v>0.26835583151310088</v>
      </c>
      <c r="AX13" s="27">
        <v>0.38336547359014411</v>
      </c>
      <c r="AY13" s="27">
        <v>0.44717859725216907</v>
      </c>
      <c r="AZ13" s="28">
        <v>0</v>
      </c>
    </row>
    <row r="14" spans="2:52" x14ac:dyDescent="0.25">
      <c r="B14" t="s">
        <v>9</v>
      </c>
      <c r="C14">
        <v>100</v>
      </c>
      <c r="L14" s="9">
        <v>80</v>
      </c>
      <c r="M14" s="2" cm="1">
        <f t="array" ref="M14:T14">[1]!unf_AnsariGradient(diam_mm,theta,eps_m,L14,Qg_rc_m3day,Mul_rc_cP,Mug_rc_cP,sigma_l_Nm,rho_lrc_kgm3,rho_grc_kgm3,p_atma)</f>
        <v>9.6500961332527248E-4</v>
      </c>
      <c r="N14" s="3">
        <v>6.5138515385273241E-4</v>
      </c>
      <c r="O14" s="3">
        <v>3.1362445947254002E-4</v>
      </c>
      <c r="P14" s="3">
        <v>0</v>
      </c>
      <c r="Q14" s="3">
        <v>0.30669237887211531</v>
      </c>
      <c r="R14" s="3">
        <v>0.38336547359014411</v>
      </c>
      <c r="S14" s="3">
        <v>0.66237030364945204</v>
      </c>
      <c r="T14" s="4">
        <v>103</v>
      </c>
      <c r="U14" s="10" cm="1">
        <f t="array" ref="U14:AB14">[1]!unf_BegsBrillGradient(diam_mm,theta,eps_m,L14,Qg_rc_m3day,Mul_rc_cP,Mug_rc_cP,sigma_l_Nm,rho_lrc_kgm3,rho_grc_kgm3,1,1)</f>
        <v>-1.2018218057324324E-4</v>
      </c>
      <c r="V14" s="11">
        <v>-4.6947488685854694E-4</v>
      </c>
      <c r="W14" s="11">
        <v>3.492927062853037E-4</v>
      </c>
      <c r="X14" s="11">
        <v>0</v>
      </c>
      <c r="Y14" s="11">
        <v>0.30669237887211531</v>
      </c>
      <c r="Z14" s="11">
        <v>0.38336547359014411</v>
      </c>
      <c r="AA14" s="11">
        <v>0.44444444444444442</v>
      </c>
      <c r="AB14" s="12">
        <v>1</v>
      </c>
      <c r="AC14" s="16" cm="1">
        <f t="array" ref="AC14:AJ14">[1]!unf_UnifiedTUFFPGradient(diam_mm,theta,eps_m,L14,Qg_rc_m3day,Mul_rc_cP,Mug_rc_cP,sigma_l_Nm,rho_lrc_kgm3,rho_grc_kgm3,p_atma)</f>
        <v>-4.0676507357329395E-5</v>
      </c>
      <c r="AD14" s="17">
        <v>-3.6894046655241948E-4</v>
      </c>
      <c r="AE14" s="17">
        <v>3.2826395919509008E-4</v>
      </c>
      <c r="AF14" s="17">
        <v>-2.7223349408558061E-11</v>
      </c>
      <c r="AG14" s="17">
        <v>0.30669237887211531</v>
      </c>
      <c r="AH14" s="17">
        <v>0.38336547359014411</v>
      </c>
      <c r="AI14" s="17">
        <v>0.34197875640604608</v>
      </c>
      <c r="AJ14" s="18">
        <v>204</v>
      </c>
      <c r="AK14" s="21" cm="1">
        <f t="array" ref="AK14:AR14">[1]!unf_HagedornandBrawnmodified(diam_mm,theta,eps_m,L14,Qg_rc_m3day,Mul_rc_cP,Mug_rc_cP,sigma_l_Nm,rho_lrc_kgm3,rho_grc_kgm3,p_atma)</f>
        <v>-2.8515901935363615E-4</v>
      </c>
      <c r="AL14" s="22">
        <v>-5.0314004473316423E-4</v>
      </c>
      <c r="AM14" s="22">
        <v>2.1798102537952808E-4</v>
      </c>
      <c r="AN14" s="22">
        <v>0</v>
      </c>
      <c r="AO14" s="22">
        <v>0.30669237887211531</v>
      </c>
      <c r="AP14" s="22">
        <v>0.38336547359014411</v>
      </c>
      <c r="AQ14" s="22">
        <v>0.47878741007040887</v>
      </c>
      <c r="AR14" s="23">
        <v>0</v>
      </c>
      <c r="AS14" s="26" cm="1">
        <f t="array" ref="AS14:AZ14">[1]!unf_GrayModifiedGradient(diam_mm,theta,eps_m,L14,Qg_rc_m3day,Mul_rc_cP,Mug_rc_cP,sigma_l_Nm,rho_lrc_kgm3,rho_grc_kgm3)</f>
        <v>-2.6690508029827368E-4</v>
      </c>
      <c r="AT14" s="27">
        <v>-5.0051711350907651E-4</v>
      </c>
      <c r="AU14" s="27">
        <v>2.336120332108028E-4</v>
      </c>
      <c r="AV14" s="27">
        <v>0</v>
      </c>
      <c r="AW14" s="27">
        <v>0.30669237887211531</v>
      </c>
      <c r="AX14" s="27">
        <v>0.38336547359014411</v>
      </c>
      <c r="AY14" s="27">
        <v>0.47611166925839177</v>
      </c>
      <c r="AZ14" s="28">
        <v>0</v>
      </c>
    </row>
    <row r="15" spans="2:52" x14ac:dyDescent="0.25">
      <c r="L15" s="9">
        <v>90</v>
      </c>
      <c r="M15" s="2" cm="1">
        <f t="array" ref="M15:T15">[1]!unf_AnsariGradient(diam_mm,theta,eps_m,L15,Qg_rc_m3day,Mul_rc_cP,Mug_rc_cP,sigma_l_Nm,rho_lrc_kgm3,rho_grc_kgm3,p_atma)</f>
        <v>1.02020416080055E-3</v>
      </c>
      <c r="N15" s="3">
        <v>6.6577747141117289E-4</v>
      </c>
      <c r="O15" s="3">
        <v>3.5442668938937704E-4</v>
      </c>
      <c r="P15" s="3">
        <v>0</v>
      </c>
      <c r="Q15" s="3">
        <v>0.34502892623112968</v>
      </c>
      <c r="R15" s="3">
        <v>0.38336547359014411</v>
      </c>
      <c r="S15" s="3">
        <v>0.67566312840321763</v>
      </c>
      <c r="T15" s="4">
        <v>103</v>
      </c>
      <c r="U15" s="10" cm="1">
        <f t="array" ref="U15:AB15">[1]!unf_BegsBrillGradient(diam_mm,theta,eps_m,L15,Qg_rc_m3day,Mul_rc_cP,Mug_rc_cP,sigma_l_Nm,rho_lrc_kgm3,rho_grc_kgm3,1,1)</f>
        <v>-9.3159500654952764E-5</v>
      </c>
      <c r="V15" s="11">
        <v>-4.9813756416148972E-4</v>
      </c>
      <c r="W15" s="11">
        <v>4.0497806350653695E-4</v>
      </c>
      <c r="X15" s="11">
        <v>0</v>
      </c>
      <c r="Y15" s="11">
        <v>0.34502892623112968</v>
      </c>
      <c r="Z15" s="11">
        <v>0.38336547359014411</v>
      </c>
      <c r="AA15" s="11">
        <v>0.47368421052631576</v>
      </c>
      <c r="AB15" s="12">
        <v>1</v>
      </c>
      <c r="AC15" s="16" cm="1">
        <f t="array" ref="AC15:AJ15">[1]!unf_UnifiedTUFFPGradient(diam_mm,theta,eps_m,L15,Qg_rc_m3day,Mul_rc_cP,Mug_rc_cP,sigma_l_Nm,rho_lrc_kgm3,rho_grc_kgm3,p_atma)</f>
        <v>-4.1166842732472651E-5</v>
      </c>
      <c r="AD15" s="17">
        <v>-4.0068619231329678E-4</v>
      </c>
      <c r="AE15" s="17">
        <v>3.5951934958082413E-4</v>
      </c>
      <c r="AF15" s="17">
        <v>-3.0471244224552162E-11</v>
      </c>
      <c r="AG15" s="17">
        <v>0.34502892623112968</v>
      </c>
      <c r="AH15" s="17">
        <v>0.38336547359014411</v>
      </c>
      <c r="AI15" s="17">
        <v>0.37437163574303017</v>
      </c>
      <c r="AJ15" s="18">
        <v>204</v>
      </c>
      <c r="AK15" s="21" cm="1">
        <f t="array" ref="AK15:AR15">[1]!unf_HagedornandBrawnmodified(diam_mm,theta,eps_m,L15,Qg_rc_m3day,Mul_rc_cP,Mug_rc_cP,sigma_l_Nm,rho_lrc_kgm3,rho_grc_kgm3,p_atma)</f>
        <v>-2.6747063588794789E-4</v>
      </c>
      <c r="AL15" s="22">
        <v>-5.2569104885163845E-4</v>
      </c>
      <c r="AM15" s="22">
        <v>2.5822041296369056E-4</v>
      </c>
      <c r="AN15" s="22">
        <v>0</v>
      </c>
      <c r="AO15" s="22">
        <v>0.34502892623112968</v>
      </c>
      <c r="AP15" s="22">
        <v>0.38336547359014411</v>
      </c>
      <c r="AQ15" s="22">
        <v>0.5017924517267166</v>
      </c>
      <c r="AR15" s="23">
        <v>0</v>
      </c>
      <c r="AS15" s="26" cm="1">
        <f t="array" ref="AS15:AZ15">[1]!unf_GrayModifiedGradient(diam_mm,theta,eps_m,L15,Qg_rc_m3day,Mul_rc_cP,Mug_rc_cP,sigma_l_Nm,rho_lrc_kgm3,rho_grc_kgm3)</f>
        <v>-2.536073174310478E-4</v>
      </c>
      <c r="AT15" s="27">
        <v>-5.2611067692830355E-4</v>
      </c>
      <c r="AU15" s="27">
        <v>2.7250335949725575E-4</v>
      </c>
      <c r="AV15" s="27">
        <v>0</v>
      </c>
      <c r="AW15" s="27">
        <v>0.34502892623112968</v>
      </c>
      <c r="AX15" s="27">
        <v>0.38336547359014411</v>
      </c>
      <c r="AY15" s="27">
        <v>0.50222052851359134</v>
      </c>
      <c r="AZ15" s="28">
        <v>0</v>
      </c>
    </row>
    <row r="16" spans="2:52" x14ac:dyDescent="0.25">
      <c r="C16" t="s">
        <v>14</v>
      </c>
      <c r="D16" t="s">
        <v>15</v>
      </c>
      <c r="E16" t="s">
        <v>16</v>
      </c>
      <c r="F16" t="s">
        <v>17</v>
      </c>
      <c r="G16" t="s">
        <v>18</v>
      </c>
      <c r="H16" t="s">
        <v>19</v>
      </c>
      <c r="I16" t="s">
        <v>20</v>
      </c>
      <c r="J16" t="s">
        <v>21</v>
      </c>
      <c r="L16" s="9">
        <v>100</v>
      </c>
      <c r="M16" s="2" cm="1">
        <f t="array" ref="M16:T16">[1]!unf_AnsariGradient(diam_mm,theta,eps_m,L16,Qg_rc_m3day,Mul_rc_cP,Mug_rc_cP,sigma_l_Nm,rho_lrc_kgm3,rho_grc_kgm3,p_atma)</f>
        <v>1.0765834755420561E-3</v>
      </c>
      <c r="N16" s="3">
        <v>6.790442524264187E-4</v>
      </c>
      <c r="O16" s="3">
        <v>3.9753922311563749E-4</v>
      </c>
      <c r="P16" s="3">
        <v>0</v>
      </c>
      <c r="Q16" s="3">
        <v>0.38336547359014411</v>
      </c>
      <c r="R16" s="3">
        <v>0.38336547359014411</v>
      </c>
      <c r="S16" s="3">
        <v>0.68793329191530062</v>
      </c>
      <c r="T16" s="4">
        <v>103</v>
      </c>
      <c r="U16" s="10" cm="1">
        <f t="array" ref="U16:AB16">[1]!unf_BegsBrillGradient(diam_mm,theta,eps_m,L16,Qg_rc_m3day,Mul_rc_cP,Mug_rc_cP,sigma_l_Nm,rho_lrc_kgm3,rho_grc_kgm3,1,1)</f>
        <v>-6.0004969516669153E-5</v>
      </c>
      <c r="V16" s="11">
        <v>-5.2393397373413843E-4</v>
      </c>
      <c r="W16" s="11">
        <v>4.6392900421746928E-4</v>
      </c>
      <c r="X16" s="11">
        <v>0</v>
      </c>
      <c r="Y16" s="11">
        <v>0.38336547359014411</v>
      </c>
      <c r="Z16" s="11">
        <v>0.38336547359014411</v>
      </c>
      <c r="AA16" s="11">
        <v>0.5</v>
      </c>
      <c r="AB16" s="12">
        <v>1</v>
      </c>
      <c r="AC16" s="16" cm="1">
        <f t="array" ref="AC16:AJ16">[1]!unf_UnifiedTUFFPGradient(diam_mm,theta,eps_m,L16,Qg_rc_m3day,Mul_rc_cP,Mug_rc_cP,sigma_l_Nm,rho_lrc_kgm3,rho_grc_kgm3,p_atma)</f>
        <v>-3.965096201871129E-5</v>
      </c>
      <c r="AD16" s="17">
        <v>-4.3143085076340488E-4</v>
      </c>
      <c r="AE16" s="17">
        <v>3.9177988874469359E-4</v>
      </c>
      <c r="AF16" s="17">
        <v>-3.2521471328905969E-11</v>
      </c>
      <c r="AG16" s="17">
        <v>0.38336547359014411</v>
      </c>
      <c r="AH16" s="17">
        <v>0.38336547359014411</v>
      </c>
      <c r="AI16" s="17">
        <v>0.40574304047741105</v>
      </c>
      <c r="AJ16" s="18">
        <v>204</v>
      </c>
      <c r="AK16" s="21" cm="1">
        <f t="array" ref="AK16:AR16">[1]!unf_HagedornandBrawnmodified(diam_mm,theta,eps_m,L16,Qg_rc_m3day,Mul_rc_cP,Mug_rc_cP,sigma_l_Nm,rho_lrc_kgm3,rho_grc_kgm3,p_atma)</f>
        <v>-2.4533651104584981E-4</v>
      </c>
      <c r="AL16" s="22">
        <v>-5.4617262224022542E-4</v>
      </c>
      <c r="AM16" s="22">
        <v>3.0083611119437561E-4</v>
      </c>
      <c r="AN16" s="22">
        <v>0</v>
      </c>
      <c r="AO16" s="22">
        <v>0.38336547359014411</v>
      </c>
      <c r="AP16" s="22">
        <v>0.38336547359014411</v>
      </c>
      <c r="AQ16" s="22">
        <v>0.52268639713667564</v>
      </c>
      <c r="AR16" s="23">
        <v>0</v>
      </c>
      <c r="AS16" s="26" cm="1">
        <f t="array" ref="AS16:AZ16">[1]!unf_GrayModifiedGradient(diam_mm,theta,eps_m,L16,Qg_rc_m3day,Mul_rc_cP,Mug_rc_cP,sigma_l_Nm,rho_lrc_kgm3,rho_grc_kgm3)</f>
        <v>-2.3570145074731187E-4</v>
      </c>
      <c r="AT16" s="27">
        <v>-5.4930670628082641E-4</v>
      </c>
      <c r="AU16" s="27">
        <v>3.1360525553351454E-4</v>
      </c>
      <c r="AV16" s="27">
        <v>0</v>
      </c>
      <c r="AW16" s="27">
        <v>0.38336547359014411</v>
      </c>
      <c r="AX16" s="27">
        <v>0.38336547359014411</v>
      </c>
      <c r="AY16" s="27">
        <v>0.52588358221675513</v>
      </c>
      <c r="AZ16" s="28">
        <v>0</v>
      </c>
    </row>
    <row r="17" spans="2:52" x14ac:dyDescent="0.25">
      <c r="B17" t="s">
        <v>11</v>
      </c>
      <c r="C17" cm="1">
        <f t="array" ref="C17:J17">[1]!unf_AnsariGradient(diam_mm,theta,eps_m,Ql_rc_m3day,Qg_rc_m3day,Mul_rc_cP,Mug_rc_cP,sigma_l_Nm,rho_lrc_kgm3,rho_grc_kgm3,p_atma)</f>
        <v>7.5287447858919036E-4</v>
      </c>
      <c r="D17">
        <v>5.7896068495585646E-4</v>
      </c>
      <c r="E17">
        <v>1.739137936333339E-4</v>
      </c>
      <c r="F17">
        <v>0</v>
      </c>
      <c r="G17">
        <v>0.15334618943605766</v>
      </c>
      <c r="H17">
        <v>0.38336547359014411</v>
      </c>
      <c r="I17">
        <v>0.5957996459232866</v>
      </c>
      <c r="J17">
        <v>103</v>
      </c>
      <c r="L17" s="9">
        <v>120</v>
      </c>
      <c r="M17" s="2" cm="1">
        <f t="array" ref="M17:T17">[1]!unf_AnsariGradient(diam_mm,theta,eps_m,L17,Qg_rc_m3day,Mul_rc_cP,Mug_rc_cP,sigma_l_Nm,rho_lrc_kgm3,rho_grc_kgm3,p_atma)</f>
        <v>1.1933268209415784E-3</v>
      </c>
      <c r="N17" s="3">
        <v>7.0270108454435916E-4</v>
      </c>
      <c r="O17" s="3">
        <v>4.9062573639721931E-4</v>
      </c>
      <c r="P17" s="3">
        <v>0</v>
      </c>
      <c r="Q17" s="3">
        <v>0.46003856830817297</v>
      </c>
      <c r="R17" s="3">
        <v>0.38336547359014411</v>
      </c>
      <c r="S17" s="3">
        <v>0.70985098357983456</v>
      </c>
      <c r="T17" s="4">
        <v>103</v>
      </c>
      <c r="U17" s="10" cm="1">
        <f t="array" ref="U17:AB17">[1]!unf_BegsBrillGradient(diam_mm,theta,eps_m,L17,Qg_rc_m3day,Mul_rc_cP,Mug_rc_cP,sigma_l_Nm,rho_lrc_kgm3,rho_grc_kgm3,1,1)</f>
        <v>2.3048429327836208E-5</v>
      </c>
      <c r="V17" s="11">
        <v>-5.6849140845053128E-4</v>
      </c>
      <c r="W17" s="11">
        <v>5.9153983777836749E-4</v>
      </c>
      <c r="X17" s="11">
        <v>0</v>
      </c>
      <c r="Y17" s="11">
        <v>0.46003856830817297</v>
      </c>
      <c r="Z17" s="11">
        <v>0.38336547359014411</v>
      </c>
      <c r="AA17" s="11">
        <v>0.54545454545454541</v>
      </c>
      <c r="AB17" s="12">
        <v>1</v>
      </c>
      <c r="AC17" s="16" cm="1">
        <f t="array" ref="AC17:AJ17">[1]!unf_UnifiedTUFFPGradient(diam_mm,theta,eps_m,L17,Qg_rc_m3day,Mul_rc_cP,Mug_rc_cP,sigma_l_Nm,rho_lrc_kgm3,rho_grc_kgm3,p_atma)</f>
        <v>-3.0170471667514986E-5</v>
      </c>
      <c r="AD17" s="17">
        <v>-4.9046488435335208E-4</v>
      </c>
      <c r="AE17" s="17">
        <v>4.6029441268583709E-4</v>
      </c>
      <c r="AF17" s="17">
        <v>-3.0625858919917041E-11</v>
      </c>
      <c r="AG17" s="17">
        <v>0.46003856830817297</v>
      </c>
      <c r="AH17" s="17">
        <v>0.38336547359014411</v>
      </c>
      <c r="AI17" s="17">
        <v>0.46598051437417343</v>
      </c>
      <c r="AJ17" s="18">
        <v>204</v>
      </c>
      <c r="AK17" s="21" cm="1">
        <f t="array" ref="AK17:AR17">[1]!unf_HagedornandBrawnmodified(diam_mm,theta,eps_m,L17,Qg_rc_m3day,Mul_rc_cP,Mug_rc_cP,sigma_l_Nm,rho_lrc_kgm3,rho_grc_kgm3,p_atma)</f>
        <v>-1.8923004849774036E-4</v>
      </c>
      <c r="AL17" s="22">
        <v>-5.8212980565869419E-4</v>
      </c>
      <c r="AM17" s="22">
        <v>3.9289975716095383E-4</v>
      </c>
      <c r="AN17" s="22">
        <v>0</v>
      </c>
      <c r="AO17" s="22">
        <v>0.46003856830817297</v>
      </c>
      <c r="AP17" s="22">
        <v>0.38336547359014411</v>
      </c>
      <c r="AQ17" s="22">
        <v>0.55936753550371243</v>
      </c>
      <c r="AR17" s="23">
        <v>0</v>
      </c>
      <c r="AS17" s="26" cm="1">
        <f t="array" ref="AS17:AZ17">[1]!unf_GrayModifiedGradient(diam_mm,theta,eps_m,L17,Qg_rc_m3day,Mul_rc_cP,Mug_rc_cP,sigma_l_Nm,rho_lrc_kgm3,rho_grc_kgm3)</f>
        <v>-1.8738128954420662E-4</v>
      </c>
      <c r="AT17" s="27">
        <v>-5.8970691114479531E-4</v>
      </c>
      <c r="AU17" s="27">
        <v>4.0232562160058869E-4</v>
      </c>
      <c r="AV17" s="27">
        <v>0</v>
      </c>
      <c r="AW17" s="27">
        <v>0.46003856830817297</v>
      </c>
      <c r="AX17" s="27">
        <v>0.38336547359014411</v>
      </c>
      <c r="AY17" s="27">
        <v>0.56709719696030336</v>
      </c>
      <c r="AZ17" s="28">
        <v>0</v>
      </c>
    </row>
    <row r="18" spans="2:52" x14ac:dyDescent="0.25">
      <c r="B18" t="s">
        <v>12</v>
      </c>
      <c r="C18" cm="1">
        <f t="array" ref="C18:J18">[1]!unf_BegsBrillGradient(diam_mm,theta,eps_m,Ql_rc_m3day,Qg_rc_m3day,Mul_rc_cP,Mug_rc_cP,sigma_l_Nm,rho_lrc_kgm3,rho_grc_kgm3,1,1)</f>
        <v>-1.903479801316204E-4</v>
      </c>
      <c r="D18">
        <v>-3.4478876605922458E-4</v>
      </c>
      <c r="E18">
        <v>1.5444078592760418E-4</v>
      </c>
      <c r="F18">
        <v>0</v>
      </c>
      <c r="G18">
        <v>0.15334618943605766</v>
      </c>
      <c r="H18">
        <v>0.38336547359014411</v>
      </c>
      <c r="I18">
        <v>0.31724791750124026</v>
      </c>
      <c r="J18">
        <v>3</v>
      </c>
      <c r="L18" s="9">
        <v>140</v>
      </c>
      <c r="M18" s="2" cm="1">
        <f t="array" ref="M18:T18">[1]!unf_AnsariGradient(diam_mm,theta,eps_m,L18,Qg_rc_m3day,Mul_rc_cP,Mug_rc_cP,sigma_l_Nm,rho_lrc_kgm3,rho_grc_kgm3,p_atma)</f>
        <v>1.3159350859752747E-3</v>
      </c>
      <c r="N18" s="3">
        <v>7.2317989393403987E-4</v>
      </c>
      <c r="O18" s="3">
        <v>5.9275519204123484E-4</v>
      </c>
      <c r="P18" s="3">
        <v>0</v>
      </c>
      <c r="Q18" s="3">
        <v>0.53671166302620177</v>
      </c>
      <c r="R18" s="3">
        <v>0.38336547359014411</v>
      </c>
      <c r="S18" s="3">
        <v>0.7288610248956835</v>
      </c>
      <c r="T18" s="4">
        <v>103</v>
      </c>
      <c r="U18" s="10" cm="1">
        <f t="array" ref="U18:AB18">[1]!unf_BegsBrillGradient(diam_mm,theta,eps_m,L18,Qg_rc_m3day,Mul_rc_cP,Mug_rc_cP,sigma_l_Nm,rho_lrc_kgm3,rho_grc_kgm3,1,1)</f>
        <v>1.2634861243299568E-4</v>
      </c>
      <c r="V18" s="11">
        <v>-6.0562260404752565E-4</v>
      </c>
      <c r="W18" s="11">
        <v>7.3197121648052132E-4</v>
      </c>
      <c r="X18" s="11">
        <v>0</v>
      </c>
      <c r="Y18" s="11">
        <v>0.53671166302620177</v>
      </c>
      <c r="Z18" s="11">
        <v>0.38336547359014411</v>
      </c>
      <c r="AA18" s="11">
        <v>0.58333333333333337</v>
      </c>
      <c r="AB18" s="12">
        <v>1</v>
      </c>
      <c r="AC18" s="16" cm="1">
        <f t="array" ref="AC18:AJ18">[1]!unf_UnifiedTUFFPGradient(diam_mm,theta,eps_m,L18,Qg_rc_m3day,Mul_rc_cP,Mug_rc_cP,sigma_l_Nm,rho_lrc_kgm3,rho_grc_kgm3,p_atma)</f>
        <v>-1.060331535151322E-5</v>
      </c>
      <c r="AD18" s="17">
        <v>-5.4721398463996912E-4</v>
      </c>
      <c r="AE18" s="17">
        <v>5.366106692884559E-4</v>
      </c>
      <c r="AF18" s="17">
        <v>-1.3532134250772529E-11</v>
      </c>
      <c r="AG18" s="17">
        <v>0.53671166302620177</v>
      </c>
      <c r="AH18" s="17">
        <v>0.38336547359014411</v>
      </c>
      <c r="AI18" s="17">
        <v>0.52388647538175681</v>
      </c>
      <c r="AJ18" s="18">
        <v>204</v>
      </c>
      <c r="AK18" s="21" cm="1">
        <f t="array" ref="AK18:AR18">[1]!unf_HagedornandBrawnmodified(diam_mm,theta,eps_m,L18,Qg_rc_m3day,Mul_rc_cP,Mug_rc_cP,sigma_l_Nm,rho_lrc_kgm3,rho_grc_kgm3,p_atma)</f>
        <v>-1.1915192085334135E-4</v>
      </c>
      <c r="AL18" s="22">
        <v>-6.1283572611512955E-4</v>
      </c>
      <c r="AM18" s="22">
        <v>4.9368380526178821E-4</v>
      </c>
      <c r="AN18" s="22">
        <v>0</v>
      </c>
      <c r="AO18" s="22">
        <v>0.53671166302620177</v>
      </c>
      <c r="AP18" s="22">
        <v>0.38336547359014411</v>
      </c>
      <c r="AQ18" s="22">
        <v>0.59069168299995956</v>
      </c>
      <c r="AR18" s="23">
        <v>0</v>
      </c>
      <c r="AS18" s="26" cm="1">
        <f t="array" ref="AS18:AZ18">[1]!unf_GrayModifiedGradient(diam_mm,theta,eps_m,L18,Qg_rc_m3day,Mul_rc_cP,Mug_rc_cP,sigma_l_Nm,rho_lrc_kgm3,rho_grc_kgm3)</f>
        <v>-1.2411187848679892E-4</v>
      </c>
      <c r="AT18" s="27">
        <v>-6.23675585731032E-4</v>
      </c>
      <c r="AU18" s="27">
        <v>4.9956370724423308E-4</v>
      </c>
      <c r="AV18" s="27">
        <v>0</v>
      </c>
      <c r="AW18" s="27">
        <v>0.53671166302620177</v>
      </c>
      <c r="AX18" s="27">
        <v>0.38336547359014411</v>
      </c>
      <c r="AY18" s="27">
        <v>0.60174979024442021</v>
      </c>
      <c r="AZ18" s="28">
        <v>0</v>
      </c>
    </row>
    <row r="19" spans="2:52" x14ac:dyDescent="0.25">
      <c r="B19" t="s">
        <v>13</v>
      </c>
      <c r="C19" cm="1">
        <f t="array" ref="C19:J19">[1]!unf_UnifiedTUFFPGradient(diam_mm,theta,eps_m,Ql_rc_m3day,Qg_rc_m3day,Mul_rc_cP,Mug_rc_cP,sigma_l_Nm,rho_lrc_kgm3,rho_grc_kgm3,p_atma)</f>
        <v>-2.5410382412434173E-5</v>
      </c>
      <c r="D19">
        <v>-2.3313033043177522E-4</v>
      </c>
      <c r="E19">
        <v>2.0771994801934104E-4</v>
      </c>
      <c r="F19">
        <v>-1.1612558996204032E-11</v>
      </c>
      <c r="G19">
        <v>0.15334618943605766</v>
      </c>
      <c r="H19">
        <v>0.38336547359014411</v>
      </c>
      <c r="I19">
        <v>0.20340005811977199</v>
      </c>
      <c r="J19">
        <v>204</v>
      </c>
      <c r="L19" s="9">
        <v>160</v>
      </c>
      <c r="M19" s="2" cm="1">
        <f t="array" ref="M19:T19">[1]!unf_AnsariGradient(diam_mm,theta,eps_m,L19,Qg_rc_m3day,Mul_rc_cP,Mug_rc_cP,sigma_l_Nm,rho_lrc_kgm3,rho_grc_kgm3,p_atma)</f>
        <v>1.4449029526690158E-3</v>
      </c>
      <c r="N19" s="3">
        <v>7.410896991249938E-4</v>
      </c>
      <c r="O19" s="3">
        <v>7.0381325354402201E-4</v>
      </c>
      <c r="P19" s="3">
        <v>0</v>
      </c>
      <c r="Q19" s="3">
        <v>0.61338475774423062</v>
      </c>
      <c r="R19" s="3">
        <v>0.38336547359014411</v>
      </c>
      <c r="S19" s="3">
        <v>0.745512118910302</v>
      </c>
      <c r="T19" s="4">
        <v>103</v>
      </c>
      <c r="U19" s="10" cm="1">
        <f t="array" ref="U19:AB19">[1]!unf_BegsBrillGradient(diam_mm,theta,eps_m,L19,Qg_rc_m3day,Mul_rc_cP,Mug_rc_cP,sigma_l_Nm,rho_lrc_kgm3,rho_grc_kgm3,1,1)</f>
        <v>2.4805647317367448E-4</v>
      </c>
      <c r="V19" s="11">
        <v>-6.3704130801421296E-4</v>
      </c>
      <c r="W19" s="11">
        <v>8.8509778118788743E-4</v>
      </c>
      <c r="X19" s="11">
        <v>0</v>
      </c>
      <c r="Y19" s="11">
        <v>0.61338475774423062</v>
      </c>
      <c r="Z19" s="11">
        <v>0.38336547359014411</v>
      </c>
      <c r="AA19" s="11">
        <v>0.61538461538461542</v>
      </c>
      <c r="AB19" s="12">
        <v>1</v>
      </c>
      <c r="AC19" s="16" cm="1">
        <f t="array" ref="AC19:AJ19">[1]!unf_UnifiedTUFFPGradient(diam_mm,theta,eps_m,L19,Qg_rc_m3day,Mul_rc_cP,Mug_rc_cP,sigma_l_Nm,rho_lrc_kgm3,rho_grc_kgm3,p_atma)</f>
        <v>-5.0950111416783912E-7</v>
      </c>
      <c r="AD19" s="17">
        <v>-6.1354940812984569E-4</v>
      </c>
      <c r="AE19" s="17">
        <v>6.1303990701567785E-4</v>
      </c>
      <c r="AF19" s="17">
        <v>-8.8300078197262226E-13</v>
      </c>
      <c r="AG19" s="17">
        <v>0.61338475774423062</v>
      </c>
      <c r="AH19" s="17">
        <v>0.38336547359014411</v>
      </c>
      <c r="AI19" s="17">
        <v>0.59157418191147926</v>
      </c>
      <c r="AJ19" s="18">
        <v>204</v>
      </c>
      <c r="AK19" s="21" cm="1">
        <f t="array" ref="AK19:AR19">[1]!unf_HagedornandBrawnmodified(diam_mm,theta,eps_m,L19,Qg_rc_m3day,Mul_rc_cP,Mug_rc_cP,sigma_l_Nm,rho_lrc_kgm3,rho_grc_kgm3,p_atma)</f>
        <v>-3.6660561910835453E-5</v>
      </c>
      <c r="AL19" s="22">
        <v>-6.3948566753972333E-4</v>
      </c>
      <c r="AM19" s="22">
        <v>6.0282510562888788E-4</v>
      </c>
      <c r="AN19" s="22">
        <v>0</v>
      </c>
      <c r="AO19" s="22">
        <v>0.61338475774423062</v>
      </c>
      <c r="AP19" s="22">
        <v>0.38336547359014411</v>
      </c>
      <c r="AQ19" s="22">
        <v>0.61787818917015225</v>
      </c>
      <c r="AR19" s="23">
        <v>0</v>
      </c>
      <c r="AS19" s="26" cm="1">
        <f t="array" ref="AS19:AZ19">[1]!unf_GrayModifiedGradient(diam_mm,theta,eps_m,L19,Qg_rc_m3day,Mul_rc_cP,Mug_rc_cP,sigma_l_Nm,rho_lrc_kgm3,rho_grc_kgm3)</f>
        <v>-4.7482256118728714E-5</v>
      </c>
      <c r="AT19" s="27">
        <v>-6.5262043198438676E-4</v>
      </c>
      <c r="AU19" s="27">
        <v>6.0513817586565805E-4</v>
      </c>
      <c r="AV19" s="27">
        <v>0</v>
      </c>
      <c r="AW19" s="27">
        <v>0.61338475774423062</v>
      </c>
      <c r="AX19" s="27">
        <v>0.38336547359014411</v>
      </c>
      <c r="AY19" s="27">
        <v>0.63127740641155794</v>
      </c>
      <c r="AZ19" s="28">
        <v>0</v>
      </c>
    </row>
    <row r="20" spans="2:52" x14ac:dyDescent="0.25">
      <c r="B20" t="s">
        <v>22</v>
      </c>
      <c r="C20" cm="1">
        <f t="array" ref="C20:J20">[1]!unf_HagedornandBrawnmodified(diam_mm,theta,eps_m,Ql_rc_m3day,Qg_rc_m3day,Mul_rc_cP,Mug_rc_cP,sigma_l_Nm,rho_lrc_kgm3,rho_grc_kgm3,p_atma)</f>
        <v>-2.9832431438296539E-4</v>
      </c>
      <c r="D20">
        <v>-3.8132669381371072E-4</v>
      </c>
      <c r="E20">
        <v>8.3002379430745303E-5</v>
      </c>
      <c r="F20">
        <v>0</v>
      </c>
      <c r="G20">
        <v>0.15334618943605766</v>
      </c>
      <c r="H20">
        <v>0.38336547359014411</v>
      </c>
      <c r="I20">
        <v>0.35452149279798328</v>
      </c>
      <c r="J20">
        <v>0</v>
      </c>
      <c r="L20" s="9">
        <v>180</v>
      </c>
      <c r="M20" s="2" cm="1">
        <f t="array" ref="M20:T20">[1]!unf_AnsariGradient(diam_mm,theta,eps_m,L20,Qg_rc_m3day,Mul_rc_cP,Mug_rc_cP,sigma_l_Nm,rho_lrc_kgm3,rho_grc_kgm3,p_atma)</f>
        <v>1.580589130383823E-3</v>
      </c>
      <c r="N20" s="3">
        <v>7.568912234742069E-4</v>
      </c>
      <c r="O20" s="3">
        <v>8.2369790690961595E-4</v>
      </c>
      <c r="P20" s="3">
        <v>0</v>
      </c>
      <c r="Q20" s="3">
        <v>0.69005785246225937</v>
      </c>
      <c r="R20" s="3">
        <v>0.38336547359014411</v>
      </c>
      <c r="S20" s="3">
        <v>0.76022160880319478</v>
      </c>
      <c r="T20" s="4">
        <v>103</v>
      </c>
      <c r="U20" s="10" cm="1">
        <f t="array" ref="U20:AB20">[1]!unf_BegsBrillGradient(diam_mm,theta,eps_m,L20,Qg_rc_m3day,Mul_rc_cP,Mug_rc_cP,sigma_l_Nm,rho_lrc_kgm3,rho_grc_kgm3,1,1)</f>
        <v>3.8684509572470542E-4</v>
      </c>
      <c r="V20" s="11">
        <v>-6.6397162569994505E-4</v>
      </c>
      <c r="W20" s="11">
        <v>1.0508167214246505E-3</v>
      </c>
      <c r="X20" s="11">
        <v>0</v>
      </c>
      <c r="Y20" s="11">
        <v>0.69005785246225937</v>
      </c>
      <c r="Z20" s="11">
        <v>0.38336547359014411</v>
      </c>
      <c r="AA20" s="11">
        <v>0.6428571428571429</v>
      </c>
      <c r="AB20" s="12">
        <v>1</v>
      </c>
      <c r="AC20" s="16" cm="1">
        <f t="array" ref="AC20:AJ20">[1]!unf_UnifiedTUFFPGradient(diam_mm,theta,eps_m,L20,Qg_rc_m3day,Mul_rc_cP,Mug_rc_cP,sigma_l_Nm,rho_lrc_kgm3,rho_grc_kgm3,p_atma)</f>
        <v>1.5784392501786088E-5</v>
      </c>
      <c r="AD20" s="17">
        <v>-6.9211776022491103E-4</v>
      </c>
      <c r="AE20" s="17">
        <v>7.0790215272669712E-4</v>
      </c>
      <c r="AF20" s="17">
        <v>4.2316989744551605E-11</v>
      </c>
      <c r="AG20" s="17">
        <v>0.69005785246225937</v>
      </c>
      <c r="AH20" s="17">
        <v>0.38336547359014411</v>
      </c>
      <c r="AI20" s="17">
        <v>0.67174419183003031</v>
      </c>
      <c r="AJ20" s="18">
        <v>204</v>
      </c>
      <c r="AK20" s="21" cm="1">
        <f t="array" ref="AK20:AR20">[1]!unf_HagedornandBrawnmodified(diam_mm,theta,eps_m,L20,Qg_rc_m3day,Mul_rc_cP,Mug_rc_cP,sigma_l_Nm,rho_lrc_kgm3,rho_grc_kgm3,p_atma)</f>
        <v>5.4918264484469527E-5</v>
      </c>
      <c r="AL20" s="22">
        <v>-6.6397162569994505E-4</v>
      </c>
      <c r="AM20" s="22">
        <v>7.1888989018441458E-4</v>
      </c>
      <c r="AN20" s="22">
        <v>0</v>
      </c>
      <c r="AO20" s="22">
        <v>0.69005785246225937</v>
      </c>
      <c r="AP20" s="22">
        <v>0.38336547359014411</v>
      </c>
      <c r="AQ20" s="22">
        <v>0.6428571428571429</v>
      </c>
      <c r="AR20" s="23">
        <v>0</v>
      </c>
      <c r="AS20" s="26" cm="1">
        <f t="array" ref="AS20:AZ20">[1]!unf_GrayModifiedGradient(diam_mm,theta,eps_m,L20,Qg_rc_m3day,Mul_rc_cP,Mug_rc_cP,sigma_l_Nm,rho_lrc_kgm3,rho_grc_kgm3)</f>
        <v>4.1317556041670089E-5</v>
      </c>
      <c r="AT20" s="27">
        <v>-6.7757233414274449E-4</v>
      </c>
      <c r="AU20" s="27">
        <v>7.1888989018441458E-4</v>
      </c>
      <c r="AV20" s="27">
        <v>0</v>
      </c>
      <c r="AW20" s="27">
        <v>0.69005785246225937</v>
      </c>
      <c r="AX20" s="27">
        <v>0.38336547359014411</v>
      </c>
      <c r="AY20" s="27">
        <v>0.65673168532266335</v>
      </c>
      <c r="AZ20" s="28">
        <v>0</v>
      </c>
    </row>
    <row r="21" spans="2:52" x14ac:dyDescent="0.25">
      <c r="B21" t="s">
        <v>23</v>
      </c>
      <c r="C21" cm="1">
        <f t="array" ref="C21:J21">[1]!unf_GrayModifiedGradient(diam_mm,theta,eps_m,Ql_rc_m3day,Qg_rc_m3day,Mul_rc_cP,Mug_rc_cP,sigma_l_Nm,rho_lrc_kgm3,rho_grc_kgm3)</f>
        <v>-2.6492605919533225E-4</v>
      </c>
      <c r="D21">
        <v>-3.6576483659093881E-4</v>
      </c>
      <c r="E21">
        <v>1.0083877739560655E-4</v>
      </c>
      <c r="F21">
        <v>0</v>
      </c>
      <c r="G21">
        <v>0.15334618943605766</v>
      </c>
      <c r="H21">
        <v>0.38336547359014411</v>
      </c>
      <c r="I21">
        <v>0.33864631616378205</v>
      </c>
      <c r="J21">
        <v>0</v>
      </c>
      <c r="L21" s="9">
        <v>200</v>
      </c>
      <c r="M21" s="2" cm="1">
        <f t="array" ref="M21:T21">[1]!unf_AnsariGradient(diam_mm,theta,eps_m,L21,Qg_rc_m3day,Mul_rc_cP,Mug_rc_cP,sigma_l_Nm,rho_lrc_kgm3,rho_grc_kgm3,p_atma)</f>
        <v>1.7232576777957403E-3</v>
      </c>
      <c r="N21" s="3">
        <v>7.7093999487321192E-4</v>
      </c>
      <c r="O21" s="3">
        <v>9.5231768292252847E-4</v>
      </c>
      <c r="P21" s="3">
        <v>0</v>
      </c>
      <c r="Q21" s="3">
        <v>0.76673094718028822</v>
      </c>
      <c r="R21" s="3">
        <v>0.38336547359014411</v>
      </c>
      <c r="S21" s="3">
        <v>0.77331297641481966</v>
      </c>
      <c r="T21" s="4">
        <v>103</v>
      </c>
      <c r="U21" s="10" cm="1">
        <f t="array" ref="U21:AB21">[1]!unf_BegsBrillGradient(diam_mm,theta,eps_m,L21,Qg_rc_m3day,Mul_rc_cP,Mug_rc_cP,sigma_l_Nm,rho_lrc_kgm3,rho_grc_kgm3,1,1)</f>
        <v>5.4173232459141317E-4</v>
      </c>
      <c r="V21" s="11">
        <v>-6.8731123436091264E-4</v>
      </c>
      <c r="W21" s="11">
        <v>1.2290435589523258E-3</v>
      </c>
      <c r="X21" s="11">
        <v>0</v>
      </c>
      <c r="Y21" s="11">
        <v>0.76673094718028822</v>
      </c>
      <c r="Z21" s="11">
        <v>0.38336547359014411</v>
      </c>
      <c r="AA21" s="11">
        <v>0.66666666666666663</v>
      </c>
      <c r="AB21" s="12">
        <v>1</v>
      </c>
      <c r="AC21" s="16" cm="1">
        <f t="array" ref="AC21:AJ21">[1]!unf_UnifiedTUFFPGradient(diam_mm,theta,eps_m,L21,Qg_rc_m3day,Mul_rc_cP,Mug_rc_cP,sigma_l_Nm,rho_lrc_kgm3,rho_grc_kgm3,p_atma)</f>
        <v>-4.7330932050555866E-4</v>
      </c>
      <c r="AD21" s="17">
        <v>-7.8434605789160026E-4</v>
      </c>
      <c r="AE21" s="17">
        <v>3.110367373860416E-4</v>
      </c>
      <c r="AF21" s="17">
        <v>0</v>
      </c>
      <c r="AG21" s="17">
        <v>0.76673094718028822</v>
      </c>
      <c r="AH21" s="17">
        <v>0.38336547359014411</v>
      </c>
      <c r="AI21" s="17">
        <v>0.7658526126069235</v>
      </c>
      <c r="AJ21" s="18">
        <v>203</v>
      </c>
      <c r="AK21" s="21" cm="1">
        <f t="array" ref="AK21:AR21">[1]!unf_HagedornandBrawnmodified(diam_mm,theta,eps_m,L21,Qg_rc_m3day,Mul_rc_cP,Mug_rc_cP,sigma_l_Nm,rho_lrc_kgm3,rho_grc_kgm3,p_atma)</f>
        <v>1.5336638519805579E-4</v>
      </c>
      <c r="AL21" s="22">
        <v>-6.8731123436091275E-4</v>
      </c>
      <c r="AM21" s="22">
        <v>8.4067761955896854E-4</v>
      </c>
      <c r="AN21" s="22">
        <v>0</v>
      </c>
      <c r="AO21" s="22">
        <v>0.76673094718028822</v>
      </c>
      <c r="AP21" s="22">
        <v>0.38336547359014411</v>
      </c>
      <c r="AQ21" s="22">
        <v>0.66666666666666663</v>
      </c>
      <c r="AR21" s="23">
        <v>0</v>
      </c>
      <c r="AS21" s="26" cm="1">
        <f t="array" ref="AS21:AZ21">[1]!unf_GrayModifiedGradient(diam_mm,theta,eps_m,L21,Qg_rc_m3day,Mul_rc_cP,Mug_rc_cP,sigma_l_Nm,rho_lrc_kgm3,rho_grc_kgm3)</f>
        <v>1.4137673495761064E-4</v>
      </c>
      <c r="AT21" s="27">
        <v>-6.9930088460135801E-4</v>
      </c>
      <c r="AU21" s="27">
        <v>8.4067761955896865E-4</v>
      </c>
      <c r="AV21" s="27">
        <v>0</v>
      </c>
      <c r="AW21" s="27">
        <v>0.76673094718028822</v>
      </c>
      <c r="AX21" s="27">
        <v>0.38336547359014411</v>
      </c>
      <c r="AY21" s="27">
        <v>0.67889771419683154</v>
      </c>
      <c r="AZ21" s="28">
        <v>0</v>
      </c>
    </row>
    <row r="22" spans="2:52" x14ac:dyDescent="0.25">
      <c r="L22" s="9">
        <v>220</v>
      </c>
      <c r="M22" s="2" cm="1">
        <f t="array" ref="M22:T22">[1]!unf_AnsariGradient(diam_mm,theta,eps_m,L22,Qg_rc_m3day,Mul_rc_cP,Mug_rc_cP,sigma_l_Nm,rho_lrc_kgm3,rho_grc_kgm3,p_atma)</f>
        <v>1.8731052539716084E-3</v>
      </c>
      <c r="N22" s="3">
        <v>7.8351506984001315E-4</v>
      </c>
      <c r="O22" s="3">
        <v>1.0895901841315953E-3</v>
      </c>
      <c r="P22" s="3">
        <v>0</v>
      </c>
      <c r="Q22" s="3">
        <v>0.84340404189831708</v>
      </c>
      <c r="R22" s="3">
        <v>0.38336547359014411</v>
      </c>
      <c r="S22" s="3">
        <v>0.78504106249488848</v>
      </c>
      <c r="T22" s="4">
        <v>103</v>
      </c>
      <c r="U22" s="10" cm="1">
        <f t="array" ref="U22:AB22">[1]!unf_BegsBrillGradient(diam_mm,theta,eps_m,L22,Qg_rc_m3day,Mul_rc_cP,Mug_rc_cP,sigma_l_Nm,rho_lrc_kgm3,rho_grc_kgm3,1,1)</f>
        <v>7.1197562227132778E-4</v>
      </c>
      <c r="V22" s="11">
        <v>-7.0773339193925947E-4</v>
      </c>
      <c r="W22" s="11">
        <v>1.4197090142105873E-3</v>
      </c>
      <c r="X22" s="11">
        <v>0</v>
      </c>
      <c r="Y22" s="11">
        <v>0.84340404189831708</v>
      </c>
      <c r="Z22" s="11">
        <v>0.38336547359014411</v>
      </c>
      <c r="AA22" s="11">
        <v>0.6875</v>
      </c>
      <c r="AB22" s="12">
        <v>1</v>
      </c>
      <c r="AC22" s="16" cm="1">
        <f t="array" ref="AC22:AJ22">[1]!unf_UnifiedTUFFPGradient(diam_mm,theta,eps_m,L22,Qg_rc_m3day,Mul_rc_cP,Mug_rc_cP,sigma_l_Nm,rho_lrc_kgm3,rho_grc_kgm3,p_atma)</f>
        <v>-2.8893100465159701E-4</v>
      </c>
      <c r="AD22" s="17">
        <v>-7.9369651497235381E-4</v>
      </c>
      <c r="AE22" s="17">
        <v>5.047655103207568E-4</v>
      </c>
      <c r="AF22" s="17">
        <v>0</v>
      </c>
      <c r="AG22" s="17">
        <v>0.84340404189831708</v>
      </c>
      <c r="AH22" s="17">
        <v>0.38336547359014411</v>
      </c>
      <c r="AI22" s="17">
        <v>0.77539368374966577</v>
      </c>
      <c r="AJ22" s="18">
        <v>203</v>
      </c>
      <c r="AK22" s="21" cm="1">
        <f t="array" ref="AK22:AR22">[1]!unf_HagedornandBrawnmodified(diam_mm,theta,eps_m,L22,Qg_rc_m3day,Mul_rc_cP,Mug_rc_cP,sigma_l_Nm,rho_lrc_kgm3,rho_grc_kgm3,p_atma)</f>
        <v>2.6264143769550482E-4</v>
      </c>
      <c r="AL22" s="22">
        <v>-7.0773339193925947E-4</v>
      </c>
      <c r="AM22" s="22">
        <v>9.7037482963476429E-4</v>
      </c>
      <c r="AN22" s="22">
        <v>0</v>
      </c>
      <c r="AO22" s="22">
        <v>0.84340404189831708</v>
      </c>
      <c r="AP22" s="22">
        <v>0.38336547359014411</v>
      </c>
      <c r="AQ22" s="22">
        <v>0.6875</v>
      </c>
      <c r="AR22" s="23">
        <v>0</v>
      </c>
      <c r="AS22" s="26" cm="1">
        <f t="array" ref="AS22:AZ22">[1]!unf_GrayModifiedGradient(diam_mm,theta,eps_m,L22,Qg_rc_m3day,Mul_rc_cP,Mug_rc_cP,sigma_l_Nm,rho_lrc_kgm3,rho_grc_kgm3)</f>
        <v>2.519836933635905E-4</v>
      </c>
      <c r="AT22" s="27">
        <v>-7.1839113627117379E-4</v>
      </c>
      <c r="AU22" s="27">
        <v>9.7037482963476429E-4</v>
      </c>
      <c r="AV22" s="27">
        <v>0</v>
      </c>
      <c r="AW22" s="27">
        <v>0.84340404189831708</v>
      </c>
      <c r="AX22" s="27">
        <v>0.38336547359014411</v>
      </c>
      <c r="AY22" s="27">
        <v>0.69837232528670889</v>
      </c>
      <c r="AZ22" s="28">
        <v>0</v>
      </c>
    </row>
    <row r="23" spans="2:52" x14ac:dyDescent="0.25">
      <c r="L23" s="9">
        <v>240</v>
      </c>
      <c r="M23" s="2" cm="1">
        <f t="array" ref="M23:T23">[1]!unf_AnsariGradient(diam_mm,theta,eps_m,L23,Qg_rc_m3day,Mul_rc_cP,Mug_rc_cP,sigma_l_Nm,rho_lrc_kgm3,rho_grc_kgm3,p_atma)</f>
        <v>2.0302795987937076E-3</v>
      </c>
      <c r="N23" s="3">
        <v>7.9483873844967269E-4</v>
      </c>
      <c r="O23" s="3">
        <v>1.2354408603440347E-3</v>
      </c>
      <c r="P23" s="3">
        <v>0</v>
      </c>
      <c r="Q23" s="3">
        <v>0.92007713661634594</v>
      </c>
      <c r="R23" s="3">
        <v>0.38336547359014411</v>
      </c>
      <c r="S23" s="3">
        <v>0.79560949905016232</v>
      </c>
      <c r="T23" s="4">
        <v>103</v>
      </c>
      <c r="U23" s="10" cm="1">
        <f t="array" ref="U23:AB23">[1]!unf_BegsBrillGradient(diam_mm,theta,eps_m,L23,Qg_rc_m3day,Mul_rc_cP,Mug_rc_cP,sigma_l_Nm,rho_lrc_kgm3,rho_grc_kgm3,1,1)</f>
        <v>8.970036554147644E-4</v>
      </c>
      <c r="V23" s="11">
        <v>-7.2575294274368322E-4</v>
      </c>
      <c r="W23" s="11">
        <v>1.6227565981584476E-3</v>
      </c>
      <c r="X23" s="11">
        <v>0</v>
      </c>
      <c r="Y23" s="11">
        <v>0.92007713661634594</v>
      </c>
      <c r="Z23" s="11">
        <v>0.38336547359014411</v>
      </c>
      <c r="AA23" s="11">
        <v>0.70588235294117652</v>
      </c>
      <c r="AB23" s="12">
        <v>1</v>
      </c>
      <c r="AC23" s="16" cm="1">
        <f t="array" ref="AC23:AJ23">[1]!unf_UnifiedTUFFPGradient(diam_mm,theta,eps_m,L23,Qg_rc_m3day,Mul_rc_cP,Mug_rc_cP,sigma_l_Nm,rho_lrc_kgm3,rho_grc_kgm3,p_atma)</f>
        <v>-7.7722680538059837E-5</v>
      </c>
      <c r="AD23" s="17">
        <v>-8.0241793200594848E-4</v>
      </c>
      <c r="AE23" s="17">
        <v>7.2469525146788864E-4</v>
      </c>
      <c r="AF23" s="17">
        <v>0</v>
      </c>
      <c r="AG23" s="17">
        <v>0.92007713661634594</v>
      </c>
      <c r="AH23" s="17">
        <v>0.38336547359014411</v>
      </c>
      <c r="AI23" s="17">
        <v>0.78429289152789561</v>
      </c>
      <c r="AJ23" s="18">
        <v>203</v>
      </c>
      <c r="AK23" s="21" cm="1">
        <f t="array" ref="AK23:AR23">[1]!unf_HagedornandBrawnmodified(diam_mm,theta,eps_m,L23,Qg_rc_m3day,Mul_rc_cP,Mug_rc_cP,sigma_l_Nm,rho_lrc_kgm3,rho_grc_kgm3,p_atma)</f>
        <v>3.8211428499630446E-4</v>
      </c>
      <c r="AL23" s="22">
        <v>-7.2575294274368322E-4</v>
      </c>
      <c r="AM23" s="22">
        <v>1.1078672277399877E-3</v>
      </c>
      <c r="AN23" s="22">
        <v>0</v>
      </c>
      <c r="AO23" s="22">
        <v>0.92007713661634594</v>
      </c>
      <c r="AP23" s="22">
        <v>0.38336547359014411</v>
      </c>
      <c r="AQ23" s="22">
        <v>0.70588235294117652</v>
      </c>
      <c r="AR23" s="23">
        <v>0</v>
      </c>
      <c r="AS23" s="26" cm="1">
        <f t="array" ref="AS23:AZ23">[1]!unf_GrayModifiedGradient(diam_mm,theta,eps_m,L23,Qg_rc_m3day,Mul_rc_cP,Mug_rc_cP,sigma_l_Nm,rho_lrc_kgm3,rho_grc_kgm3)</f>
        <v>3.7257193907636477E-4</v>
      </c>
      <c r="AT23" s="27">
        <v>-7.3529528866362291E-4</v>
      </c>
      <c r="AU23" s="27">
        <v>1.1078672277399877E-3</v>
      </c>
      <c r="AV23" s="27">
        <v>0</v>
      </c>
      <c r="AW23" s="27">
        <v>0.92007713661634594</v>
      </c>
      <c r="AX23" s="27">
        <v>0.38336547359014411</v>
      </c>
      <c r="AY23" s="27">
        <v>0.71561682260087889</v>
      </c>
      <c r="AZ23" s="28">
        <v>0</v>
      </c>
    </row>
    <row r="24" spans="2:52" x14ac:dyDescent="0.25">
      <c r="L24" s="9">
        <v>260</v>
      </c>
      <c r="M24" s="2" cm="1">
        <f t="array" ref="M24:T24">[1]!unf_AnsariGradient(diam_mm,theta,eps_m,L24,Qg_rc_m3day,Mul_rc_cP,Mug_rc_cP,sigma_l_Nm,rho_lrc_kgm3,rho_grc_kgm3,p_atma)</f>
        <v>2.1948923665155566E-3</v>
      </c>
      <c r="N24" s="3">
        <v>8.0509038033062914E-4</v>
      </c>
      <c r="O24" s="3">
        <v>1.3898019861849273E-3</v>
      </c>
      <c r="P24" s="3">
        <v>0</v>
      </c>
      <c r="Q24" s="3">
        <v>0.99675023133437468</v>
      </c>
      <c r="R24" s="3">
        <v>0.38336547359014411</v>
      </c>
      <c r="S24" s="3">
        <v>0.80518304510955807</v>
      </c>
      <c r="T24" s="4">
        <v>103</v>
      </c>
      <c r="U24" s="10" cm="1">
        <f t="array" ref="U24:AB24">[1]!unf_BegsBrillGradient(diam_mm,theta,eps_m,L24,Qg_rc_m3day,Mul_rc_cP,Mug_rc_cP,sigma_l_Nm,rho_lrc_kgm3,rho_grc_kgm3,1,1)</f>
        <v>1.0963704015879104E-3</v>
      </c>
      <c r="V24" s="11">
        <v>-7.4177032123650408E-4</v>
      </c>
      <c r="W24" s="11">
        <v>1.8381407228244145E-3</v>
      </c>
      <c r="X24" s="11">
        <v>0</v>
      </c>
      <c r="Y24" s="11">
        <v>0.99675023133437468</v>
      </c>
      <c r="Z24" s="11">
        <v>0.38336547359014411</v>
      </c>
      <c r="AA24" s="11">
        <v>0.72222222222222221</v>
      </c>
      <c r="AB24" s="12">
        <v>1</v>
      </c>
      <c r="AC24" s="16" cm="1">
        <f t="array" ref="AC24:AJ24">[1]!unf_UnifiedTUFFPGradient(diam_mm,theta,eps_m,L24,Qg_rc_m3day,Mul_rc_cP,Mug_rc_cP,sigma_l_Nm,rho_lrc_kgm3,rho_grc_kgm3,p_atma)</f>
        <v>1.4975575065333214E-4</v>
      </c>
      <c r="AD24" s="17">
        <v>-8.1054495534363228E-4</v>
      </c>
      <c r="AE24" s="17">
        <v>9.6030070599696443E-4</v>
      </c>
      <c r="AF24" s="17">
        <v>0</v>
      </c>
      <c r="AG24" s="17">
        <v>0.99675023133437468</v>
      </c>
      <c r="AH24" s="17">
        <v>0.38336547359014411</v>
      </c>
      <c r="AI24" s="17">
        <v>0.79258558857723738</v>
      </c>
      <c r="AJ24" s="18">
        <v>203</v>
      </c>
      <c r="AK24" s="21" cm="1">
        <f t="array" ref="AK24:AR24">[1]!unf_HagedornandBrawnmodified(diam_mm,theta,eps_m,L24,Qg_rc_m3day,Mul_rc_cP,Mug_rc_cP,sigma_l_Nm,rho_lrc_kgm3,rho_grc_kgm3,p_atma)</f>
        <v>5.1128052856240242E-4</v>
      </c>
      <c r="AL24" s="22">
        <v>-7.4177032123650408E-4</v>
      </c>
      <c r="AM24" s="22">
        <v>1.2530508497989065E-3</v>
      </c>
      <c r="AN24" s="22">
        <v>0</v>
      </c>
      <c r="AO24" s="22">
        <v>0.99675023133437468</v>
      </c>
      <c r="AP24" s="22">
        <v>0.38336547359014411</v>
      </c>
      <c r="AQ24" s="22">
        <v>0.72222222222222221</v>
      </c>
      <c r="AR24" s="23">
        <v>0</v>
      </c>
      <c r="AS24" s="26" cm="1">
        <f t="array" ref="AS24:AZ24">[1]!unf_GrayModifiedGradient(diam_mm,theta,eps_m,L24,Qg_rc_m3day,Mul_rc_cP,Mug_rc_cP,sigma_l_Nm,rho_lrc_kgm3,rho_grc_kgm3)</f>
        <v>5.0268271945301838E-4</v>
      </c>
      <c r="AT24" s="27">
        <v>-7.5036813034588812E-4</v>
      </c>
      <c r="AU24" s="27">
        <v>1.2530508497989065E-3</v>
      </c>
      <c r="AV24" s="27">
        <v>0</v>
      </c>
      <c r="AW24" s="27">
        <v>0.99675023133437468</v>
      </c>
      <c r="AX24" s="27">
        <v>0.38336547359014411</v>
      </c>
      <c r="AY24" s="27">
        <v>0.7309931379506408</v>
      </c>
      <c r="AZ24" s="28">
        <v>0</v>
      </c>
    </row>
    <row r="25" spans="2:52" x14ac:dyDescent="0.25">
      <c r="L25" s="9">
        <v>280</v>
      </c>
      <c r="M25" s="2" cm="1">
        <f t="array" ref="M25:T25">[1]!unf_AnsariGradient(diam_mm,theta,eps_m,L25,Qg_rc_m3day,Mul_rc_cP,Mug_rc_cP,sigma_l_Nm,rho_lrc_kgm3,rho_grc_kgm3,p_atma)</f>
        <v>2.2737166730549957E-3</v>
      </c>
      <c r="N25" s="3">
        <v>8.3095344765399129E-4</v>
      </c>
      <c r="O25" s="3">
        <v>1.4427632254010046E-3</v>
      </c>
      <c r="P25" s="3">
        <v>0</v>
      </c>
      <c r="Q25" s="3">
        <v>1.0734233260524035</v>
      </c>
      <c r="R25" s="3">
        <v>0.38336547359014411</v>
      </c>
      <c r="S25" s="3">
        <v>0.81340942347242839</v>
      </c>
      <c r="T25" s="4">
        <v>103</v>
      </c>
      <c r="U25" s="10" cm="1">
        <f t="array" ref="U25:AB25">[1]!unf_BegsBrillGradient(diam_mm,theta,eps_m,L25,Qg_rc_m3day,Mul_rc_cP,Mug_rc_cP,sigma_l_Nm,rho_lrc_kgm3,rho_grc_kgm3,1,1)</f>
        <v>1.3097235359619921E-3</v>
      </c>
      <c r="V25" s="11">
        <v>-7.5610165988797555E-4</v>
      </c>
      <c r="W25" s="11">
        <v>2.0658251958499676E-3</v>
      </c>
      <c r="X25" s="11">
        <v>0</v>
      </c>
      <c r="Y25" s="11">
        <v>1.0734233260524035</v>
      </c>
      <c r="Z25" s="11">
        <v>0.38336547359014411</v>
      </c>
      <c r="AA25" s="11">
        <v>0.73684210526315785</v>
      </c>
      <c r="AB25" s="12">
        <v>1</v>
      </c>
      <c r="AC25" s="16" cm="1">
        <f t="array" ref="AC25:AJ25">[1]!unf_UnifiedTUFFPGradient(diam_mm,theta,eps_m,L25,Qg_rc_m3day,Mul_rc_cP,Mug_rc_cP,sigma_l_Nm,rho_lrc_kgm3,rho_grc_kgm3,p_atma)</f>
        <v>3.8579253070731526E-4</v>
      </c>
      <c r="AD25" s="17">
        <v>-8.1811190921580264E-4</v>
      </c>
      <c r="AE25" s="17">
        <v>1.2039044399231179E-3</v>
      </c>
      <c r="AF25" s="17">
        <v>0</v>
      </c>
      <c r="AG25" s="17">
        <v>1.0734233260524035</v>
      </c>
      <c r="AH25" s="17">
        <v>0.38336547359014411</v>
      </c>
      <c r="AI25" s="17">
        <v>0.80030679884585831</v>
      </c>
      <c r="AJ25" s="18">
        <v>203</v>
      </c>
      <c r="AK25" s="21" cm="1">
        <f t="array" ref="AK25:AR25">[1]!unf_HagedornandBrawnmodified(diam_mm,theta,eps_m,L25,Qg_rc_m3day,Mul_rc_cP,Mug_rc_cP,sigma_l_Nm,rho_lrc_kgm3,rho_grc_kgm3,p_atma)</f>
        <v>6.4972888428669489E-4</v>
      </c>
      <c r="AL25" s="22">
        <v>-7.5610165988797555E-4</v>
      </c>
      <c r="AM25" s="22">
        <v>1.4058305441746704E-3</v>
      </c>
      <c r="AN25" s="22">
        <v>0</v>
      </c>
      <c r="AO25" s="22">
        <v>1.0734233260524035</v>
      </c>
      <c r="AP25" s="22">
        <v>0.38336547359014411</v>
      </c>
      <c r="AQ25" s="22">
        <v>0.73684210526315785</v>
      </c>
      <c r="AR25" s="23">
        <v>0</v>
      </c>
      <c r="AS25" s="26" cm="1">
        <f t="array" ref="AS25:AZ25">[1]!unf_GrayModifiedGradient(diam_mm,theta,eps_m,L25,Qg_rc_m3day,Mul_rc_cP,Mug_rc_cP,sigma_l_Nm,rho_lrc_kgm3,rho_grc_kgm3)</f>
        <v>6.4193873972514289E-4</v>
      </c>
      <c r="AT25" s="27">
        <v>-7.6389180444952777E-4</v>
      </c>
      <c r="AU25" s="27">
        <v>1.4058305441746707E-3</v>
      </c>
      <c r="AV25" s="27">
        <v>0</v>
      </c>
      <c r="AW25" s="27">
        <v>1.0734233260524035</v>
      </c>
      <c r="AX25" s="27">
        <v>0.38336547359014411</v>
      </c>
      <c r="AY25" s="27">
        <v>0.74478909508257574</v>
      </c>
      <c r="AZ25" s="28">
        <v>0</v>
      </c>
    </row>
    <row r="26" spans="2:52" x14ac:dyDescent="0.25">
      <c r="L26" s="9">
        <v>300</v>
      </c>
      <c r="M26" s="5" cm="1">
        <f t="array" ref="M26:T26">[1]!unf_AnsariGradient(diam_mm,theta,eps_m,L26,Qg_rc_m3day,Mul_rc_cP,Mug_rc_cP,sigma_l_Nm,rho_lrc_kgm3,rho_grc_kgm3,p_atma)</f>
        <v>2.4376609282981123E-3</v>
      </c>
      <c r="N26" s="6">
        <v>8.3882411862064841E-4</v>
      </c>
      <c r="O26" s="6">
        <v>1.5988368096774637E-3</v>
      </c>
      <c r="P26" s="6">
        <v>0</v>
      </c>
      <c r="Q26" s="6">
        <v>1.1500964207704323</v>
      </c>
      <c r="R26" s="6">
        <v>0.38336547359014411</v>
      </c>
      <c r="S26" s="6">
        <v>0.82144053568370456</v>
      </c>
      <c r="T26" s="7">
        <v>103</v>
      </c>
      <c r="U26" s="13" cm="1">
        <f t="array" ref="U26:AB26">[1]!unf_BegsBrillGradient(diam_mm,theta,eps_m,L26,Qg_rc_m3day,Mul_rc_cP,Mug_rc_cP,sigma_l_Nm,rho_lrc_kgm3,rho_grc_kgm3,1,1)</f>
        <v>1.5367821410784913E-3</v>
      </c>
      <c r="V26" s="14">
        <v>-7.6899986467429985E-4</v>
      </c>
      <c r="W26" s="14">
        <v>2.3057820057527912E-3</v>
      </c>
      <c r="X26" s="14">
        <v>0</v>
      </c>
      <c r="Y26" s="14">
        <v>1.1500964207704323</v>
      </c>
      <c r="Z26" s="14">
        <v>0.38336547359014411</v>
      </c>
      <c r="AA26" s="14">
        <v>0.75</v>
      </c>
      <c r="AB26" s="15">
        <v>2</v>
      </c>
      <c r="AC26" s="16" cm="1">
        <f t="array" ref="AC26:AJ26">[1]!unf_UnifiedTUFFPGradient(diam_mm,theta,eps_m,L26,Qg_rc_m3day,Mul_rc_cP,Mug_rc_cP,sigma_l_Nm,rho_lrc_kgm3,rho_grc_kgm3,p_atma)</f>
        <v>6.2513717804120049E-4</v>
      </c>
      <c r="AD26" s="19">
        <v>-8.251542750662194E-4</v>
      </c>
      <c r="AE26" s="19">
        <v>1.4502914531074199E-3</v>
      </c>
      <c r="AF26" s="19">
        <v>0</v>
      </c>
      <c r="AG26" s="19">
        <v>1.1500964207704323</v>
      </c>
      <c r="AH26" s="19">
        <v>0.38336547359014411</v>
      </c>
      <c r="AI26" s="19">
        <v>0.8074927270857043</v>
      </c>
      <c r="AJ26" s="20">
        <v>203</v>
      </c>
      <c r="AK26" s="21" cm="1">
        <f t="array" ref="AK26:AR26">[1]!unf_HagedornandBrawnmodified(diam_mm,theta,eps_m,L26,Qg_rc_m3day,Mul_rc_cP,Mug_rc_cP,sigma_l_Nm,rho_lrc_kgm3,rho_grc_kgm3,p_atma)</f>
        <v>7.9711888765718114E-4</v>
      </c>
      <c r="AL26" s="24">
        <v>-7.6899986467429985E-4</v>
      </c>
      <c r="AM26" s="24">
        <v>1.566118752331481E-3</v>
      </c>
      <c r="AN26" s="24">
        <v>0</v>
      </c>
      <c r="AO26" s="24">
        <v>1.1500964207704323</v>
      </c>
      <c r="AP26" s="24">
        <v>0.38336547359014411</v>
      </c>
      <c r="AQ26" s="24">
        <v>0.75</v>
      </c>
      <c r="AR26" s="25">
        <v>0</v>
      </c>
      <c r="AS26" s="29" cm="1">
        <f t="array" ref="AS26:AZ26">[1]!unf_GrayModifiedGradient(diam_mm,theta,eps_m,L26,Qg_rc_m3day,Mul_rc_cP,Mug_rc_cP,sigma_l_Nm,rho_lrc_kgm3,rho_grc_kgm3)</f>
        <v>7.900253219559456E-4</v>
      </c>
      <c r="AT26" s="30">
        <v>-7.7609343037553539E-4</v>
      </c>
      <c r="AU26" s="30">
        <v>1.566118752331481E-3</v>
      </c>
      <c r="AV26" s="30">
        <v>0</v>
      </c>
      <c r="AW26" s="30">
        <v>1.1500964207704323</v>
      </c>
      <c r="AX26" s="30">
        <v>0.38336547359014411</v>
      </c>
      <c r="AY26" s="30">
        <v>0.75723638617559341</v>
      </c>
      <c r="AZ26" s="31">
        <v>0</v>
      </c>
    </row>
  </sheetData>
  <mergeCells count="5">
    <mergeCell ref="M3:T3"/>
    <mergeCell ref="U3:AB3"/>
    <mergeCell ref="AC3:AJ3"/>
    <mergeCell ref="AK3:AR3"/>
    <mergeCell ref="AS3:AZ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diam_mm</vt:lpstr>
      <vt:lpstr>eps_m</vt:lpstr>
      <vt:lpstr>Mug_rc_cP</vt:lpstr>
      <vt:lpstr>Mul_rc_cP</vt:lpstr>
      <vt:lpstr>p_atma</vt:lpstr>
      <vt:lpstr>Qg_rc_m3day</vt:lpstr>
      <vt:lpstr>Ql_rc_m3day</vt:lpstr>
      <vt:lpstr>rho_grc_kgm3</vt:lpstr>
      <vt:lpstr>rho_lrc_kgm3</vt:lpstr>
      <vt:lpstr>sigma_l_Nm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2021-08-13T06:02:51Z</dcterms:created>
  <dcterms:modified xsi:type="dcterms:W3CDTF">2023-03-03T04:08:34Z</dcterms:modified>
</cp:coreProperties>
</file>