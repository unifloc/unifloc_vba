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AEC807AA-8576-49FB-8EF6-7B50FE889D40}" xr6:coauthVersionLast="45" xr6:coauthVersionMax="45" xr10:uidLastSave="{00000000-0000-0000-0000-000000000000}"/>
  <bookViews>
    <workbookView xWindow="-36060" yWindow="1980" windowWidth="28800" windowHeight="15435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7" i="120" l="1"/>
  <c r="C127" i="120"/>
  <c r="D126" i="120"/>
  <c r="C126" i="120"/>
  <c r="D125" i="120"/>
  <c r="C125" i="120"/>
  <c r="D124" i="120"/>
  <c r="C124" i="120"/>
  <c r="D123" i="120"/>
  <c r="C123" i="120"/>
  <c r="D122" i="120"/>
  <c r="C122" i="120"/>
  <c r="D121" i="120"/>
  <c r="C121" i="120"/>
  <c r="D120" i="120"/>
  <c r="C120" i="120"/>
  <c r="D119" i="120"/>
  <c r="C119" i="120"/>
  <c r="D118" i="120"/>
  <c r="C118" i="120"/>
  <c r="D117" i="120"/>
  <c r="C117" i="120"/>
  <c r="D116" i="120"/>
  <c r="C116" i="120"/>
  <c r="D115" i="120"/>
  <c r="C115" i="120"/>
  <c r="D114" i="120"/>
  <c r="C114" i="120"/>
  <c r="D113" i="120"/>
  <c r="C113" i="120"/>
  <c r="D112" i="120"/>
  <c r="C112" i="120"/>
  <c r="D111" i="120"/>
  <c r="C111" i="120"/>
  <c r="D110" i="120"/>
  <c r="C110" i="120"/>
  <c r="D109" i="120"/>
  <c r="C109" i="120"/>
  <c r="D108" i="120"/>
  <c r="C108" i="120"/>
  <c r="D107" i="120"/>
  <c r="C107" i="120"/>
  <c r="D106" i="120"/>
  <c r="C106" i="120"/>
  <c r="D105" i="120"/>
  <c r="C105" i="120"/>
  <c r="D104" i="120"/>
  <c r="C104" i="120"/>
  <c r="D103" i="120"/>
  <c r="C103" i="120"/>
  <c r="D102" i="120"/>
  <c r="C102" i="120"/>
  <c r="D101" i="120"/>
  <c r="C101" i="120"/>
  <c r="AC57" i="120"/>
  <c r="D57" i="120"/>
  <c r="AC56" i="120"/>
  <c r="D56" i="120"/>
  <c r="AC55" i="120"/>
  <c r="D55" i="120"/>
  <c r="AC54" i="120"/>
  <c r="D54" i="120"/>
  <c r="AC53" i="120"/>
  <c r="D53" i="120"/>
  <c r="AC52" i="120"/>
  <c r="D52" i="120"/>
  <c r="AC51" i="120"/>
  <c r="D51" i="120"/>
  <c r="AC50" i="120"/>
  <c r="D50" i="120"/>
  <c r="AC49" i="120"/>
  <c r="D49" i="120"/>
  <c r="AC48" i="120"/>
  <c r="D48" i="120"/>
  <c r="AC47" i="120"/>
  <c r="D47" i="120"/>
  <c r="AC46" i="120"/>
  <c r="D46" i="120"/>
  <c r="AC45" i="120"/>
  <c r="D45" i="120"/>
  <c r="AC44" i="120"/>
  <c r="D44" i="120"/>
  <c r="AC43" i="120"/>
  <c r="D43" i="120"/>
  <c r="AC42" i="120"/>
  <c r="D42" i="120"/>
  <c r="AC41" i="120"/>
  <c r="D41" i="120"/>
  <c r="AC40" i="120"/>
  <c r="D40" i="120"/>
  <c r="AC39" i="120"/>
  <c r="D39" i="120"/>
  <c r="AC38" i="120"/>
  <c r="D38" i="120"/>
  <c r="AC37" i="120"/>
  <c r="D37" i="120"/>
  <c r="AC36" i="120"/>
  <c r="D36" i="120"/>
  <c r="AC35" i="120"/>
  <c r="D35" i="120"/>
  <c r="AC34" i="120"/>
  <c r="D34" i="120"/>
  <c r="AC33" i="120"/>
  <c r="D33" i="120"/>
  <c r="AC32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I40" i="120" a="1"/>
  <c r="C24" i="120"/>
  <c r="G115" i="120"/>
  <c r="AF35" i="120"/>
  <c r="G113" i="120"/>
  <c r="J45" i="120" a="1"/>
  <c r="F118" i="120"/>
  <c r="AE38" i="120"/>
  <c r="F42" i="120"/>
  <c r="AD50" i="120"/>
  <c r="Q40" i="120"/>
  <c r="E36" i="120"/>
  <c r="I51" i="120" a="1"/>
  <c r="H120" i="120"/>
  <c r="F48" i="120"/>
  <c r="E54" i="120"/>
  <c r="AF49" i="120"/>
  <c r="G107" i="120"/>
  <c r="I48" i="120" a="1"/>
  <c r="F114" i="120"/>
  <c r="AE34" i="120"/>
  <c r="E114" i="120"/>
  <c r="AD34" i="120"/>
  <c r="F47" i="120"/>
  <c r="I52" i="120" a="1"/>
  <c r="J56" i="120" a="1"/>
  <c r="H107" i="120"/>
  <c r="AF33" i="120"/>
  <c r="E104" i="120"/>
  <c r="Q50" i="120"/>
  <c r="G45" i="120"/>
  <c r="R50" i="120"/>
  <c r="AD56" i="120"/>
  <c r="AE40" i="120"/>
  <c r="G37" i="120"/>
  <c r="H33" i="120" a="1"/>
  <c r="G110" i="120"/>
  <c r="G112" i="120"/>
  <c r="AF32" i="120"/>
  <c r="AF45" i="120"/>
  <c r="J46" i="120" a="1"/>
  <c r="F115" i="120"/>
  <c r="AE35" i="120"/>
  <c r="E127" i="120"/>
  <c r="AD47" i="120"/>
  <c r="Q37" i="120"/>
  <c r="G47" i="120"/>
  <c r="H45" i="120" a="1"/>
  <c r="H117" i="120"/>
  <c r="F40" i="120"/>
  <c r="G126" i="120"/>
  <c r="AF46" i="120"/>
  <c r="G50" i="120"/>
  <c r="J42" i="120" a="1"/>
  <c r="F111" i="120"/>
  <c r="G51" i="120"/>
  <c r="E111" i="120"/>
  <c r="Q57" i="120"/>
  <c r="F43" i="120"/>
  <c r="J40" i="120" a="1"/>
  <c r="I34" i="120" a="1"/>
  <c r="H104" i="120"/>
  <c r="I53" i="120" a="1"/>
  <c r="AD57" i="120"/>
  <c r="Q47" i="120"/>
  <c r="G49" i="120"/>
  <c r="R57" i="120"/>
  <c r="T47" i="120"/>
  <c r="H55" i="120" a="1"/>
  <c r="Q46" i="120"/>
  <c r="T46" i="120" s="1"/>
  <c r="E120" i="120"/>
  <c r="Q56" i="120"/>
  <c r="J57" i="120" a="1"/>
  <c r="H38" i="120" a="1"/>
  <c r="AF36" i="120"/>
  <c r="G109" i="120"/>
  <c r="F57" i="120"/>
  <c r="G34" i="120"/>
  <c r="I42" i="120" a="1"/>
  <c r="F112" i="120"/>
  <c r="AE32" i="120"/>
  <c r="E124" i="120"/>
  <c r="AD44" i="120"/>
  <c r="Q34" i="120"/>
  <c r="T34" i="120" s="1"/>
  <c r="G116" i="120"/>
  <c r="J50" i="120" a="1"/>
  <c r="H114" i="120"/>
  <c r="F32" i="120"/>
  <c r="G123" i="120"/>
  <c r="AF43" i="120"/>
  <c r="H49" i="120" a="1"/>
  <c r="I44" i="120" a="1"/>
  <c r="F108" i="120"/>
  <c r="AF54" i="120"/>
  <c r="E108" i="120"/>
  <c r="Q54" i="120"/>
  <c r="F39" i="120"/>
  <c r="F110" i="120"/>
  <c r="H41" i="120" a="1"/>
  <c r="H36" i="120" a="1"/>
  <c r="AD54" i="120"/>
  <c r="Q44" i="120"/>
  <c r="G53" i="120"/>
  <c r="S57" i="120"/>
  <c r="R47" i="120"/>
  <c r="S47" i="120"/>
  <c r="AF41" i="120"/>
  <c r="J55" i="120" a="1"/>
  <c r="AF39" i="120"/>
  <c r="I43" i="120" a="1"/>
  <c r="H127" i="120"/>
  <c r="H54" i="120" a="1"/>
  <c r="G106" i="120"/>
  <c r="F53" i="120"/>
  <c r="H37" i="120" a="1"/>
  <c r="H44" i="120" a="1"/>
  <c r="F109" i="120"/>
  <c r="E57" i="120"/>
  <c r="AG57" i="120" s="1"/>
  <c r="E121" i="120"/>
  <c r="AD41" i="120"/>
  <c r="G56" i="120"/>
  <c r="AF42" i="120"/>
  <c r="J44" i="120" a="1"/>
  <c r="H111" i="120"/>
  <c r="E32" i="120"/>
  <c r="G120" i="120"/>
  <c r="AF40" i="120"/>
  <c r="F113" i="120"/>
  <c r="J39" i="120" a="1"/>
  <c r="F105" i="120"/>
  <c r="G46" i="120"/>
  <c r="E105" i="120"/>
  <c r="Q51" i="120"/>
  <c r="F35" i="120"/>
  <c r="AE42" i="120"/>
  <c r="I36" i="120" a="1"/>
  <c r="AG54" i="120"/>
  <c r="F107" i="120"/>
  <c r="AD51" i="120"/>
  <c r="Q41" i="120"/>
  <c r="G57" i="120"/>
  <c r="T57" i="120"/>
  <c r="AE44" i="120"/>
  <c r="AF55" i="120"/>
  <c r="H113" i="120"/>
  <c r="I47" i="120" a="1"/>
  <c r="H124" i="120"/>
  <c r="H32" i="120" a="1"/>
  <c r="G103" i="120"/>
  <c r="F49" i="120"/>
  <c r="F125" i="120"/>
  <c r="H50" i="120" a="1"/>
  <c r="F106" i="120"/>
  <c r="E49" i="120"/>
  <c r="E118" i="120"/>
  <c r="AD38" i="120"/>
  <c r="G52" i="120"/>
  <c r="H46" i="120" a="1"/>
  <c r="H51" i="120" a="1"/>
  <c r="H108" i="120"/>
  <c r="G55" i="120"/>
  <c r="G117" i="120"/>
  <c r="AF37" i="120"/>
  <c r="AE33" i="120"/>
  <c r="I32" i="120" a="1"/>
  <c r="F102" i="120"/>
  <c r="H47" i="120" a="1"/>
  <c r="E102" i="120"/>
  <c r="Q48" i="120"/>
  <c r="R48" i="120" s="1"/>
  <c r="G1" i="120"/>
  <c r="F38" i="120"/>
  <c r="H39" i="120" a="1"/>
  <c r="E42" i="120"/>
  <c r="AD48" i="120"/>
  <c r="Q38" i="120"/>
  <c r="T38" i="120" s="1"/>
  <c r="AG32" i="120"/>
  <c r="R40" i="120"/>
  <c r="R54" i="120"/>
  <c r="R56" i="120"/>
  <c r="T44" i="120"/>
  <c r="R44" i="120"/>
  <c r="H106" i="120"/>
  <c r="F44" i="120"/>
  <c r="AD40" i="120"/>
  <c r="S48" i="120"/>
  <c r="H53" i="120" a="1"/>
  <c r="H121" i="120"/>
  <c r="AE57" i="120"/>
  <c r="AF56" i="120"/>
  <c r="F45" i="120"/>
  <c r="AE54" i="120"/>
  <c r="I33" i="120" a="1"/>
  <c r="F103" i="120"/>
  <c r="E37" i="120"/>
  <c r="E115" i="120"/>
  <c r="AD35" i="120"/>
  <c r="G48" i="120"/>
  <c r="F122" i="120"/>
  <c r="I35" i="120" a="1"/>
  <c r="H105" i="120"/>
  <c r="G122" i="120"/>
  <c r="G114" i="120"/>
  <c r="AF34" i="120"/>
  <c r="F46" i="120"/>
  <c r="J37" i="120" a="1"/>
  <c r="AE55" i="120"/>
  <c r="F116" i="120"/>
  <c r="AD55" i="120"/>
  <c r="Q45" i="120"/>
  <c r="E51" i="120"/>
  <c r="AG51" i="120" s="1"/>
  <c r="I56" i="120" a="1"/>
  <c r="J34" i="120" a="1"/>
  <c r="E125" i="120"/>
  <c r="AD45" i="120"/>
  <c r="Q35" i="120"/>
  <c r="S40" i="120"/>
  <c r="S54" i="120"/>
  <c r="T56" i="120"/>
  <c r="F104" i="120"/>
  <c r="E110" i="120"/>
  <c r="I41" i="120" a="1"/>
  <c r="H118" i="120"/>
  <c r="AE39" i="120"/>
  <c r="AF53" i="120"/>
  <c r="F41" i="120"/>
  <c r="F54" i="120"/>
  <c r="H40" i="120" a="1"/>
  <c r="AE56" i="120"/>
  <c r="G39" i="120"/>
  <c r="E112" i="120"/>
  <c r="AD32" i="120"/>
  <c r="G44" i="120"/>
  <c r="AE51" i="120"/>
  <c r="J32" i="120" a="1"/>
  <c r="H102" i="120"/>
  <c r="AF51" i="120"/>
  <c r="G111" i="120"/>
  <c r="E56" i="120"/>
  <c r="AG56" i="120" s="1"/>
  <c r="E34" i="120"/>
  <c r="J35" i="120" a="1"/>
  <c r="AE52" i="120"/>
  <c r="AE45" i="120"/>
  <c r="AD52" i="120"/>
  <c r="Q42" i="120"/>
  <c r="E43" i="120"/>
  <c r="J54" i="120" a="1"/>
  <c r="H125" i="120"/>
  <c r="AG36" i="120"/>
  <c r="E122" i="120"/>
  <c r="AD42" i="120"/>
  <c r="Q32" i="120"/>
  <c r="T40" i="120"/>
  <c r="T54" i="120"/>
  <c r="T42" i="120"/>
  <c r="S56" i="120"/>
  <c r="S44" i="120"/>
  <c r="S32" i="120"/>
  <c r="F119" i="120"/>
  <c r="F120" i="120"/>
  <c r="R46" i="120"/>
  <c r="H52" i="120" a="1"/>
  <c r="H115" i="120"/>
  <c r="E50" i="120"/>
  <c r="AF50" i="120"/>
  <c r="F37" i="120"/>
  <c r="E38" i="120"/>
  <c r="AG38" i="120" s="1"/>
  <c r="I37" i="120" a="1"/>
  <c r="AE53" i="120"/>
  <c r="AF48" i="120"/>
  <c r="E109" i="120"/>
  <c r="Q55" i="120"/>
  <c r="G40" i="120"/>
  <c r="F50" i="120"/>
  <c r="I38" i="120" a="1"/>
  <c r="AG49" i="120"/>
  <c r="G54" i="120"/>
  <c r="G108" i="120"/>
  <c r="E52" i="120"/>
  <c r="H42" i="120" a="1"/>
  <c r="J38" i="120" a="1"/>
  <c r="AE49" i="120"/>
  <c r="F34" i="120"/>
  <c r="AD49" i="120"/>
  <c r="Q39" i="120"/>
  <c r="E35" i="120"/>
  <c r="AG35" i="120" s="1"/>
  <c r="I54" i="120" a="1"/>
  <c r="H122" i="120"/>
  <c r="E55" i="120"/>
  <c r="E119" i="120"/>
  <c r="AD39" i="120"/>
  <c r="E33" i="120"/>
  <c r="R37" i="120"/>
  <c r="S51" i="120"/>
  <c r="S39" i="120"/>
  <c r="T41" i="120"/>
  <c r="I50" i="120" a="1"/>
  <c r="I49" i="120" a="1"/>
  <c r="AG50" i="120"/>
  <c r="J41" i="120" a="1"/>
  <c r="H112" i="120"/>
  <c r="G127" i="120"/>
  <c r="AF47" i="120"/>
  <c r="F33" i="120"/>
  <c r="I57" i="120" a="1"/>
  <c r="I39" i="120" a="1"/>
  <c r="AE50" i="120"/>
  <c r="G42" i="120"/>
  <c r="E106" i="120"/>
  <c r="Q52" i="120"/>
  <c r="G36" i="120"/>
  <c r="E46" i="120"/>
  <c r="J36" i="120" a="1"/>
  <c r="AG46" i="120"/>
  <c r="H56" i="120" a="1"/>
  <c r="G105" i="120"/>
  <c r="E48" i="120"/>
  <c r="AG48" i="120" s="1"/>
  <c r="I55" i="120" a="1"/>
  <c r="F126" i="120"/>
  <c r="AE46" i="120"/>
  <c r="E126" i="120"/>
  <c r="AD46" i="120"/>
  <c r="Q36" i="120"/>
  <c r="S36" i="120" s="1"/>
  <c r="G125" i="120"/>
  <c r="J47" i="120" a="1"/>
  <c r="H119" i="120"/>
  <c r="E47" i="120"/>
  <c r="E116" i="120"/>
  <c r="AD36" i="120"/>
  <c r="E45" i="120"/>
  <c r="S37" i="120"/>
  <c r="T51" i="120"/>
  <c r="R39" i="120"/>
  <c r="R41" i="120"/>
  <c r="F124" i="120"/>
  <c r="E40" i="120"/>
  <c r="G119" i="120"/>
  <c r="I45" i="120" a="1"/>
  <c r="H109" i="120"/>
  <c r="G124" i="120"/>
  <c r="AF44" i="120"/>
  <c r="E53" i="120"/>
  <c r="J53" i="120" a="1"/>
  <c r="F127" i="120"/>
  <c r="AE47" i="120"/>
  <c r="J51" i="120" a="1"/>
  <c r="E103" i="120"/>
  <c r="Q49" i="120"/>
  <c r="G32" i="120"/>
  <c r="H57" i="120" a="1"/>
  <c r="J33" i="120" a="1"/>
  <c r="AG37" i="120"/>
  <c r="H35" i="120" a="1"/>
  <c r="G102" i="120"/>
  <c r="E44" i="120"/>
  <c r="AG44" i="120" s="1"/>
  <c r="I46" i="120" a="1"/>
  <c r="F123" i="120"/>
  <c r="AE43" i="120"/>
  <c r="E123" i="120"/>
  <c r="AD43" i="120"/>
  <c r="Q33" i="120"/>
  <c r="G104" i="120"/>
  <c r="J52" i="120" a="1"/>
  <c r="H116" i="120"/>
  <c r="E39" i="120"/>
  <c r="E113" i="120"/>
  <c r="AD33" i="120"/>
  <c r="G33" i="120"/>
  <c r="AG47" i="120"/>
  <c r="T49" i="120"/>
  <c r="T37" i="120"/>
  <c r="R51" i="120"/>
  <c r="T39" i="120"/>
  <c r="S41" i="120"/>
  <c r="E41" i="120"/>
  <c r="AG41" i="120" s="1"/>
  <c r="H126" i="120"/>
  <c r="H48" i="120" a="1"/>
  <c r="T50" i="120"/>
  <c r="H34" i="120" a="1"/>
  <c r="H103" i="120"/>
  <c r="G118" i="120"/>
  <c r="AF38" i="120"/>
  <c r="G43" i="120"/>
  <c r="H43" i="120" a="1"/>
  <c r="F121" i="120"/>
  <c r="AE41" i="120"/>
  <c r="AE48" i="120"/>
  <c r="AD53" i="120"/>
  <c r="Q43" i="120"/>
  <c r="F36" i="120"/>
  <c r="J49" i="120" a="1"/>
  <c r="H123" i="120"/>
  <c r="F52" i="120"/>
  <c r="AE36" i="120"/>
  <c r="AF52" i="120"/>
  <c r="G35" i="120"/>
  <c r="J43" i="120" a="1"/>
  <c r="F117" i="120"/>
  <c r="AE37" i="120"/>
  <c r="E117" i="120"/>
  <c r="AD37" i="120"/>
  <c r="F51" i="120"/>
  <c r="G38" i="120"/>
  <c r="J48" i="120" a="1"/>
  <c r="H110" i="120"/>
  <c r="AF57" i="120"/>
  <c r="E107" i="120"/>
  <c r="Q53" i="120"/>
  <c r="G41" i="120"/>
  <c r="AG53" i="120"/>
  <c r="S46" i="120"/>
  <c r="S34" i="120"/>
  <c r="T48" i="120"/>
  <c r="T36" i="120"/>
  <c r="S50" i="120"/>
  <c r="R38" i="120"/>
  <c r="R36" i="120"/>
  <c r="S38" i="120"/>
  <c r="G121" i="120"/>
  <c r="F56" i="120"/>
  <c r="F55" i="120"/>
  <c r="R34" i="120"/>
  <c r="R45" i="120"/>
  <c r="T45" i="120"/>
  <c r="S45" i="120"/>
  <c r="R35" i="120"/>
  <c r="T35" i="120"/>
  <c r="S35" i="120"/>
  <c r="S42" i="120"/>
  <c r="R42" i="120"/>
  <c r="R32" i="120"/>
  <c r="T32" i="120"/>
  <c r="T55" i="120"/>
  <c r="S55" i="120"/>
  <c r="R55" i="120"/>
  <c r="T52" i="120"/>
  <c r="S52" i="120"/>
  <c r="R52" i="120"/>
  <c r="S49" i="120"/>
  <c r="R49" i="120"/>
  <c r="T33" i="120"/>
  <c r="S33" i="120"/>
  <c r="R33" i="120"/>
  <c r="T43" i="120"/>
  <c r="S43" i="120"/>
  <c r="R43" i="120"/>
  <c r="R53" i="120"/>
  <c r="S53" i="120"/>
  <c r="T53" i="120"/>
  <c r="H36" i="120" l="1"/>
  <c r="I53" i="120"/>
  <c r="J34" i="120"/>
  <c r="H39" i="120"/>
  <c r="I36" i="120"/>
  <c r="H41" i="120"/>
  <c r="I34" i="120"/>
  <c r="J56" i="120"/>
  <c r="J48" i="120"/>
  <c r="H48" i="120"/>
  <c r="J52" i="120"/>
  <c r="J47" i="120"/>
  <c r="I54" i="120"/>
  <c r="J54" i="120"/>
  <c r="I56" i="120"/>
  <c r="J40" i="120"/>
  <c r="I52" i="120"/>
  <c r="H47" i="120"/>
  <c r="J38" i="120"/>
  <c r="J35" i="120"/>
  <c r="J37" i="120"/>
  <c r="I32" i="120"/>
  <c r="J39" i="120"/>
  <c r="I44" i="120"/>
  <c r="J42" i="120"/>
  <c r="I48" i="120"/>
  <c r="J43" i="120"/>
  <c r="I49" i="120"/>
  <c r="I46" i="120"/>
  <c r="I55" i="120"/>
  <c r="H42" i="120"/>
  <c r="H49" i="120"/>
  <c r="H35" i="120"/>
  <c r="H56" i="120"/>
  <c r="J33" i="120"/>
  <c r="J36" i="120"/>
  <c r="I38" i="120"/>
  <c r="J32" i="120"/>
  <c r="I35" i="120"/>
  <c r="H51" i="120"/>
  <c r="J44" i="120"/>
  <c r="J50" i="120"/>
  <c r="H45" i="120"/>
  <c r="I51" i="120"/>
  <c r="J49" i="120"/>
  <c r="J55" i="120"/>
  <c r="H57" i="120"/>
  <c r="H46" i="120"/>
  <c r="J51" i="120"/>
  <c r="I39" i="120"/>
  <c r="I37" i="120"/>
  <c r="H40" i="120"/>
  <c r="I33" i="120"/>
  <c r="H50" i="120"/>
  <c r="H44" i="120"/>
  <c r="I42" i="120"/>
  <c r="J46" i="120"/>
  <c r="J45" i="120"/>
  <c r="H43" i="120"/>
  <c r="I50" i="120"/>
  <c r="J53" i="120"/>
  <c r="I57" i="120"/>
  <c r="H37" i="120"/>
  <c r="H32" i="120"/>
  <c r="H54" i="120"/>
  <c r="H38" i="120"/>
  <c r="H33" i="120"/>
  <c r="I40" i="120"/>
  <c r="H34" i="120"/>
  <c r="H55" i="120"/>
  <c r="I45" i="120"/>
  <c r="J41" i="120"/>
  <c r="H52" i="120"/>
  <c r="I41" i="120"/>
  <c r="H53" i="120"/>
  <c r="I47" i="120"/>
  <c r="I43" i="120"/>
  <c r="J57" i="120"/>
  <c r="AG39" i="120"/>
  <c r="AG55" i="120"/>
  <c r="AG40" i="120"/>
  <c r="AG43" i="120"/>
  <c r="AG45" i="120"/>
  <c r="AG52" i="120"/>
  <c r="AG42" i="120"/>
  <c r="AG33" i="120"/>
  <c r="AG34" i="1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60A00180-7365-4715-974C-7881145D35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9D9294B6-1E2D-4612-8D7D-92E1B02F17D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<sst xmlns="http://schemas.openxmlformats.org/spreadsheetml/2006/main" count="69" uniqueCount="58">
  <si>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</si>
  <si>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</si>
  <si>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</si>
  <si>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</si>
  <si>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</si>
  <si>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</si>
  <si>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</si>
  <si>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</si>
  <si>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</si>
  <si>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</si>
  <si>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</si>
  <si>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</si>
  <si>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</si>
  <si>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</si>
  <si>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</si>
  <si>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</si>
  <si>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</si>
  <si>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</si>
  <si>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</si>
  <si>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</si>
  <si>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</si>
  <si>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</si>
  <si>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</si>
  <si>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</si>
  <si>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</si>
  <si>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</si>
  <si>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</si>
  <si>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</si>
  <si>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</si>
  <si>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</si>
  <si>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</si>
  <si>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</si>
  <si>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</si>
  <si>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</si>
  <si>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</si>
  <si>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</si>
  <si>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</si>
  <si>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</si>
  <si>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</si>
  <si>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</si>
  <si>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</si>
  <si>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</si>
  <si>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</si>
  <si>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</si>
  <si>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</si>
  <si>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</si>
  <si>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</si>
  <si>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</si>
  <si>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</si>
  <si>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</si>
  <si>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</si>
  <si>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</si>
  <si>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</si>
  <si>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</si>
  <si>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</si>
  <si>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</si>
  <si>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</si>
  <si>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r>
      <t>K</t>
    </r>
    <r>
      <rPr>
        <vertAlign val="subscript"/>
        <sz val="10"/>
        <rFont val="Arial Cyr"/>
      </rPr>
      <t>sep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</si>
</sst>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00"/>
  </numFmts>
  <fonts count="2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2" fontId="0" fillId="3" borderId="2" xfId="0" applyNumberFormat="1" applyFill="1" applyBorder="1"/>
    <xf numFmtId="165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6080.7642461594842</c:v>
                </c:pt>
                <c:pt idx="1">
                  <c:v>1237.6925443170842</c:v>
                </c:pt>
                <c:pt idx="2">
                  <c:v>630.62356729551448</c:v>
                </c:pt>
                <c:pt idx="3">
                  <c:v>325.96356307594959</c:v>
                </c:pt>
                <c:pt idx="4">
                  <c:v>173.09541419781235</c:v>
                </c:pt>
                <c:pt idx="5">
                  <c:v>122.66701784540058</c:v>
                </c:pt>
                <c:pt idx="6">
                  <c:v>98.364047727835441</c:v>
                </c:pt>
                <c:pt idx="7">
                  <c:v>84.708168581031487</c:v>
                </c:pt>
                <c:pt idx="8">
                  <c:v>76.403541714337734</c:v>
                </c:pt>
                <c:pt idx="9">
                  <c:v>71.10948287639502</c:v>
                </c:pt>
                <c:pt idx="10">
                  <c:v>67.631581051873042</c:v>
                </c:pt>
                <c:pt idx="11">
                  <c:v>65.454673135752699</c:v>
                </c:pt>
                <c:pt idx="12">
                  <c:v>65.20068274484322</c:v>
                </c:pt>
                <c:pt idx="13">
                  <c:v>64.993605677072779</c:v>
                </c:pt>
                <c:pt idx="14">
                  <c:v>64.821543933902603</c:v>
                </c:pt>
                <c:pt idx="15">
                  <c:v>64.676309059514452</c:v>
                </c:pt>
                <c:pt idx="16">
                  <c:v>64.552081046738238</c:v>
                </c:pt>
                <c:pt idx="17">
                  <c:v>64.444609796776888</c:v>
                </c:pt>
                <c:pt idx="18">
                  <c:v>64.350719238785558</c:v>
                </c:pt>
                <c:pt idx="19">
                  <c:v>64.267988233274508</c:v>
                </c:pt>
                <c:pt idx="20">
                  <c:v>64.194538856840424</c:v>
                </c:pt>
                <c:pt idx="21">
                  <c:v>64.128892149983784</c:v>
                </c:pt>
                <c:pt idx="22">
                  <c:v>64.069867513394669</c:v>
                </c:pt>
                <c:pt idx="23">
                  <c:v>64.016511084211885</c:v>
                </c:pt>
                <c:pt idx="24">
                  <c:v>63.968043799283095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0.99132331140407637</c:v>
                </c:pt>
                <c:pt idx="1">
                  <c:v>0.95726594279107191</c:v>
                </c:pt>
                <c:pt idx="2">
                  <c:v>0.91581050435599975</c:v>
                </c:pt>
                <c:pt idx="3">
                  <c:v>0.83569251426664415</c:v>
                </c:pt>
                <c:pt idx="4">
                  <c:v>0.68423631708925925</c:v>
                </c:pt>
                <c:pt idx="5">
                  <c:v>0.54417055761675781</c:v>
                </c:pt>
                <c:pt idx="6">
                  <c:v>0.41746912740655612</c:v>
                </c:pt>
                <c:pt idx="7">
                  <c:v>0.30591673580284762</c:v>
                </c:pt>
                <c:pt idx="8">
                  <c:v>0.20962947825713016</c:v>
                </c:pt>
                <c:pt idx="9">
                  <c:v>0.12712786715061117</c:v>
                </c:pt>
                <c:pt idx="10">
                  <c:v>5.6134189460071489E-2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12.8265380859375</c:v>
                </c:pt>
                <c:pt idx="1">
                  <c:v>50.4638671875</c:v>
                </c:pt>
                <c:pt idx="2">
                  <c:v>86.82861328125</c:v>
                </c:pt>
                <c:pt idx="3">
                  <c:v>118.8720703125</c:v>
                </c:pt>
                <c:pt idx="4">
                  <c:v>150.2197265625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7.12738037109375</c:v>
                </c:pt>
                <c:pt idx="1">
                  <c:v>30.413818359375</c:v>
                </c:pt>
                <c:pt idx="2">
                  <c:v>53.72314453125</c:v>
                </c:pt>
                <c:pt idx="3">
                  <c:v>73.13232421875</c:v>
                </c:pt>
                <c:pt idx="4">
                  <c:v>90.4541015625</c:v>
                </c:pt>
                <c:pt idx="5">
                  <c:v>106.7138671875</c:v>
                </c:pt>
                <c:pt idx="6">
                  <c:v>122.64404296875</c:v>
                </c:pt>
                <c:pt idx="7">
                  <c:v>138.6474609375</c:v>
                </c:pt>
                <c:pt idx="8">
                  <c:v>154.98046875</c:v>
                </c:pt>
                <c:pt idx="9">
                  <c:v>179.58984375</c:v>
                </c:pt>
                <c:pt idx="10">
                  <c:v>225.87890625</c:v>
                </c:pt>
                <c:pt idx="11">
                  <c:v>294.140625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2.99835205078125</c:v>
                </c:pt>
                <c:pt idx="1">
                  <c:v>13.95263671875</c:v>
                </c:pt>
                <c:pt idx="2">
                  <c:v>26.18408203125</c:v>
                </c:pt>
                <c:pt idx="3">
                  <c:v>37.09716796875</c:v>
                </c:pt>
                <c:pt idx="4">
                  <c:v>46.91162109375</c:v>
                </c:pt>
                <c:pt idx="5">
                  <c:v>55.810546875</c:v>
                </c:pt>
                <c:pt idx="6">
                  <c:v>64.013671875</c:v>
                </c:pt>
                <c:pt idx="7">
                  <c:v>71.7041015625</c:v>
                </c:pt>
                <c:pt idx="8">
                  <c:v>78.955078125</c:v>
                </c:pt>
                <c:pt idx="9">
                  <c:v>85.9130859375</c:v>
                </c:pt>
                <c:pt idx="10">
                  <c:v>92.6513671875</c:v>
                </c:pt>
                <c:pt idx="11">
                  <c:v>99.20654296875</c:v>
                </c:pt>
                <c:pt idx="12">
                  <c:v>105.6884765625</c:v>
                </c:pt>
                <c:pt idx="13">
                  <c:v>112.1337890625</c:v>
                </c:pt>
                <c:pt idx="14">
                  <c:v>118.505859375</c:v>
                </c:pt>
                <c:pt idx="15">
                  <c:v>124.951171875</c:v>
                </c:pt>
                <c:pt idx="16">
                  <c:v>131.396484375</c:v>
                </c:pt>
                <c:pt idx="17">
                  <c:v>137.98828125</c:v>
                </c:pt>
                <c:pt idx="18">
                  <c:v>144.580078125</c:v>
                </c:pt>
                <c:pt idx="19">
                  <c:v>151.318359375</c:v>
                </c:pt>
                <c:pt idx="20">
                  <c:v>158.056640625</c:v>
                </c:pt>
                <c:pt idx="21">
                  <c:v>165.087890625</c:v>
                </c:pt>
                <c:pt idx="22">
                  <c:v>176.953125</c:v>
                </c:pt>
                <c:pt idx="23">
                  <c:v>190.4296875</c:v>
                </c:pt>
                <c:pt idx="24">
                  <c:v>205.37109375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9-4BE8-B6C5-EFBCA960C800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9-4BE8-B6C5-EFBCA960C800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9-4BE8-B6C5-EFBCA960C800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9-4BE8-B6C5-EFBCA960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0.4863739013671875</c:v>
                </c:pt>
                <c:pt idx="1">
                  <c:v>2.8228759765625</c:v>
                </c:pt>
                <c:pt idx="2">
                  <c:v>6.0901641845703125</c:v>
                </c:pt>
                <c:pt idx="3">
                  <c:v>13.275146484375</c:v>
                </c:pt>
                <c:pt idx="4">
                  <c:v>29.4036865234375</c:v>
                </c:pt>
                <c:pt idx="5">
                  <c:v>47.3785400390625</c:v>
                </c:pt>
                <c:pt idx="6">
                  <c:v>66.925048828125</c:v>
                </c:pt>
                <c:pt idx="7">
                  <c:v>87.799072265625</c:v>
                </c:pt>
                <c:pt idx="8">
                  <c:v>109.710693359375</c:v>
                </c:pt>
                <c:pt idx="9">
                  <c:v>132.38525390625</c:v>
                </c:pt>
                <c:pt idx="10">
                  <c:v>155.57861328125</c:v>
                </c:pt>
                <c:pt idx="11">
                  <c:v>179.19921875</c:v>
                </c:pt>
                <c:pt idx="12">
                  <c:v>203.0029296875</c:v>
                </c:pt>
                <c:pt idx="13">
                  <c:v>215.9423828125</c:v>
                </c:pt>
                <c:pt idx="14">
                  <c:v>222.2900390625</c:v>
                </c:pt>
                <c:pt idx="15">
                  <c:v>228.1494140625</c:v>
                </c:pt>
                <c:pt idx="16">
                  <c:v>233.5205078125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266.845703125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1.1529922485351563</c:v>
                </c:pt>
                <c:pt idx="1">
                  <c:v>6.24847412109375</c:v>
                </c:pt>
                <c:pt idx="2">
                  <c:v>13.09967041015625</c:v>
                </c:pt>
                <c:pt idx="3">
                  <c:v>27.89306640625</c:v>
                </c:pt>
                <c:pt idx="4">
                  <c:v>61.187744140625</c:v>
                </c:pt>
                <c:pt idx="5">
                  <c:v>99.42626953125</c:v>
                </c:pt>
                <c:pt idx="6">
                  <c:v>142.39501953125</c:v>
                </c:pt>
                <c:pt idx="7">
                  <c:v>189.453125</c:v>
                </c:pt>
                <c:pt idx="8">
                  <c:v>239.1357421875</c:v>
                </c:pt>
                <c:pt idx="9">
                  <c:v>290.1611328125</c:v>
                </c:pt>
                <c:pt idx="10">
                  <c:v>341.552734375</c:v>
                </c:pt>
                <c:pt idx="11">
                  <c:v>392.822265625</c:v>
                </c:pt>
                <c:pt idx="12">
                  <c:v>422.8515625</c:v>
                </c:pt>
                <c:pt idx="13">
                  <c:v>444.3359375</c:v>
                </c:pt>
                <c:pt idx="14">
                  <c:v>463.623046875</c:v>
                </c:pt>
                <c:pt idx="15">
                  <c:v>480.712890625</c:v>
                </c:pt>
                <c:pt idx="16">
                  <c:v>496.337890625</c:v>
                </c:pt>
                <c:pt idx="17">
                  <c:v>510.25390625</c:v>
                </c:pt>
                <c:pt idx="18">
                  <c:v>523.193359375</c:v>
                </c:pt>
                <c:pt idx="19">
                  <c:v>534.912109375</c:v>
                </c:pt>
                <c:pt idx="20">
                  <c:v>545.8984375</c:v>
                </c:pt>
                <c:pt idx="21">
                  <c:v>555.6640625</c:v>
                </c:pt>
                <c:pt idx="22">
                  <c:v>564.94140625</c:v>
                </c:pt>
                <c:pt idx="23">
                  <c:v>573.73046875</c:v>
                </c:pt>
                <c:pt idx="24">
                  <c:v>581.54296875</c:v>
                </c:pt>
                <c:pt idx="25">
                  <c:v>588.8671875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1.605987548828125</c:v>
                </c:pt>
                <c:pt idx="1">
                  <c:v>7.65228271484375</c:v>
                </c:pt>
                <c:pt idx="2">
                  <c:v>17.08984375</c:v>
                </c:pt>
                <c:pt idx="3">
                  <c:v>41.68701171875</c:v>
                </c:pt>
                <c:pt idx="4">
                  <c:v>105.95703125</c:v>
                </c:pt>
                <c:pt idx="5">
                  <c:v>184.9365234375</c:v>
                </c:pt>
                <c:pt idx="6">
                  <c:v>277.587890625</c:v>
                </c:pt>
                <c:pt idx="7">
                  <c:v>382.8125</c:v>
                </c:pt>
                <c:pt idx="8">
                  <c:v>498.53515625</c:v>
                </c:pt>
                <c:pt idx="9">
                  <c:v>619.62890625</c:v>
                </c:pt>
                <c:pt idx="10">
                  <c:v>743.1640625</c:v>
                </c:pt>
                <c:pt idx="11">
                  <c:v>865.234375</c:v>
                </c:pt>
                <c:pt idx="12">
                  <c:v>969.7265625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Упражнения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472889</xdr:colOff>
      <xdr:row>0</xdr:row>
      <xdr:rowOff>0</xdr:rowOff>
    </xdr:from>
    <xdr:to>
      <xdr:col>23</xdr:col>
      <xdr:colOff>301439</xdr:colOff>
      <xdr:row>19</xdr:row>
      <xdr:rowOff>148345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81F91F9-60CC-4556-BA60-825C618DD9E9}"/>
            </a:ext>
          </a:extLst>
        </xdr:cNvPr>
        <xdr:cNvSpPr txBox="1"/>
      </xdr:nvSpPr>
      <xdr:spPr>
        <a:xfrm>
          <a:off x="10617014" y="0"/>
          <a:ext cx="5314950" cy="396787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Насколько изменится расход ГЖС при изменении температуры от 30 С до 100 С? Оцените в уме и проверьте себя на основе расчета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потоке появиться свободный газ при давлении выше давления насыщения? Если да то при каких условиях?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изменится вязкость ГЖС при подъеме на поверхность в скважине? Оцените степень изменения в уме и проверьте себя на основе расчета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Какие параметры наиболее сильно влияют на расход ГЖС в потоке?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При каком газовом фактора достигается 25% свободного газа в потоке? Какие параметры влияют на этот показатель?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При каком давлении достигается 50% свободного газа в потоке? Какие параметры влияют на этот показатель?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*Оцените влияние на результаты расчета сепарации газа на приеме насоса. В упражнении нет заготовленных ячеек для ввода параметров сепарации - создайте их самостоятельно, проанализируйте результаты и подготовьте ответы.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ru-RU" sz="1100"/>
        </a:p>
      </xdr:txBody>
    </xdr:sp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7857CDA-5DD5-4C75-8308-83C888E27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Normal="100" workbookViewId="0">
      <selection activeCell="M52" sqref="M52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[1]!unf_Version()</f>
        <v>7.25</v>
      </c>
      <c r="H1" t="s">
        <v>52</v>
      </c>
      <c r="I1" s="32">
        <v>43984</v>
      </c>
      <c r="J1" s="33"/>
      <c r="K1" s="33"/>
      <c r="L1" s="33"/>
    </row>
    <row r="2" spans="1:12" x14ac:dyDescent="0.2">
      <c r="A2" t="s">
        <v>13</v>
      </c>
      <c r="H2" t="s">
        <v>53</v>
      </c>
      <c r="I2" s="34">
        <v>7.25</v>
      </c>
      <c r="J2" s="33"/>
      <c r="K2" s="33"/>
      <c r="L2" s="33"/>
    </row>
    <row r="3" spans="1:12" ht="15" x14ac:dyDescent="0.25">
      <c r="A3" s="28" t="s">
        <v>43</v>
      </c>
      <c r="B3" s="39" t="s">
        <v>44</v>
      </c>
      <c r="C3" s="40"/>
      <c r="D3" s="40"/>
      <c r="E3" s="41"/>
      <c r="H3" t="s">
        <v>51</v>
      </c>
      <c r="I3" s="29" t="s">
        <v>44</v>
      </c>
      <c r="J3" s="29"/>
      <c r="K3" s="29"/>
      <c r="L3" s="29"/>
    </row>
    <row r="4" spans="1:12" ht="15" x14ac:dyDescent="0.25">
      <c r="A4" s="28" t="s">
        <v>45</v>
      </c>
      <c r="B4" s="39" t="s">
        <v>46</v>
      </c>
      <c r="C4" s="40"/>
      <c r="D4" s="40"/>
      <c r="E4" s="41"/>
      <c r="H4" t="s">
        <v>56</v>
      </c>
      <c r="I4" s="29" t="s">
        <v>46</v>
      </c>
      <c r="J4" s="29"/>
      <c r="K4" s="29"/>
      <c r="L4" s="29"/>
    </row>
    <row r="5" spans="1:12" ht="15" x14ac:dyDescent="0.25">
      <c r="A5" s="28" t="s">
        <v>47</v>
      </c>
      <c r="B5" s="39" t="s">
        <v>48</v>
      </c>
      <c r="C5" s="40"/>
      <c r="D5" s="40"/>
      <c r="E5" s="41"/>
      <c r="H5" t="s">
        <v>55</v>
      </c>
      <c r="I5" s="29" t="s">
        <v>48</v>
      </c>
      <c r="J5" s="29"/>
      <c r="K5" s="29"/>
      <c r="L5" s="29"/>
    </row>
    <row r="6" spans="1:12" x14ac:dyDescent="0.2">
      <c r="A6" s="36" t="s">
        <v>49</v>
      </c>
      <c r="B6" s="42" t="s">
        <v>50</v>
      </c>
      <c r="C6" s="43"/>
      <c r="D6" s="43"/>
      <c r="E6" s="44"/>
      <c r="H6" s="35" t="s">
        <v>54</v>
      </c>
      <c r="I6" s="30" t="s">
        <v>50</v>
      </c>
      <c r="J6" s="30"/>
      <c r="K6" s="30"/>
      <c r="L6" s="30"/>
    </row>
    <row r="7" spans="1:12" x14ac:dyDescent="0.2">
      <c r="A7" s="37"/>
      <c r="B7" s="45"/>
      <c r="C7" s="46"/>
      <c r="D7" s="46"/>
      <c r="E7" s="47"/>
      <c r="H7" s="35"/>
      <c r="I7" s="30"/>
      <c r="J7" s="30"/>
      <c r="K7" s="30"/>
      <c r="L7" s="30"/>
    </row>
    <row r="8" spans="1:12" x14ac:dyDescent="0.2">
      <c r="A8" s="38"/>
      <c r="B8" s="48"/>
      <c r="C8" s="49"/>
      <c r="D8" s="49"/>
      <c r="E8" s="50"/>
      <c r="H8" s="35"/>
      <c r="I8" s="30"/>
      <c r="J8" s="30"/>
      <c r="K8" s="30"/>
      <c r="L8" s="30"/>
    </row>
    <row r="9" spans="1:12" x14ac:dyDescent="0.2">
      <c r="H9" s="31"/>
      <c r="I9" s="31"/>
      <c r="J9" s="31"/>
      <c r="K9" s="31"/>
      <c r="L9" s="31"/>
    </row>
    <row r="10" spans="1:12" x14ac:dyDescent="0.2">
      <c r="A10" s="1" t="s">
        <v>1</v>
      </c>
    </row>
    <row r="11" spans="1:12" ht="18.75" x14ac:dyDescent="0.35">
      <c r="B11" s="12" t="s">
        <v>24</v>
      </c>
      <c r="C11" s="2">
        <v>0.86</v>
      </c>
      <c r="D11" s="7"/>
      <c r="E11" s="8">
        <f>gamma_oil_*1000</f>
        <v>860</v>
      </c>
      <c r="F11" s="10" t="s">
        <v>35</v>
      </c>
    </row>
    <row r="12" spans="1:12" ht="18.75" x14ac:dyDescent="0.35">
      <c r="B12" s="10" t="s">
        <v>25</v>
      </c>
      <c r="C12" s="2">
        <v>1.02</v>
      </c>
      <c r="D12" s="7"/>
      <c r="E12" s="8">
        <f>gamma_wat_*1000</f>
        <v>1020</v>
      </c>
      <c r="F12" s="10" t="s">
        <v>35</v>
      </c>
    </row>
    <row r="13" spans="1:12" ht="18.75" x14ac:dyDescent="0.35">
      <c r="B13" s="10" t="s">
        <v>26</v>
      </c>
      <c r="C13" s="2">
        <v>0.7</v>
      </c>
      <c r="D13" s="7"/>
      <c r="E13" s="8">
        <f>gamma_gas_*1.22</f>
        <v>0.85399999999999998</v>
      </c>
      <c r="F13" s="10" t="s">
        <v>35</v>
      </c>
    </row>
    <row r="14" spans="1:12" ht="18.75" x14ac:dyDescent="0.35">
      <c r="B14" s="13" t="s">
        <v>27</v>
      </c>
      <c r="C14" s="2">
        <v>120</v>
      </c>
      <c r="D14" s="10" t="s">
        <v>23</v>
      </c>
      <c r="E14" s="9">
        <f>Rsb_/gamma_oil_</f>
        <v>139.53488372093022</v>
      </c>
      <c r="F14" s="10" t="s">
        <v>36</v>
      </c>
    </row>
    <row r="15" spans="1:12" ht="18.75" x14ac:dyDescent="0.35">
      <c r="B15" s="13" t="s">
        <v>28</v>
      </c>
      <c r="C15" s="2">
        <v>100</v>
      </c>
      <c r="D15" s="10" t="s">
        <v>23</v>
      </c>
      <c r="E15" s="9">
        <f>Rsb_/gamma_oil_</f>
        <v>139.53488372093022</v>
      </c>
      <c r="F15" s="10" t="s">
        <v>36</v>
      </c>
    </row>
    <row r="16" spans="1:12" ht="18" x14ac:dyDescent="0.35">
      <c r="B16" s="10" t="s">
        <v>29</v>
      </c>
      <c r="C16" s="2"/>
      <c r="D16" s="7" t="s">
        <v>7</v>
      </c>
      <c r="E16" s="9">
        <f>Pb_*1.01325</f>
        <v>0</v>
      </c>
      <c r="F16" s="11" t="s">
        <v>8</v>
      </c>
    </row>
    <row r="17" spans="1:33" ht="18" x14ac:dyDescent="0.35">
      <c r="B17" s="10" t="s">
        <v>30</v>
      </c>
      <c r="C17" s="2"/>
      <c r="D17" s="7" t="s">
        <v>2</v>
      </c>
      <c r="E17" s="9">
        <f>Tres_*9/5+32</f>
        <v>32</v>
      </c>
      <c r="F17" s="11" t="s">
        <v>9</v>
      </c>
    </row>
    <row r="18" spans="1:33" ht="18.75" x14ac:dyDescent="0.35">
      <c r="B18" s="13" t="s">
        <v>31</v>
      </c>
      <c r="C18" s="2"/>
      <c r="D18" s="10" t="s">
        <v>23</v>
      </c>
    </row>
    <row r="19" spans="1:33" ht="18" x14ac:dyDescent="0.35">
      <c r="B19" s="14" t="s">
        <v>32</v>
      </c>
      <c r="C19" s="2"/>
      <c r="D19" s="7" t="s">
        <v>6</v>
      </c>
    </row>
    <row r="20" spans="1:33" x14ac:dyDescent="0.2">
      <c r="A20" s="1" t="s">
        <v>15</v>
      </c>
    </row>
    <row r="21" spans="1:33" ht="15.75" x14ac:dyDescent="0.3">
      <c r="B21" s="14" t="s">
        <v>33</v>
      </c>
      <c r="C21" s="2">
        <v>50</v>
      </c>
      <c r="D21" s="10" t="s">
        <v>34</v>
      </c>
    </row>
    <row r="22" spans="1:33" ht="15.75" x14ac:dyDescent="0.3">
      <c r="B22" s="14" t="s">
        <v>37</v>
      </c>
      <c r="C22" s="2">
        <v>0</v>
      </c>
      <c r="D22" s="7" t="s">
        <v>3</v>
      </c>
    </row>
    <row r="23" spans="1:33" ht="15.75" x14ac:dyDescent="0.3">
      <c r="B23" s="14" t="s">
        <v>57</v>
      </c>
      <c r="C23" s="2">
        <v>0</v>
      </c>
      <c r="D23" s="7"/>
    </row>
    <row r="24" spans="1:33" x14ac:dyDescent="0.2">
      <c r="B24" s="18" t="s">
        <v>19</v>
      </c>
      <c r="C24" s="26" t="str">
        <f>[1]!PVT_encode_string(gamma_gas_,gamma_oil_,gamma_wat_,Rsb_,Rp_,Pb_,Tres_,Bob_,muob_)</f>
        <v>{"gamma_gas":0.7,"gamma_oil":0.86,"gamma_wat":1.02,"rsb_m3m3":120,"rp_m3m3":100}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7"/>
      <c r="V24" s="27"/>
    </row>
    <row r="30" spans="1:33" x14ac:dyDescent="0.2">
      <c r="R30" s="2">
        <v>0.25</v>
      </c>
      <c r="S30" s="2">
        <v>0.5</v>
      </c>
      <c r="T30" s="2">
        <v>0.75</v>
      </c>
      <c r="AE30" s="25">
        <f>betta_gas1_</f>
        <v>0.25</v>
      </c>
      <c r="AF30" s="25">
        <f>betta_gas2_</f>
        <v>0.5</v>
      </c>
      <c r="AG30" s="25">
        <f>betta_gas3_</f>
        <v>0.75</v>
      </c>
    </row>
    <row r="31" spans="1:33" ht="32.1" customHeight="1" x14ac:dyDescent="0.35">
      <c r="B31" s="15" t="s">
        <v>0</v>
      </c>
      <c r="C31" s="15" t="s">
        <v>4</v>
      </c>
      <c r="D31" s="15" t="s">
        <v>42</v>
      </c>
      <c r="E31" s="15" t="s">
        <v>11</v>
      </c>
      <c r="F31" s="16" t="s">
        <v>10</v>
      </c>
      <c r="G31" s="17" t="s">
        <v>38</v>
      </c>
      <c r="H31" s="17" t="s">
        <v>39</v>
      </c>
      <c r="I31" s="17" t="s">
        <v>40</v>
      </c>
      <c r="J31" s="17" t="s">
        <v>41</v>
      </c>
      <c r="P31" s="15" t="s">
        <v>14</v>
      </c>
      <c r="Q31" s="19" t="s">
        <v>20</v>
      </c>
      <c r="R31" s="18" t="str">
        <f>"Р при 
βgas ="&amp;betta_gas1_</f>
        <v>Р при 
βgas =0.25</v>
      </c>
      <c r="S31" s="18" t="str">
        <f>"Р при 
βgas ="&amp;betta_gas2_</f>
        <v>Р при 
βgas =0.5</v>
      </c>
      <c r="T31" s="18" t="str">
        <f>"Р при 
βgas ="&amp;betta_gas3_</f>
        <v>Р при 
βgas =0.75</v>
      </c>
      <c r="AC31" s="15" t="s">
        <v>0</v>
      </c>
      <c r="AD31" s="19" t="s">
        <v>20</v>
      </c>
      <c r="AE31" s="18" t="str">
        <f>"Р при 
βgas ="&amp;betta_gas1_</f>
        <v>Р при 
βgas =0.25</v>
      </c>
      <c r="AF31" s="18" t="str">
        <f>"Р при 
βgas ="&amp;betta_gas2_</f>
        <v>Р при 
βgas =0.5</v>
      </c>
      <c r="AG31" s="18" t="str">
        <f>"Р при 
βgas ="&amp;betta_gas3_</f>
        <v>Р при 
βgas =0.75</v>
      </c>
    </row>
    <row r="32" spans="1:33" x14ac:dyDescent="0.2">
      <c r="B32" s="24">
        <v>1</v>
      </c>
      <c r="C32" s="24">
        <v>80</v>
      </c>
      <c r="D32" s="25">
        <f t="shared" ref="D32" si="0">Q_</f>
        <v>50</v>
      </c>
      <c r="E32" s="21">
        <f>[1]!MF_q_mix_rc_m3day(Q_,fw_,B32,C32,PVRstr1_)</f>
        <v>6080.7642461594842</v>
      </c>
      <c r="F32" s="22">
        <f>[1]!MF_gas_fraction_d(B32,C32,fw_,PVRstr1_,ksep_)</f>
        <v>0.99132331140407637</v>
      </c>
      <c r="G32" s="22">
        <f>[1]!MF_mu_mix_cP(Q_,fw_,B32,C32,PVRstr1_)</f>
        <v>2.3353229007571238E-2</v>
      </c>
      <c r="H32" s="22" cm="1">
        <f t="array" ref="H32">[1]!PVT_mu_oil_cP(B32,C32,gamma_gas_,gamma_oil_,gamma_wat_,Rsb_,Rp_,Pb_,Tres_,Bob_,muob_)</f>
        <v>2.678900443471357</v>
      </c>
      <c r="I32" s="22" cm="1">
        <f t="array" ref="I32">[1]!PVT_mu_wat_cP(B32,C32,gamma_gas_,gamma_oil_,gamma_wat_,Rsb_,Rp_,Pb_,Tres_,Bob_,muob_)</f>
        <v>0.38431976588553846</v>
      </c>
      <c r="J32" s="22" cm="1">
        <f t="array" ref="J32">[1]!PVT_mu_gas_cP(B32,C32,gamma_gas_,gamma_oil_,gamma_wat_,Rsb_,Rp_,Pb_,Tres_,Bob_,muob_)</f>
        <v>1.2590526775373494E-2</v>
      </c>
      <c r="P32" s="24">
        <v>10</v>
      </c>
      <c r="Q32" s="23" t="str">
        <f>[1]!PVT_encode_string(gamma_gas_,gamma_oil_,gamma_wat_,Rsb_,P32,Pb_,Tres_,Bob_,muob_)</f>
        <v>{"gamma_gas":0.7,"gamma_oil":0.86,"gamma_wat":1.02,"rsb_m3m3":120,"rp_m3m3":10}</v>
      </c>
      <c r="R32" s="21">
        <f>[1]!MF_p_gas_fraction_atma(betta_gas1_,20,fw_,Q32,ksep_)</f>
        <v>12.8265380859375</v>
      </c>
      <c r="S32" s="21">
        <f>[1]!MF_p_gas_fraction_atma(betta_gas2_,20,fw_,Q32,ksep_)</f>
        <v>7.12738037109375</v>
      </c>
      <c r="T32" s="21">
        <f>[1]!MF_p_gas_fraction_atma(betta_gas3_,20,fw_,Q32,ksep_)</f>
        <v>2.99835205078125</v>
      </c>
      <c r="AC32" s="25">
        <f>B32</f>
        <v>1</v>
      </c>
      <c r="AD32" s="23" t="str">
        <f>[1]!PVT_encode_string(gamma_gas_,gamma_oil_,gamma_wat_,Rsb_,AC32,Pb_,Tres_,Bob_,muob_)</f>
        <v>{"gamma_gas":0.7,"gamma_oil":0.86,"gamma_wat":1.02,"rsb_m3m3":120,"rp_m3m3":1}</v>
      </c>
      <c r="AE32" s="21">
        <f>[1]!MF_rp_gas_fraction_m3m3(betta_gas1_,AC32,C32,fw_,PVRstr1_,,ksep_)</f>
        <v>0.4863739013671875</v>
      </c>
      <c r="AF32" s="21">
        <f>[1]!MF_rp_gas_fraction_m3m3(betta_gas2_,AC32,D32,fw_,PVRstr1_,1000,ksep_)</f>
        <v>1.1529922485351563</v>
      </c>
      <c r="AG32" s="21">
        <f>[1]!MF_rp_gas_fraction_m3m3(betta_gas3_,AC32,E32,fw_,PVRstr1_,1000,ksep_)</f>
        <v>1.605987548828125</v>
      </c>
    </row>
    <row r="33" spans="2:33" x14ac:dyDescent="0.2">
      <c r="B33" s="24">
        <v>5</v>
      </c>
      <c r="C33" s="24">
        <v>80</v>
      </c>
      <c r="D33" s="25">
        <f t="shared" ref="D33" si="1">Q_</f>
        <v>50</v>
      </c>
      <c r="E33" s="21">
        <f>[1]!MF_q_mix_rc_m3day(Q_,fw_,B33,C33,PVRstr1_)</f>
        <v>1237.6925443170842</v>
      </c>
      <c r="F33" s="22">
        <f>[1]!MF_gas_fraction_d(B33,C33,fw_,PVRstr1_,ksep_)</f>
        <v>0.95726594279107191</v>
      </c>
      <c r="G33" s="22">
        <f>[1]!MF_mu_mix_cP(Q_,fw_,B33,C33,PVRstr1_)</f>
        <v>0.10985311130238989</v>
      </c>
      <c r="H33" s="22" cm="1">
        <f t="array" ref="H33">[1]!PVT_mu_oil_cP(B33,C33,gamma_gas_,gamma_oil_,gamma_wat_,Rsb_,Rp_,Pb_,Tres_,Bob_,muob_)</f>
        <v>2.5579920292474072</v>
      </c>
      <c r="I33" s="22" cm="1">
        <f t="array" ref="I33">[1]!PVT_mu_wat_cP(B33,C33,gamma_gas_,gamma_oil_,gamma_wat_,Rsb_,Rp_,Pb_,Tres_,Bob_,muob_)</f>
        <v>0.38523631006758674</v>
      </c>
      <c r="J33" s="22" cm="1">
        <f t="array" ref="J33">[1]!PVT_mu_gas_cP(B33,C33,gamma_gas_,gamma_oil_,gamma_wat_,Rsb_,Rp_,Pb_,Tres_,Bob_,muob_)</f>
        <v>1.2630057144126723E-2</v>
      </c>
      <c r="P33" s="24">
        <v>50</v>
      </c>
      <c r="Q33" s="23" t="str">
        <f>[1]!PVT_encode_string(gamma_gas_,gamma_oil_,gamma_wat_,Rsb_,P33,Pb_,Tres_,Bob_,muob_)</f>
        <v>{"gamma_gas":0.7,"gamma_oil":0.86,"gamma_wat":1.02,"rsb_m3m3":120,"rp_m3m3":50}</v>
      </c>
      <c r="R33" s="21">
        <f>[1]!MF_p_gas_fraction_atma(betta_gas1_,20,fw_,Q33,ksep_)</f>
        <v>50.4638671875</v>
      </c>
      <c r="S33" s="21">
        <f>[1]!MF_p_gas_fraction_atma(betta_gas2_,20,fw_,Q33,ksep_)</f>
        <v>30.413818359375</v>
      </c>
      <c r="T33" s="21">
        <f>[1]!MF_p_gas_fraction_atma(betta_gas3_,20,fw_,Q33,ksep_)</f>
        <v>13.95263671875</v>
      </c>
      <c r="AC33" s="25">
        <f t="shared" ref="AC33:AC47" si="2">B33</f>
        <v>5</v>
      </c>
      <c r="AD33" s="23" t="str">
        <f>[1]!PVT_encode_string(gamma_gas_,gamma_oil_,gamma_wat_,Rsb_,AC33,Pb_,Tres_,Bob_,muob_)</f>
        <v>{"gamma_gas":0.7,"gamma_oil":0.86,"gamma_wat":1.02,"rsb_m3m3":120,"rp_m3m3":5}</v>
      </c>
      <c r="AE33" s="21">
        <f>[1]!MF_rp_gas_fraction_m3m3(betta_gas1_,AC33,C33,fw_,PVRstr1_,,ksep_)</f>
        <v>2.8228759765625</v>
      </c>
      <c r="AF33" s="21">
        <f>[1]!MF_rp_gas_fraction_m3m3(betta_gas2_,AC33,D33,fw_,PVRstr1_,1000,ksep_)</f>
        <v>6.24847412109375</v>
      </c>
      <c r="AG33" s="21">
        <f>[1]!MF_rp_gas_fraction_m3m3(betta_gas3_,AC33,E33,fw_,PVRstr1_,1000,ksep_)</f>
        <v>7.65228271484375</v>
      </c>
    </row>
    <row r="34" spans="2:33" x14ac:dyDescent="0.2">
      <c r="B34" s="24">
        <v>10</v>
      </c>
      <c r="C34" s="24">
        <v>80</v>
      </c>
      <c r="D34" s="25">
        <f t="shared" ref="D34" si="3">Q_</f>
        <v>50</v>
      </c>
      <c r="E34" s="21">
        <f>[1]!MF_q_mix_rc_m3day(Q_,fw_,B34,C34,PVRstr1_)</f>
        <v>630.62356729551448</v>
      </c>
      <c r="F34" s="22">
        <f>[1]!MF_gas_fraction_d(B34,C34,fw_,PVRstr1_,ksep_)</f>
        <v>0.91581050435599975</v>
      </c>
      <c r="G34" s="22">
        <f>[1]!MF_mu_mix_cP(Q_,fw_,B34,C34,PVRstr1_)</f>
        <v>0.2027999066099829</v>
      </c>
      <c r="H34" s="22" cm="1">
        <f t="array" ref="H34">[1]!PVT_mu_oil_cP(B34,C34,gamma_gas_,gamma_oil_,gamma_wat_,Rsb_,Rp_,Pb_,Tres_,Bob_,muob_)</f>
        <v>2.3961538690040416</v>
      </c>
      <c r="I34" s="22" cm="1">
        <f t="array" ref="I34">[1]!PVT_mu_wat_cP(B34,C34,gamma_gas_,gamma_oil_,gamma_wat_,Rsb_,Rp_,Pb_,Tres_,Bob_,muob_)</f>
        <v>0.38639359266114098</v>
      </c>
      <c r="J34" s="22" cm="1">
        <f t="array" ref="J34">[1]!PVT_mu_gas_cP(B34,C34,gamma_gas_,gamma_oil_,gamma_wat_,Rsb_,Rp_,Pb_,Tres_,Bob_,muob_)</f>
        <v>1.2696606446400435E-2</v>
      </c>
      <c r="P34" s="24">
        <v>100</v>
      </c>
      <c r="Q34" s="23" t="str">
        <f>[1]!PVT_encode_string(gamma_gas_,gamma_oil_,gamma_wat_,Rsb_,P34,Pb_,Tres_,Bob_,muob_)</f>
        <v>{"gamma_gas":0.7,"gamma_oil":0.86,"gamma_wat":1.02,"rsb_m3m3":120,"rp_m3m3":100}</v>
      </c>
      <c r="R34" s="21">
        <f>[1]!MF_p_gas_fraction_atma(betta_gas1_,20,fw_,Q34,ksep_)</f>
        <v>86.82861328125</v>
      </c>
      <c r="S34" s="21">
        <f>[1]!MF_p_gas_fraction_atma(betta_gas2_,20,fw_,Q34,ksep_)</f>
        <v>53.72314453125</v>
      </c>
      <c r="T34" s="21">
        <f>[1]!MF_p_gas_fraction_atma(betta_gas3_,20,fw_,Q34,ksep_)</f>
        <v>26.18408203125</v>
      </c>
      <c r="AC34" s="25">
        <f t="shared" si="2"/>
        <v>10</v>
      </c>
      <c r="AD34" s="23" t="str">
        <f>[1]!PVT_encode_string(gamma_gas_,gamma_oil_,gamma_wat_,Rsb_,AC34,Pb_,Tres_,Bob_,muob_)</f>
        <v>{"gamma_gas":0.7,"gamma_oil":0.86,"gamma_wat":1.02,"rsb_m3m3":120,"rp_m3m3":10}</v>
      </c>
      <c r="AE34" s="21">
        <f>[1]!MF_rp_gas_fraction_m3m3(betta_gas1_,AC34,C34,fw_,PVRstr1_,,ksep_)</f>
        <v>6.0901641845703125</v>
      </c>
      <c r="AF34" s="21">
        <f>[1]!MF_rp_gas_fraction_m3m3(betta_gas2_,AC34,D34,fw_,PVRstr1_,1000,ksep_)</f>
        <v>13.09967041015625</v>
      </c>
      <c r="AG34" s="21">
        <f>[1]!MF_rp_gas_fraction_m3m3(betta_gas3_,AC34,E34,fw_,PVRstr1_,1000,ksep_)</f>
        <v>17.08984375</v>
      </c>
    </row>
    <row r="35" spans="2:33" x14ac:dyDescent="0.2">
      <c r="B35" s="24">
        <v>20</v>
      </c>
      <c r="C35" s="24">
        <v>80</v>
      </c>
      <c r="D35" s="25">
        <f t="shared" ref="D35" si="4">Q_</f>
        <v>50</v>
      </c>
      <c r="E35" s="21">
        <f>[1]!MF_q_mix_rc_m3day(Q_,fw_,B35,C35,PVRstr1_)</f>
        <v>325.96356307594959</v>
      </c>
      <c r="F35" s="22">
        <f>[1]!MF_gas_fraction_d(B35,C35,fw_,PVRstr1_,ksep_)</f>
        <v>0.83569251426664415</v>
      </c>
      <c r="G35" s="22">
        <f>[1]!MF_mu_mix_cP(Q_,fw_,B35,C35,PVRstr1_)</f>
        <v>0.34714037496153721</v>
      </c>
      <c r="H35" s="22" cm="1">
        <f t="array" ref="H35">[1]!PVT_mu_oil_cP(B35,C35,gamma_gas_,gamma_oil_,gamma_wat_,Rsb_,Rp_,Pb_,Tres_,Bob_,muob_)</f>
        <v>2.0998831295066331</v>
      </c>
      <c r="I35" s="22" cm="1">
        <f t="array" ref="I35">[1]!PVT_mu_wat_cP(B35,C35,gamma_gas_,gamma_oil_,gamma_wat_,Rsb_,Rp_,Pb_,Tres_,Bob_,muob_)</f>
        <v>0.38874683240156249</v>
      </c>
      <c r="J35" s="22" cm="1">
        <f t="array" ref="J35">[1]!PVT_mu_gas_cP(B35,C35,gamma_gas_,gamma_oil_,gamma_wat_,Rsb_,Rp_,Pb_,Tres_,Bob_,muob_)</f>
        <v>1.286525448902627E-2</v>
      </c>
      <c r="P35" s="24">
        <v>150</v>
      </c>
      <c r="Q35" s="23" t="str">
        <f>[1]!PVT_encode_string(gamma_gas_,gamma_oil_,gamma_wat_,Rsb_,P35,Pb_,Tres_,Bob_,muob_)</f>
        <v>{"gamma_gas":0.7,"gamma_oil":0.86,"gamma_wat":1.02,"rsb_m3m3":120,"rp_m3m3":150}</v>
      </c>
      <c r="R35" s="21">
        <f>[1]!MF_p_gas_fraction_atma(betta_gas1_,20,fw_,Q35,ksep_)</f>
        <v>118.8720703125</v>
      </c>
      <c r="S35" s="21">
        <f>[1]!MF_p_gas_fraction_atma(betta_gas2_,20,fw_,Q35,ksep_)</f>
        <v>73.13232421875</v>
      </c>
      <c r="T35" s="21">
        <f>[1]!MF_p_gas_fraction_atma(betta_gas3_,20,fw_,Q35,ksep_)</f>
        <v>37.09716796875</v>
      </c>
      <c r="AC35" s="25">
        <f t="shared" si="2"/>
        <v>20</v>
      </c>
      <c r="AD35" s="23" t="str">
        <f>[1]!PVT_encode_string(gamma_gas_,gamma_oil_,gamma_wat_,Rsb_,AC35,Pb_,Tres_,Bob_,muob_)</f>
        <v>{"gamma_gas":0.7,"gamma_oil":0.86,"gamma_wat":1.02,"rsb_m3m3":120,"rp_m3m3":20}</v>
      </c>
      <c r="AE35" s="21">
        <f>[1]!MF_rp_gas_fraction_m3m3(betta_gas1_,AC35,C35,fw_,PVRstr1_,,ksep_)</f>
        <v>13.275146484375</v>
      </c>
      <c r="AF35" s="21">
        <f>[1]!MF_rp_gas_fraction_m3m3(betta_gas2_,AC35,D35,fw_,PVRstr1_,1000,ksep_)</f>
        <v>27.89306640625</v>
      </c>
      <c r="AG35" s="21">
        <f>[1]!MF_rp_gas_fraction_m3m3(betta_gas3_,AC35,E35,fw_,PVRstr1_,1000,ksep_)</f>
        <v>41.68701171875</v>
      </c>
    </row>
    <row r="36" spans="2:33" x14ac:dyDescent="0.2">
      <c r="B36" s="24">
        <v>40</v>
      </c>
      <c r="C36" s="24">
        <v>80</v>
      </c>
      <c r="D36" s="25">
        <f t="shared" ref="D36" si="5">Q_</f>
        <v>50</v>
      </c>
      <c r="E36" s="21">
        <f>[1]!MF_q_mix_rc_m3day(Q_,fw_,B36,C36,PVRstr1_)</f>
        <v>173.09541419781235</v>
      </c>
      <c r="F36" s="22">
        <f>[1]!MF_gas_fraction_d(B36,C36,fw_,PVRstr1_,ksep_)</f>
        <v>0.68423631708925925</v>
      </c>
      <c r="G36" s="22">
        <f>[1]!MF_mu_mix_cP(Q_,fw_,B36,C36,PVRstr1_)</f>
        <v>0.52756282619786798</v>
      </c>
      <c r="H36" s="22" cm="1">
        <f t="array" ref="H36">[1]!PVT_mu_oil_cP(B36,C36,gamma_gas_,gamma_oil_,gamma_wat_,Rsb_,Rp_,Pb_,Tres_,Bob_,muob_)</f>
        <v>1.6574394833769039</v>
      </c>
      <c r="I36" s="22" cm="1">
        <f t="array" ref="I36">[1]!PVT_mu_wat_cP(B36,C36,gamma_gas_,gamma_oil_,gamma_wat_,Rsb_,Rp_,Pb_,Tres_,Bob_,muob_)</f>
        <v>0.39360801009565766</v>
      </c>
      <c r="J36" s="22" cm="1">
        <f t="array" ref="J36">[1]!PVT_mu_gas_cP(B36,C36,gamma_gas_,gamma_oil_,gamma_wat_,Rsb_,Rp_,Pb_,Tres_,Bob_,muob_)</f>
        <v>1.3312584545353279E-2</v>
      </c>
      <c r="P36" s="24">
        <v>200</v>
      </c>
      <c r="Q36" s="23" t="str">
        <f>[1]!PVT_encode_string(gamma_gas_,gamma_oil_,gamma_wat_,Rsb_,P36,Pb_,Tres_,Bob_,muob_)</f>
        <v>{"gamma_gas":0.7,"gamma_oil":0.86,"gamma_wat":1.02,"rsb_m3m3":120,"rp_m3m3":200}</v>
      </c>
      <c r="R36" s="21">
        <f>[1]!MF_p_gas_fraction_atma(betta_gas1_,20,fw_,Q36,ksep_)</f>
        <v>150.2197265625</v>
      </c>
      <c r="S36" s="21">
        <f>[1]!MF_p_gas_fraction_atma(betta_gas2_,20,fw_,Q36,ksep_)</f>
        <v>90.4541015625</v>
      </c>
      <c r="T36" s="21">
        <f>[1]!MF_p_gas_fraction_atma(betta_gas3_,20,fw_,Q36,ksep_)</f>
        <v>46.91162109375</v>
      </c>
      <c r="AC36" s="25">
        <f t="shared" si="2"/>
        <v>40</v>
      </c>
      <c r="AD36" s="23" t="str">
        <f>[1]!PVT_encode_string(gamma_gas_,gamma_oil_,gamma_wat_,Rsb_,AC36,Pb_,Tres_,Bob_,muob_)</f>
        <v>{"gamma_gas":0.7,"gamma_oil":0.86,"gamma_wat":1.02,"rsb_m3m3":120,"rp_m3m3":40}</v>
      </c>
      <c r="AE36" s="21">
        <f>[1]!MF_rp_gas_fraction_m3m3(betta_gas1_,AC36,C36,fw_,PVRstr1_,,ksep_)</f>
        <v>29.4036865234375</v>
      </c>
      <c r="AF36" s="21">
        <f>[1]!MF_rp_gas_fraction_m3m3(betta_gas2_,AC36,D36,fw_,PVRstr1_,1000,ksep_)</f>
        <v>61.187744140625</v>
      </c>
      <c r="AG36" s="21">
        <f>[1]!MF_rp_gas_fraction_m3m3(betta_gas3_,AC36,E36,fw_,PVRstr1_,1000,ksep_)</f>
        <v>105.95703125</v>
      </c>
    </row>
    <row r="37" spans="2:33" x14ac:dyDescent="0.2">
      <c r="B37" s="24">
        <v>60</v>
      </c>
      <c r="C37" s="24">
        <v>80</v>
      </c>
      <c r="D37" s="25">
        <f t="shared" ref="D37" si="6">Q_</f>
        <v>50</v>
      </c>
      <c r="E37" s="21">
        <f>[1]!MF_q_mix_rc_m3day(Q_,fw_,B37,C37,PVRstr1_)</f>
        <v>122.66701784540058</v>
      </c>
      <c r="F37" s="22">
        <f>[1]!MF_gas_fraction_d(B37,C37,fw_,PVRstr1_,ksep_)</f>
        <v>0.54417055761675781</v>
      </c>
      <c r="G37" s="22">
        <f>[1]!MF_mu_mix_cP(Q_,fw_,B37,C37,PVRstr1_)</f>
        <v>0.62749683537336265</v>
      </c>
      <c r="H37" s="22" cm="1">
        <f t="array" ref="H37">[1]!PVT_mu_oil_cP(B37,C37,gamma_gas_,gamma_oil_,gamma_wat_,Rsb_,Rp_,Pb_,Tres_,Bob_,muob_)</f>
        <v>1.3627081689849947</v>
      </c>
      <c r="I37" s="22" cm="1">
        <f t="array" ref="I37">[1]!PVT_mu_wat_cP(B37,C37,gamma_gas_,gamma_oil_,gamma_wat_,Rsb_,Rp_,Pb_,Tres_,Bob_,muob_)</f>
        <v>0.39867545207408905</v>
      </c>
      <c r="J37" s="22" cm="1">
        <f t="array" ref="J37">[1]!PVT_mu_gas_cP(B37,C37,gamma_gas_,gamma_oil_,gamma_wat_,Rsb_,Rp_,Pb_,Tres_,Bob_,muob_)</f>
        <v>1.3896273441060203E-2</v>
      </c>
      <c r="P37" s="24">
        <v>250</v>
      </c>
      <c r="Q37" s="23" t="str">
        <f>[1]!PVT_encode_string(gamma_gas_,gamma_oil_,gamma_wat_,Rsb_,P37,Pb_,Tres_,Bob_,muob_)</f>
        <v>{"gamma_gas":0.7,"gamma_oil":0.86,"gamma_wat":1.02,"rsb_m3m3":120,"rp_m3m3":250}</v>
      </c>
      <c r="R37" s="21">
        <f>[1]!MF_p_gas_fraction_atma(betta_gas1_,20,fw_,Q37,ksep_)</f>
        <v>237.3046875</v>
      </c>
      <c r="S37" s="21">
        <f>[1]!MF_p_gas_fraction_atma(betta_gas2_,20,fw_,Q37,ksep_)</f>
        <v>106.7138671875</v>
      </c>
      <c r="T37" s="21">
        <f>[1]!MF_p_gas_fraction_atma(betta_gas3_,20,fw_,Q37,ksep_)</f>
        <v>55.810546875</v>
      </c>
      <c r="AC37" s="25">
        <f t="shared" si="2"/>
        <v>60</v>
      </c>
      <c r="AD37" s="23" t="str">
        <f>[1]!PVT_encode_string(gamma_gas_,gamma_oil_,gamma_wat_,Rsb_,AC37,Pb_,Tres_,Bob_,muob_)</f>
        <v>{"gamma_gas":0.7,"gamma_oil":0.86,"gamma_wat":1.02,"rsb_m3m3":120,"rp_m3m3":60}</v>
      </c>
      <c r="AE37" s="21">
        <f>[1]!MF_rp_gas_fraction_m3m3(betta_gas1_,AC37,C37,fw_,PVRstr1_,,ksep_)</f>
        <v>47.3785400390625</v>
      </c>
      <c r="AF37" s="21">
        <f>[1]!MF_rp_gas_fraction_m3m3(betta_gas2_,AC37,D37,fw_,PVRstr1_,1000,ksep_)</f>
        <v>99.42626953125</v>
      </c>
      <c r="AG37" s="21">
        <f>[1]!MF_rp_gas_fraction_m3m3(betta_gas3_,AC37,E37,fw_,PVRstr1_,1000,ksep_)</f>
        <v>184.9365234375</v>
      </c>
    </row>
    <row r="38" spans="2:33" x14ac:dyDescent="0.2">
      <c r="B38" s="24">
        <v>80</v>
      </c>
      <c r="C38" s="24">
        <v>80</v>
      </c>
      <c r="D38" s="25">
        <f t="shared" ref="D38" si="7">Q_</f>
        <v>50</v>
      </c>
      <c r="E38" s="21">
        <f>[1]!MF_q_mix_rc_m3day(Q_,fw_,B38,C38,PVRstr1_)</f>
        <v>98.364047727835441</v>
      </c>
      <c r="F38" s="22">
        <f>[1]!MF_gas_fraction_d(B38,C38,fw_,PVRstr1_,ksep_)</f>
        <v>0.41746912740655612</v>
      </c>
      <c r="G38" s="22">
        <f>[1]!MF_mu_mix_cP(Q_,fw_,B38,C38,PVRstr1_)</f>
        <v>0.68278959995356636</v>
      </c>
      <c r="H38" s="22" cm="1">
        <f t="array" ref="H38">[1]!PVT_mu_oil_cP(B38,C38,gamma_gas_,gamma_oil_,gamma_wat_,Rsb_,Rp_,Pb_,Tres_,Bob_,muob_)</f>
        <v>1.1574916574064196</v>
      </c>
      <c r="I38" s="22" cm="1">
        <f t="array" ref="I38">[1]!PVT_mu_wat_cP(B38,C38,gamma_gas_,gamma_oil_,gamma_wat_,Rsb_,Rp_,Pb_,Tres_,Bob_,muob_)</f>
        <v>0.40394915833685668</v>
      </c>
      <c r="J38" s="22" cm="1">
        <f t="array" ref="J38">[1]!PVT_mu_gas_cP(B38,C38,gamma_gas_,gamma_oil_,gamma_wat_,Rsb_,Rp_,Pb_,Tres_,Bob_,muob_)</f>
        <v>1.4617207680451744E-2</v>
      </c>
      <c r="P38" s="24">
        <v>300</v>
      </c>
      <c r="Q38" s="23" t="str">
        <f>[1]!PVT_encode_string(gamma_gas_,gamma_oil_,gamma_wat_,Rsb_,P38,Pb_,Tres_,Bob_,muob_)</f>
        <v>{"gamma_gas":0.7,"gamma_oil":0.86,"gamma_wat":1.02,"rsb_m3m3":120,"rp_m3m3":300}</v>
      </c>
      <c r="R38" s="21">
        <f>[1]!MF_p_gas_fraction_atma(betta_gas1_,20,fw_,Q38,ksep_)</f>
        <v>300</v>
      </c>
      <c r="S38" s="21">
        <f>[1]!MF_p_gas_fraction_atma(betta_gas2_,20,fw_,Q38,ksep_)</f>
        <v>122.64404296875</v>
      </c>
      <c r="T38" s="21">
        <f>[1]!MF_p_gas_fraction_atma(betta_gas3_,20,fw_,Q38,ksep_)</f>
        <v>64.013671875</v>
      </c>
      <c r="AC38" s="25">
        <f t="shared" si="2"/>
        <v>80</v>
      </c>
      <c r="AD38" s="23" t="str">
        <f>[1]!PVT_encode_string(gamma_gas_,gamma_oil_,gamma_wat_,Rsb_,AC38,Pb_,Tres_,Bob_,muob_)</f>
        <v>{"gamma_gas":0.7,"gamma_oil":0.86,"gamma_wat":1.02,"rsb_m3m3":120,"rp_m3m3":80}</v>
      </c>
      <c r="AE38" s="21">
        <f>[1]!MF_rp_gas_fraction_m3m3(betta_gas1_,AC38,C38,fw_,PVRstr1_,,ksep_)</f>
        <v>66.925048828125</v>
      </c>
      <c r="AF38" s="21">
        <f>[1]!MF_rp_gas_fraction_m3m3(betta_gas2_,AC38,D38,fw_,PVRstr1_,1000,ksep_)</f>
        <v>142.39501953125</v>
      </c>
      <c r="AG38" s="21">
        <f>[1]!MF_rp_gas_fraction_m3m3(betta_gas3_,AC38,E38,fw_,PVRstr1_,1000,ksep_)</f>
        <v>277.587890625</v>
      </c>
    </row>
    <row r="39" spans="2:33" x14ac:dyDescent="0.2">
      <c r="B39" s="24">
        <v>100</v>
      </c>
      <c r="C39" s="24">
        <v>80</v>
      </c>
      <c r="D39" s="25">
        <f t="shared" ref="D39" si="8">Q_</f>
        <v>50</v>
      </c>
      <c r="E39" s="21">
        <f>[1]!MF_q_mix_rc_m3day(Q_,fw_,B39,C39,PVRstr1_)</f>
        <v>84.708168581031487</v>
      </c>
      <c r="F39" s="22">
        <f>[1]!MF_gas_fraction_d(B39,C39,fw_,PVRstr1_,ksep_)</f>
        <v>0.30591673580284762</v>
      </c>
      <c r="G39" s="22">
        <f>[1]!MF_mu_mix_cP(Q_,fw_,B39,C39,PVRstr1_)</f>
        <v>0.71019591575453678</v>
      </c>
      <c r="H39" s="22" cm="1">
        <f t="array" ref="H39">[1]!PVT_mu_oil_cP(B39,C39,gamma_gas_,gamma_oil_,gamma_wat_,Rsb_,Rp_,Pb_,Tres_,Bob_,muob_)</f>
        <v>1.0077433098181237</v>
      </c>
      <c r="I39" s="22" cm="1">
        <f t="array" ref="I39">[1]!PVT_mu_wat_cP(B39,C39,gamma_gas_,gamma_oil_,gamma_wat_,Rsb_,Rp_,Pb_,Tres_,Bob_,muob_)</f>
        <v>0.40942912888396055</v>
      </c>
      <c r="J39" s="22" cm="1">
        <f t="array" ref="J39">[1]!PVT_mu_gas_cP(B39,C39,gamma_gas_,gamma_oil_,gamma_wat_,Rsb_,Rp_,Pb_,Tres_,Bob_,muob_)</f>
        <v>1.5470982167466613E-2</v>
      </c>
      <c r="P39" s="24">
        <v>350</v>
      </c>
      <c r="Q39" s="23" t="str">
        <f>[1]!PVT_encode_string(gamma_gas_,gamma_oil_,gamma_wat_,Rsb_,P39,Pb_,Tres_,Bob_,muob_)</f>
        <v>{"gamma_gas":0.7,"gamma_oil":0.86,"gamma_wat":1.02,"rsb_m3m3":120,"rp_m3m3":350}</v>
      </c>
      <c r="R39" s="21">
        <f>[1]!MF_p_gas_fraction_atma(betta_gas1_,20,fw_,Q39,ksep_)</f>
        <v>300</v>
      </c>
      <c r="S39" s="21">
        <f>[1]!MF_p_gas_fraction_atma(betta_gas2_,20,fw_,Q39,ksep_)</f>
        <v>138.6474609375</v>
      </c>
      <c r="T39" s="21">
        <f>[1]!MF_p_gas_fraction_atma(betta_gas3_,20,fw_,Q39,ksep_)</f>
        <v>71.7041015625</v>
      </c>
      <c r="AC39" s="25">
        <f t="shared" si="2"/>
        <v>100</v>
      </c>
      <c r="AD39" s="23" t="str">
        <f>[1]!PVT_encode_string(gamma_gas_,gamma_oil_,gamma_wat_,Rsb_,AC39,Pb_,Tres_,Bob_,muob_)</f>
        <v>{"gamma_gas":0.7,"gamma_oil":0.86,"gamma_wat":1.02,"rsb_m3m3":120,"rp_m3m3":100}</v>
      </c>
      <c r="AE39" s="21">
        <f>[1]!MF_rp_gas_fraction_m3m3(betta_gas1_,AC39,C39,fw_,PVRstr1_,,ksep_)</f>
        <v>87.799072265625</v>
      </c>
      <c r="AF39" s="21">
        <f>[1]!MF_rp_gas_fraction_m3m3(betta_gas2_,AC39,D39,fw_,PVRstr1_,1000,ksep_)</f>
        <v>189.453125</v>
      </c>
      <c r="AG39" s="21">
        <f>[1]!MF_rp_gas_fraction_m3m3(betta_gas3_,AC39,E39,fw_,PVRstr1_,1000,ksep_)</f>
        <v>382.8125</v>
      </c>
    </row>
    <row r="40" spans="2:33" x14ac:dyDescent="0.2">
      <c r="B40" s="24">
        <v>120</v>
      </c>
      <c r="C40" s="24">
        <v>80</v>
      </c>
      <c r="D40" s="25">
        <f t="shared" ref="D40" si="9">Q_</f>
        <v>50</v>
      </c>
      <c r="E40" s="21">
        <f>[1]!MF_q_mix_rc_m3day(Q_,fw_,B40,C40,PVRstr1_)</f>
        <v>76.403541714337734</v>
      </c>
      <c r="F40" s="22">
        <f>[1]!MF_gas_fraction_d(B40,C40,fw_,PVRstr1_,ksep_)</f>
        <v>0.20962947825713016</v>
      </c>
      <c r="G40" s="22">
        <f>[1]!MF_mu_mix_cP(Q_,fw_,B40,C40,PVRstr1_)</f>
        <v>0.71965080861596931</v>
      </c>
      <c r="H40" s="22" cm="1">
        <f t="array" ref="H40">[1]!PVT_mu_oil_cP(B40,C40,gamma_gas_,gamma_oil_,gamma_wat_,Rsb_,Rp_,Pb_,Tres_,Bob_,muob_)</f>
        <v>0.89408121425305809</v>
      </c>
      <c r="I40" s="22" cm="1">
        <f t="array" ref="I40">[1]!PVT_mu_wat_cP(B40,C40,gamma_gas_,gamma_oil_,gamma_wat_,Rsb_,Rp_,Pb_,Tres_,Bob_,muob_)</f>
        <v>0.41511536371540059</v>
      </c>
      <c r="J40" s="22" cm="1">
        <f t="array" ref="J40">[1]!PVT_mu_gas_cP(B40,C40,gamma_gas_,gamma_oil_,gamma_wat_,Rsb_,Rp_,Pb_,Tres_,Bob_,muob_)</f>
        <v>1.6442127418447684E-2</v>
      </c>
      <c r="P40" s="24">
        <v>400</v>
      </c>
      <c r="Q40" s="23" t="str">
        <f>[1]!PVT_encode_string(gamma_gas_,gamma_oil_,gamma_wat_,Rsb_,P40,Pb_,Tres_,Bob_,muob_)</f>
        <v>{"gamma_gas":0.7,"gamma_oil":0.86,"gamma_wat":1.02,"rsb_m3m3":120,"rp_m3m3":400}</v>
      </c>
      <c r="R40" s="21">
        <f>[1]!MF_p_gas_fraction_atma(betta_gas1_,20,fw_,Q40,ksep_)</f>
        <v>300</v>
      </c>
      <c r="S40" s="21">
        <f>[1]!MF_p_gas_fraction_atma(betta_gas2_,20,fw_,Q40,ksep_)</f>
        <v>154.98046875</v>
      </c>
      <c r="T40" s="21">
        <f>[1]!MF_p_gas_fraction_atma(betta_gas3_,20,fw_,Q40,ksep_)</f>
        <v>78.955078125</v>
      </c>
      <c r="AC40" s="25">
        <f t="shared" si="2"/>
        <v>120</v>
      </c>
      <c r="AD40" s="23" t="str">
        <f>[1]!PVT_encode_string(gamma_gas_,gamma_oil_,gamma_wat_,Rsb_,AC40,Pb_,Tres_,Bob_,muob_)</f>
        <v>{"gamma_gas":0.7,"gamma_oil":0.86,"gamma_wat":1.02,"rsb_m3m3":120,"rp_m3m3":120}</v>
      </c>
      <c r="AE40" s="21">
        <f>[1]!MF_rp_gas_fraction_m3m3(betta_gas1_,AC40,C40,fw_,PVRstr1_,,ksep_)</f>
        <v>109.710693359375</v>
      </c>
      <c r="AF40" s="21">
        <f>[1]!MF_rp_gas_fraction_m3m3(betta_gas2_,AC40,D40,fw_,PVRstr1_,1000,ksep_)</f>
        <v>239.1357421875</v>
      </c>
      <c r="AG40" s="21">
        <f>[1]!MF_rp_gas_fraction_m3m3(betta_gas3_,AC40,E40,fw_,PVRstr1_,1000,ksep_)</f>
        <v>498.53515625</v>
      </c>
    </row>
    <row r="41" spans="2:33" x14ac:dyDescent="0.2">
      <c r="B41" s="24">
        <v>140</v>
      </c>
      <c r="C41" s="24">
        <v>80</v>
      </c>
      <c r="D41" s="25">
        <f t="shared" ref="D41" si="10">Q_</f>
        <v>50</v>
      </c>
      <c r="E41" s="21">
        <f>[1]!MF_q_mix_rc_m3day(Q_,fw_,B41,C41,PVRstr1_)</f>
        <v>71.10948287639502</v>
      </c>
      <c r="F41" s="22">
        <f>[1]!MF_gas_fraction_d(B41,C41,fw_,PVRstr1_,ksep_)</f>
        <v>0.12712786715061117</v>
      </c>
      <c r="G41" s="22">
        <f>[1]!MF_mu_mix_cP(Q_,fw_,B41,C41,PVRstr1_)</f>
        <v>0.71794662584479185</v>
      </c>
      <c r="H41" s="22" cm="1">
        <f t="array" ref="H41">[1]!PVT_mu_oil_cP(B41,C41,gamma_gas_,gamma_oil_,gamma_wat_,Rsb_,Rp_,Pb_,Tres_,Bob_,muob_)</f>
        <v>0.80500439404039315</v>
      </c>
      <c r="I41" s="22" cm="1">
        <f t="array" ref="I41">[1]!PVT_mu_wat_cP(B41,C41,gamma_gas_,gamma_oil_,gamma_wat_,Rsb_,Rp_,Pb_,Tres_,Bob_,muob_)</f>
        <v>0.42100786283117692</v>
      </c>
      <c r="J41" s="22" cm="1">
        <f t="array" ref="J41">[1]!PVT_mu_gas_cP(B41,C41,gamma_gas_,gamma_oil_,gamma_wat_,Rsb_,Rp_,Pb_,Tres_,Bob_,muob_)</f>
        <v>1.750625651862877E-2</v>
      </c>
      <c r="P41" s="24">
        <v>450</v>
      </c>
      <c r="Q41" s="23" t="str">
        <f>[1]!PVT_encode_string(gamma_gas_,gamma_oil_,gamma_wat_,Rsb_,P41,Pb_,Tres_,Bob_,muob_)</f>
        <v>{"gamma_gas":0.7,"gamma_oil":0.86,"gamma_wat":1.02,"rsb_m3m3":120,"rp_m3m3":450}</v>
      </c>
      <c r="R41" s="21">
        <f>[1]!MF_p_gas_fraction_atma(betta_gas1_,20,fw_,Q41,ksep_)</f>
        <v>300</v>
      </c>
      <c r="S41" s="21">
        <f>[1]!MF_p_gas_fraction_atma(betta_gas2_,20,fw_,Q41,ksep_)</f>
        <v>179.58984375</v>
      </c>
      <c r="T41" s="21">
        <f>[1]!MF_p_gas_fraction_atma(betta_gas3_,20,fw_,Q41,ksep_)</f>
        <v>85.9130859375</v>
      </c>
      <c r="AC41" s="25">
        <f t="shared" si="2"/>
        <v>140</v>
      </c>
      <c r="AD41" s="23" t="str">
        <f>[1]!PVT_encode_string(gamma_gas_,gamma_oil_,gamma_wat_,Rsb_,AC41,Pb_,Tres_,Bob_,muob_)</f>
        <v>{"gamma_gas":0.7,"gamma_oil":0.86,"gamma_wat":1.02,"rsb_m3m3":120,"rp_m3m3":140}</v>
      </c>
      <c r="AE41" s="21">
        <f>[1]!MF_rp_gas_fraction_m3m3(betta_gas1_,AC41,C41,fw_,PVRstr1_,,ksep_)</f>
        <v>132.38525390625</v>
      </c>
      <c r="AF41" s="21">
        <f>[1]!MF_rp_gas_fraction_m3m3(betta_gas2_,AC41,D41,fw_,PVRstr1_,1000,ksep_)</f>
        <v>290.1611328125</v>
      </c>
      <c r="AG41" s="21">
        <f>[1]!MF_rp_gas_fraction_m3m3(betta_gas3_,AC41,E41,fw_,PVRstr1_,1000,ksep_)</f>
        <v>619.62890625</v>
      </c>
    </row>
    <row r="42" spans="2:33" x14ac:dyDescent="0.2">
      <c r="B42" s="24">
        <v>160</v>
      </c>
      <c r="C42" s="24">
        <v>80</v>
      </c>
      <c r="D42" s="25">
        <f t="shared" ref="D42" si="11">Q_</f>
        <v>50</v>
      </c>
      <c r="E42" s="21">
        <f>[1]!MF_q_mix_rc_m3day(Q_,fw_,B42,C42,PVRstr1_)</f>
        <v>67.631581051873042</v>
      </c>
      <c r="F42" s="22">
        <f>[1]!MF_gas_fraction_d(B42,C42,fw_,PVRstr1_,ksep_)</f>
        <v>5.6134189460071489E-2</v>
      </c>
      <c r="G42" s="22">
        <f>[1]!MF_mu_mix_cP(Q_,fw_,B42,C42,PVRstr1_)</f>
        <v>0.70977658390111353</v>
      </c>
      <c r="H42" s="22" cm="1">
        <f t="array" ref="H42">[1]!PVT_mu_oil_cP(B42,C42,gamma_gas_,gamma_oil_,gamma_wat_,Rsb_,Rp_,Pb_,Tres_,Bob_,muob_)</f>
        <v>0.73335339365902119</v>
      </c>
      <c r="I42" s="22" cm="1">
        <f t="array" ref="I42">[1]!PVT_mu_wat_cP(B42,C42,gamma_gas_,gamma_oil_,gamma_wat_,Rsb_,Rp_,Pb_,Tres_,Bob_,muob_)</f>
        <v>0.42710662623128942</v>
      </c>
      <c r="J42" s="22" cm="1">
        <f t="array" ref="J42">[1]!PVT_mu_gas_cP(B42,C42,gamma_gas_,gamma_oil_,gamma_wat_,Rsb_,Rp_,Pb_,Tres_,Bob_,muob_)</f>
        <v>1.8635475918841078E-2</v>
      </c>
      <c r="P42" s="24">
        <v>500</v>
      </c>
      <c r="Q42" s="23" t="str">
        <f>[1]!PVT_encode_string(gamma_gas_,gamma_oil_,gamma_wat_,Rsb_,P42,Pb_,Tres_,Bob_,muob_)</f>
        <v>{"gamma_gas":0.7,"gamma_oil":0.86,"gamma_wat":1.02,"rsb_m3m3":120,"rp_m3m3":500}</v>
      </c>
      <c r="R42" s="21">
        <f>[1]!MF_p_gas_fraction_atma(betta_gas1_,20,fw_,Q42,ksep_)</f>
        <v>300</v>
      </c>
      <c r="S42" s="21">
        <f>[1]!MF_p_gas_fraction_atma(betta_gas2_,20,fw_,Q42,ksep_)</f>
        <v>225.87890625</v>
      </c>
      <c r="T42" s="21">
        <f>[1]!MF_p_gas_fraction_atma(betta_gas3_,20,fw_,Q42,ksep_)</f>
        <v>92.6513671875</v>
      </c>
      <c r="AC42" s="25">
        <f t="shared" si="2"/>
        <v>160</v>
      </c>
      <c r="AD42" s="23" t="str">
        <f>[1]!PVT_encode_string(gamma_gas_,gamma_oil_,gamma_wat_,Rsb_,AC42,Pb_,Tres_,Bob_,muob_)</f>
        <v>{"gamma_gas":0.7,"gamma_oil":0.86,"gamma_wat":1.02,"rsb_m3m3":120,"rp_m3m3":160}</v>
      </c>
      <c r="AE42" s="21">
        <f>[1]!MF_rp_gas_fraction_m3m3(betta_gas1_,AC42,C42,fw_,PVRstr1_,,ksep_)</f>
        <v>155.57861328125</v>
      </c>
      <c r="AF42" s="21">
        <f>[1]!MF_rp_gas_fraction_m3m3(betta_gas2_,AC42,D42,fw_,PVRstr1_,1000,ksep_)</f>
        <v>341.552734375</v>
      </c>
      <c r="AG42" s="21">
        <f>[1]!MF_rp_gas_fraction_m3m3(betta_gas3_,AC42,E42,fw_,PVRstr1_,1000,ksep_)</f>
        <v>743.1640625</v>
      </c>
    </row>
    <row r="43" spans="2:33" x14ac:dyDescent="0.2">
      <c r="B43" s="24">
        <v>180</v>
      </c>
      <c r="C43" s="24">
        <v>80</v>
      </c>
      <c r="D43" s="25">
        <f t="shared" ref="D43" si="12">Q_</f>
        <v>50</v>
      </c>
      <c r="E43" s="21">
        <f>[1]!MF_q_mix_rc_m3day(Q_,fw_,B43,C43,PVRstr1_)</f>
        <v>65.454673135752699</v>
      </c>
      <c r="F43" s="22">
        <f>[1]!MF_gas_fraction_d(B43,C43,fw_,PVRstr1_,ksep_)</f>
        <v>0</v>
      </c>
      <c r="G43" s="22">
        <f>[1]!MF_mu_mix_cP(Q_,fw_,B43,C43,PVRstr1_)</f>
        <v>0.70212179798024887</v>
      </c>
      <c r="H43" s="22" cm="1">
        <f t="array" ref="H43">[1]!PVT_mu_oil_cP(B43,C43,gamma_gas_,gamma_oil_,gamma_wat_,Rsb_,Rp_,Pb_,Tres_,Bob_,muob_)</f>
        <v>0.68231834647829792</v>
      </c>
      <c r="I43" s="22" cm="1">
        <f t="array" ref="I43">[1]!PVT_mu_wat_cP(B43,C43,gamma_gas_,gamma_oil_,gamma_wat_,Rsb_,Rp_,Pb_,Tres_,Bob_,muob_)</f>
        <v>0.4334116539157381</v>
      </c>
      <c r="J43" s="22" cm="1">
        <f t="array" ref="J43">[1]!PVT_mu_gas_cP(B43,C43,gamma_gas_,gamma_oil_,gamma_wat_,Rsb_,Rp_,Pb_,Tres_,Bob_,muob_)</f>
        <v>1.9803451501950921E-2</v>
      </c>
      <c r="P43" s="24">
        <v>550</v>
      </c>
      <c r="Q43" s="23" t="str">
        <f>[1]!PVT_encode_string(gamma_gas_,gamma_oil_,gamma_wat_,Rsb_,P43,Pb_,Tres_,Bob_,muob_)</f>
        <v>{"gamma_gas":0.7,"gamma_oil":0.86,"gamma_wat":1.02,"rsb_m3m3":120,"rp_m3m3":550}</v>
      </c>
      <c r="R43" s="21">
        <f>[1]!MF_p_gas_fraction_atma(betta_gas1_,20,fw_,Q43,ksep_)</f>
        <v>300</v>
      </c>
      <c r="S43" s="21">
        <f>[1]!MF_p_gas_fraction_atma(betta_gas2_,20,fw_,Q43,ksep_)</f>
        <v>294.140625</v>
      </c>
      <c r="T43" s="21">
        <f>[1]!MF_p_gas_fraction_atma(betta_gas3_,20,fw_,Q43,ksep_)</f>
        <v>99.20654296875</v>
      </c>
      <c r="AC43" s="25">
        <f t="shared" si="2"/>
        <v>180</v>
      </c>
      <c r="AD43" s="23" t="str">
        <f>[1]!PVT_encode_string(gamma_gas_,gamma_oil_,gamma_wat_,Rsb_,AC43,Pb_,Tres_,Bob_,muob_)</f>
        <v>{"gamma_gas":0.7,"gamma_oil":0.86,"gamma_wat":1.02,"rsb_m3m3":120,"rp_m3m3":180}</v>
      </c>
      <c r="AE43" s="21">
        <f>[1]!MF_rp_gas_fraction_m3m3(betta_gas1_,AC43,C43,fw_,PVRstr1_,,ksep_)</f>
        <v>179.19921875</v>
      </c>
      <c r="AF43" s="21">
        <f>[1]!MF_rp_gas_fraction_m3m3(betta_gas2_,AC43,D43,fw_,PVRstr1_,1000,ksep_)</f>
        <v>392.822265625</v>
      </c>
      <c r="AG43" s="21">
        <f>[1]!MF_rp_gas_fraction_m3m3(betta_gas3_,AC43,E43,fw_,PVRstr1_,1000,ksep_)</f>
        <v>865.234375</v>
      </c>
    </row>
    <row r="44" spans="2:33" x14ac:dyDescent="0.2">
      <c r="B44" s="24">
        <v>200</v>
      </c>
      <c r="C44" s="24">
        <v>80</v>
      </c>
      <c r="D44" s="25">
        <f t="shared" ref="D44" si="13">Q_</f>
        <v>50</v>
      </c>
      <c r="E44" s="21">
        <f>[1]!MF_q_mix_rc_m3day(Q_,fw_,B44,C44,PVRstr1_)</f>
        <v>65.20068274484322</v>
      </c>
      <c r="F44" s="22">
        <f>[1]!MF_gas_fraction_d(B44,C44,fw_,PVRstr1_,ksep_)</f>
        <v>0</v>
      </c>
      <c r="G44" s="22">
        <f>[1]!MF_mu_mix_cP(Q_,fw_,B44,C44,PVRstr1_)</f>
        <v>0.72263777721150246</v>
      </c>
      <c r="H44" s="22" cm="1">
        <f t="array" ref="H44">[1]!PVT_mu_oil_cP(B44,C44,gamma_gas_,gamma_oil_,gamma_wat_,Rsb_,Rp_,Pb_,Tres_,Bob_,muob_)</f>
        <v>0.70164940749933136</v>
      </c>
      <c r="I44" s="22" cm="1">
        <f t="array" ref="I44">[1]!PVT_mu_wat_cP(B44,C44,gamma_gas_,gamma_oil_,gamma_wat_,Rsb_,Rp_,Pb_,Tres_,Bob_,muob_)</f>
        <v>0.43992294588452308</v>
      </c>
      <c r="J44" s="22" cm="1">
        <f t="array" ref="J44">[1]!PVT_mu_gas_cP(B44,C44,gamma_gas_,gamma_oil_,gamma_wat_,Rsb_,Rp_,Pb_,Tres_,Bob_,muob_)</f>
        <v>2.0988369712171065E-2</v>
      </c>
      <c r="P44" s="24">
        <v>600</v>
      </c>
      <c r="Q44" s="23" t="str">
        <f>[1]!PVT_encode_string(gamma_gas_,gamma_oil_,gamma_wat_,Rsb_,P44,Pb_,Tres_,Bob_,muob_)</f>
        <v>{"gamma_gas":0.7,"gamma_oil":0.86,"gamma_wat":1.02,"rsb_m3m3":120,"rp_m3m3":600}</v>
      </c>
      <c r="R44" s="21">
        <f>[1]!MF_p_gas_fraction_atma(betta_gas1_,20,fw_,Q44,ksep_)</f>
        <v>300</v>
      </c>
      <c r="S44" s="21">
        <f>[1]!MF_p_gas_fraction_atma(betta_gas2_,20,fw_,Q44,ksep_)</f>
        <v>300</v>
      </c>
      <c r="T44" s="21">
        <f>[1]!MF_p_gas_fraction_atma(betta_gas3_,20,fw_,Q44,ksep_)</f>
        <v>105.6884765625</v>
      </c>
      <c r="AC44" s="25">
        <f t="shared" si="2"/>
        <v>200</v>
      </c>
      <c r="AD44" s="23" t="str">
        <f>[1]!PVT_encode_string(gamma_gas_,gamma_oil_,gamma_wat_,Rsb_,AC44,Pb_,Tres_,Bob_,muob_)</f>
        <v>{"gamma_gas":0.7,"gamma_oil":0.86,"gamma_wat":1.02,"rsb_m3m3":120,"rp_m3m3":200}</v>
      </c>
      <c r="AE44" s="21">
        <f>[1]!MF_rp_gas_fraction_m3m3(betta_gas1_,AC44,C44,fw_,PVRstr1_,,ksep_)</f>
        <v>203.0029296875</v>
      </c>
      <c r="AF44" s="21">
        <f>[1]!MF_rp_gas_fraction_m3m3(betta_gas2_,AC44,D44,fw_,PVRstr1_,1000,ksep_)</f>
        <v>422.8515625</v>
      </c>
      <c r="AG44" s="21">
        <f>[1]!MF_rp_gas_fraction_m3m3(betta_gas3_,AC44,E44,fw_,PVRstr1_,1000,ksep_)</f>
        <v>969.7265625</v>
      </c>
    </row>
    <row r="45" spans="2:33" x14ac:dyDescent="0.2">
      <c r="B45" s="24">
        <v>220</v>
      </c>
      <c r="C45" s="24">
        <v>80</v>
      </c>
      <c r="D45" s="25">
        <f t="shared" ref="D45" si="14">Q_</f>
        <v>50</v>
      </c>
      <c r="E45" s="21">
        <f>[1]!MF_q_mix_rc_m3day(Q_,fw_,B45,C45,PVRstr1_)</f>
        <v>64.993605677072779</v>
      </c>
      <c r="F45" s="22">
        <f>[1]!MF_gas_fraction_d(B45,C45,fw_,PVRstr1_,ksep_)</f>
        <v>0</v>
      </c>
      <c r="G45" s="22">
        <f>[1]!MF_mu_mix_cP(Q_,fw_,B45,C45,PVRstr1_)</f>
        <v>0.74522813342494576</v>
      </c>
      <c r="H45" s="22" cm="1">
        <f t="array" ref="H45">[1]!PVT_mu_oil_cP(B45,C45,gamma_gas_,gamma_oil_,gamma_wat_,Rsb_,Rp_,Pb_,Tres_,Bob_,muob_)</f>
        <v>0.72305435676345675</v>
      </c>
      <c r="I45" s="22" cm="1">
        <f t="array" ref="I45">[1]!PVT_mu_wat_cP(B45,C45,gamma_gas_,gamma_oil_,gamma_wat_,Rsb_,Rp_,Pb_,Tres_,Bob_,muob_)</f>
        <v>0.44664050213764422</v>
      </c>
      <c r="J45" s="22" cm="1">
        <f t="array" ref="J45">[1]!PVT_mu_gas_cP(B45,C45,gamma_gas_,gamma_oil_,gamma_wat_,Rsb_,Rp_,Pb_,Tres_,Bob_,muob_)</f>
        <v>2.2173776661489064E-2</v>
      </c>
      <c r="P45" s="24">
        <v>650</v>
      </c>
      <c r="Q45" s="23" t="str">
        <f>[1]!PVT_encode_string(gamma_gas_,gamma_oil_,gamma_wat_,Rsb_,P45,Pb_,Tres_,Bob_,muob_)</f>
        <v>{"gamma_gas":0.7,"gamma_oil":0.86,"gamma_wat":1.02,"rsb_m3m3":120,"rp_m3m3":650}</v>
      </c>
      <c r="R45" s="21">
        <f>[1]!MF_p_gas_fraction_atma(betta_gas1_,20,fw_,Q45,ksep_)</f>
        <v>300</v>
      </c>
      <c r="S45" s="21">
        <f>[1]!MF_p_gas_fraction_atma(betta_gas2_,20,fw_,Q45,ksep_)</f>
        <v>300</v>
      </c>
      <c r="T45" s="21">
        <f>[1]!MF_p_gas_fraction_atma(betta_gas3_,20,fw_,Q45,ksep_)</f>
        <v>112.1337890625</v>
      </c>
      <c r="AC45" s="25">
        <f t="shared" si="2"/>
        <v>220</v>
      </c>
      <c r="AD45" s="23" t="str">
        <f>[1]!PVT_encode_string(gamma_gas_,gamma_oil_,gamma_wat_,Rsb_,AC45,Pb_,Tres_,Bob_,muob_)</f>
        <v>{"gamma_gas":0.7,"gamma_oil":0.86,"gamma_wat":1.02,"rsb_m3m3":120,"rp_m3m3":220}</v>
      </c>
      <c r="AE45" s="21">
        <f>[1]!MF_rp_gas_fraction_m3m3(betta_gas1_,AC45,C45,fw_,PVRstr1_,,ksep_)</f>
        <v>215.9423828125</v>
      </c>
      <c r="AF45" s="21">
        <f>[1]!MF_rp_gas_fraction_m3m3(betta_gas2_,AC45,D45,fw_,PVRstr1_,1000,ksep_)</f>
        <v>444.3359375</v>
      </c>
      <c r="AG45" s="21">
        <f>[1]!MF_rp_gas_fraction_m3m3(betta_gas3_,AC45,E45,fw_,PVRstr1_,1000,ksep_)</f>
        <v>1000</v>
      </c>
    </row>
    <row r="46" spans="2:33" x14ac:dyDescent="0.2">
      <c r="B46" s="24">
        <v>240</v>
      </c>
      <c r="C46" s="24">
        <v>80</v>
      </c>
      <c r="D46" s="25">
        <f t="shared" ref="D46" si="15">Q_</f>
        <v>50</v>
      </c>
      <c r="E46" s="21">
        <f>[1]!MF_q_mix_rc_m3day(Q_,fw_,B46,C46,PVRstr1_)</f>
        <v>64.821543933902603</v>
      </c>
      <c r="F46" s="22">
        <f>[1]!MF_gas_fraction_d(B46,C46,fw_,PVRstr1_,ksep_)</f>
        <v>0</v>
      </c>
      <c r="G46" s="22">
        <f>[1]!MF_mu_mix_cP(Q_,fw_,B46,C46,PVRstr1_)</f>
        <v>0.76971312335126896</v>
      </c>
      <c r="H46" s="22" cm="1">
        <f t="array" ref="H46">[1]!PVT_mu_oil_cP(B46,C46,gamma_gas_,gamma_oil_,gamma_wat_,Rsb_,Rp_,Pb_,Tres_,Bob_,muob_)</f>
        <v>0.74636504134903714</v>
      </c>
      <c r="I46" s="22" cm="1">
        <f t="array" ref="I46">[1]!PVT_mu_wat_cP(B46,C46,gamma_gas_,gamma_oil_,gamma_wat_,Rsb_,Rp_,Pb_,Tres_,Bob_,muob_)</f>
        <v>0.45356432267510161</v>
      </c>
      <c r="J46" s="22" cm="1">
        <f t="array" ref="J46">[1]!PVT_mu_gas_cP(B46,C46,gamma_gas_,gamma_oil_,gamma_wat_,Rsb_,Rp_,Pb_,Tres_,Bob_,muob_)</f>
        <v>2.3348082002231863E-2</v>
      </c>
      <c r="P46" s="24">
        <v>700</v>
      </c>
      <c r="Q46" s="23" t="str">
        <f>[1]!PVT_encode_string(gamma_gas_,gamma_oil_,gamma_wat_,Rsb_,P46,Pb_,Tres_,Bob_,muob_)</f>
        <v>{"gamma_gas":0.7,"gamma_oil":0.86,"gamma_wat":1.02,"rsb_m3m3":120,"rp_m3m3":700}</v>
      </c>
      <c r="R46" s="21">
        <f>[1]!MF_p_gas_fraction_atma(betta_gas1_,20,fw_,Q46,ksep_)</f>
        <v>300</v>
      </c>
      <c r="S46" s="21">
        <f>[1]!MF_p_gas_fraction_atma(betta_gas2_,20,fw_,Q46,ksep_)</f>
        <v>300</v>
      </c>
      <c r="T46" s="21">
        <f>[1]!MF_p_gas_fraction_atma(betta_gas3_,20,fw_,Q46,ksep_)</f>
        <v>118.505859375</v>
      </c>
      <c r="AC46" s="25">
        <f t="shared" si="2"/>
        <v>240</v>
      </c>
      <c r="AD46" s="23" t="str">
        <f>[1]!PVT_encode_string(gamma_gas_,gamma_oil_,gamma_wat_,Rsb_,AC46,Pb_,Tres_,Bob_,muob_)</f>
        <v>{"gamma_gas":0.7,"gamma_oil":0.86,"gamma_wat":1.02,"rsb_m3m3":120,"rp_m3m3":240}</v>
      </c>
      <c r="AE46" s="21">
        <f>[1]!MF_rp_gas_fraction_m3m3(betta_gas1_,AC46,C46,fw_,PVRstr1_,,ksep_)</f>
        <v>222.2900390625</v>
      </c>
      <c r="AF46" s="21">
        <f>[1]!MF_rp_gas_fraction_m3m3(betta_gas2_,AC46,D46,fw_,PVRstr1_,1000,ksep_)</f>
        <v>463.623046875</v>
      </c>
      <c r="AG46" s="21">
        <f>[1]!MF_rp_gas_fraction_m3m3(betta_gas3_,AC46,E46,fw_,PVRstr1_,1000,ksep_)</f>
        <v>1000</v>
      </c>
    </row>
    <row r="47" spans="2:33" x14ac:dyDescent="0.2">
      <c r="B47" s="24">
        <v>260</v>
      </c>
      <c r="C47" s="24">
        <v>80</v>
      </c>
      <c r="D47" s="25">
        <f t="shared" ref="D47" si="16">Q_</f>
        <v>50</v>
      </c>
      <c r="E47" s="21">
        <f>[1]!MF_q_mix_rc_m3day(Q_,fw_,B47,C47,PVRstr1_)</f>
        <v>64.676309059514452</v>
      </c>
      <c r="F47" s="22">
        <f>[1]!MF_gas_fraction_d(B47,C47,fw_,PVRstr1_,ksep_)</f>
        <v>0</v>
      </c>
      <c r="G47" s="22">
        <f>[1]!MF_mu_mix_cP(Q_,fw_,B47,C47,PVRstr1_)</f>
        <v>0.79594037591921873</v>
      </c>
      <c r="H47" s="22" cm="1">
        <f t="array" ref="H47">[1]!PVT_mu_oil_cP(B47,C47,gamma_gas_,gamma_oil_,gamma_wat_,Rsb_,Rp_,Pb_,Tres_,Bob_,muob_)</f>
        <v>0.77143684616763142</v>
      </c>
      <c r="I47" s="22" cm="1">
        <f t="array" ref="I47">[1]!PVT_mu_wat_cP(B47,C47,gamma_gas_,gamma_oil_,gamma_wat_,Rsb_,Rp_,Pb_,Tres_,Bob_,muob_)</f>
        <v>0.46069440749689522</v>
      </c>
      <c r="J47" s="22" cm="1">
        <f t="array" ref="J47">[1]!PVT_mu_gas_cP(B47,C47,gamma_gas_,gamma_oil_,gamma_wat_,Rsb_,Rp_,Pb_,Tres_,Bob_,muob_)</f>
        <v>2.450352975158733E-2</v>
      </c>
      <c r="P47" s="24">
        <v>750</v>
      </c>
      <c r="Q47" s="23" t="str">
        <f>[1]!PVT_encode_string(gamma_gas_,gamma_oil_,gamma_wat_,Rsb_,P47,Pb_,Tres_,Bob_,muob_)</f>
        <v>{"gamma_gas":0.7,"gamma_oil":0.86,"gamma_wat":1.02,"rsb_m3m3":120,"rp_m3m3":750}</v>
      </c>
      <c r="R47" s="21">
        <f>[1]!MF_p_gas_fraction_atma(betta_gas1_,20,fw_,Q47,ksep_)</f>
        <v>300</v>
      </c>
      <c r="S47" s="21">
        <f>[1]!MF_p_gas_fraction_atma(betta_gas2_,20,fw_,Q47,ksep_)</f>
        <v>300</v>
      </c>
      <c r="T47" s="21">
        <f>[1]!MF_p_gas_fraction_atma(betta_gas3_,20,fw_,Q47,ksep_)</f>
        <v>124.951171875</v>
      </c>
      <c r="AC47" s="25">
        <f t="shared" si="2"/>
        <v>260</v>
      </c>
      <c r="AD47" s="23" t="str">
        <f>[1]!PVT_encode_string(gamma_gas_,gamma_oil_,gamma_wat_,Rsb_,AC47,Pb_,Tres_,Bob_,muob_)</f>
        <v>{"gamma_gas":0.7,"gamma_oil":0.86,"gamma_wat":1.02,"rsb_m3m3":120,"rp_m3m3":260}</v>
      </c>
      <c r="AE47" s="21">
        <f>[1]!MF_rp_gas_fraction_m3m3(betta_gas1_,AC47,C47,fw_,PVRstr1_,,ksep_)</f>
        <v>228.1494140625</v>
      </c>
      <c r="AF47" s="21">
        <f>[1]!MF_rp_gas_fraction_m3m3(betta_gas2_,AC47,D47,fw_,PVRstr1_,1000,ksep_)</f>
        <v>480.712890625</v>
      </c>
      <c r="AG47" s="21">
        <f>[1]!MF_rp_gas_fraction_m3m3(betta_gas3_,AC47,E47,fw_,PVRstr1_,1000,ksep_)</f>
        <v>1000</v>
      </c>
    </row>
    <row r="48" spans="2:33" x14ac:dyDescent="0.2">
      <c r="B48" s="24">
        <v>280</v>
      </c>
      <c r="C48" s="24">
        <v>80</v>
      </c>
      <c r="D48" s="25">
        <f t="shared" ref="D48" si="17">Q_</f>
        <v>50</v>
      </c>
      <c r="E48" s="21">
        <f>[1]!MF_q_mix_rc_m3day(Q_,fw_,B48,C48,PVRstr1_)</f>
        <v>64.552081046738238</v>
      </c>
      <c r="F48" s="22">
        <f>[1]!MF_gas_fraction_d(B48,C48,fw_,PVRstr1_,ksep_)</f>
        <v>0</v>
      </c>
      <c r="G48" s="22">
        <f>[1]!MF_mu_mix_cP(Q_,fw_,B48,C48,PVRstr1_)</f>
        <v>0.82377645630028995</v>
      </c>
      <c r="H48" s="22" cm="1">
        <f t="array" ref="H48">[1]!PVT_mu_oil_cP(B48,C48,gamma_gas_,gamma_oil_,gamma_wat_,Rsb_,Rp_,Pb_,Tres_,Bob_,muob_)</f>
        <v>0.79814131324130255</v>
      </c>
      <c r="I48" s="22" cm="1">
        <f t="array" ref="I48">[1]!PVT_mu_wat_cP(B48,C48,gamma_gas_,gamma_oil_,gamma_wat_,Rsb_,Rp_,Pb_,Tres_,Bob_,muob_)</f>
        <v>0.46803075660302507</v>
      </c>
      <c r="J48" s="22" cm="1">
        <f t="array" ref="J48">[1]!PVT_mu_gas_cP(B48,C48,gamma_gas_,gamma_oil_,gamma_wat_,Rsb_,Rp_,Pb_,Tres_,Bob_,muob_)</f>
        <v>2.5635143058987443E-2</v>
      </c>
      <c r="P48" s="24">
        <v>800</v>
      </c>
      <c r="Q48" s="23" t="str">
        <f>[1]!PVT_encode_string(gamma_gas_,gamma_oil_,gamma_wat_,Rsb_,P48,Pb_,Tres_,Bob_,muob_)</f>
        <v>{"gamma_gas":0.7,"gamma_oil":0.86,"gamma_wat":1.02,"rsb_m3m3":120,"rp_m3m3":800}</v>
      </c>
      <c r="R48" s="21">
        <f>[1]!MF_p_gas_fraction_atma(betta_gas1_,20,fw_,Q48,ksep_)</f>
        <v>300</v>
      </c>
      <c r="S48" s="21">
        <f>[1]!MF_p_gas_fraction_atma(betta_gas2_,20,fw_,Q48,ksep_)</f>
        <v>300</v>
      </c>
      <c r="T48" s="21">
        <f>[1]!MF_p_gas_fraction_atma(betta_gas3_,20,fw_,Q48,ksep_)</f>
        <v>131.396484375</v>
      </c>
      <c r="AC48" s="25">
        <f>B48</f>
        <v>280</v>
      </c>
      <c r="AD48" s="23" t="str">
        <f>[1]!PVT_encode_string(gamma_gas_,gamma_oil_,gamma_wat_,Rsb_,AC48,Pb_,Tres_,Bob_,muob_)</f>
        <v>{"gamma_gas":0.7,"gamma_oil":0.86,"gamma_wat":1.02,"rsb_m3m3":120,"rp_m3m3":280}</v>
      </c>
      <c r="AE48" s="21">
        <f>[1]!MF_rp_gas_fraction_m3m3(betta_gas1_,AC48,C48,fw_,PVRstr1_,,ksep_)</f>
        <v>233.5205078125</v>
      </c>
      <c r="AF48" s="21">
        <f>[1]!MF_rp_gas_fraction_m3m3(betta_gas2_,AC48,D48,fw_,PVRstr1_,1000,ksep_)</f>
        <v>496.337890625</v>
      </c>
      <c r="AG48" s="21">
        <f>[1]!MF_rp_gas_fraction_m3m3(betta_gas3_,AC48,E48,fw_,PVRstr1_,1000,ksep_)</f>
        <v>1000</v>
      </c>
    </row>
    <row r="49" spans="2:33" x14ac:dyDescent="0.2">
      <c r="B49" s="24">
        <v>300</v>
      </c>
      <c r="C49" s="24">
        <v>80</v>
      </c>
      <c r="D49" s="25">
        <f t="shared" ref="D49" si="18">Q_</f>
        <v>50</v>
      </c>
      <c r="E49" s="21">
        <f>[1]!MF_q_mix_rc_m3day(Q_,fw_,B49,C49,PVRstr1_)</f>
        <v>64.444609796776888</v>
      </c>
      <c r="F49" s="22">
        <f>[1]!MF_gas_fraction_d(B49,C49,fw_,PVRstr1_,ksep_)</f>
        <v>0</v>
      </c>
      <c r="G49" s="22">
        <f>[1]!MF_mu_mix_cP(Q_,fw_,B49,C49,PVRstr1_)</f>
        <v>0.85310075066382096</v>
      </c>
      <c r="H49" s="22" cm="1">
        <f t="array" ref="H49">[1]!PVT_mu_oil_cP(B49,C49,gamma_gas_,gamma_oil_,gamma_wat_,Rsb_,Rp_,Pb_,Tres_,Bob_,muob_)</f>
        <v>0.82636088688475084</v>
      </c>
      <c r="I49" s="22" cm="1">
        <f t="array" ref="I49">[1]!PVT_mu_wat_cP(B49,C49,gamma_gas_,gamma_oil_,gamma_wat_,Rsb_,Rp_,Pb_,Tres_,Bob_,muob_)</f>
        <v>0.47557336999349109</v>
      </c>
      <c r="J49" s="22" cm="1">
        <f t="array" ref="J49">[1]!PVT_mu_gas_cP(B49,C49,gamma_gas_,gamma_oil_,gamma_wat_,Rsb_,Rp_,Pb_,Tres_,Bob_,muob_)</f>
        <v>2.6739863779070137E-2</v>
      </c>
      <c r="P49" s="24">
        <v>850</v>
      </c>
      <c r="Q49" s="23" t="str">
        <f>[1]!PVT_encode_string(gamma_gas_,gamma_oil_,gamma_wat_,Rsb_,P49,Pb_,Tres_,Bob_,muob_)</f>
        <v>{"gamma_gas":0.7,"gamma_oil":0.86,"gamma_wat":1.02,"rsb_m3m3":120,"rp_m3m3":850}</v>
      </c>
      <c r="R49" s="21">
        <f>[1]!MF_p_gas_fraction_atma(betta_gas1_,20,fw_,Q49,ksep_)</f>
        <v>300</v>
      </c>
      <c r="S49" s="21">
        <f>[1]!MF_p_gas_fraction_atma(betta_gas2_,20,fw_,Q49,ksep_)</f>
        <v>300</v>
      </c>
      <c r="T49" s="21">
        <f>[1]!MF_p_gas_fraction_atma(betta_gas3_,20,fw_,Q49,ksep_)</f>
        <v>137.98828125</v>
      </c>
      <c r="AC49" s="25">
        <f t="shared" ref="AC49:AC57" si="19">B49</f>
        <v>300</v>
      </c>
      <c r="AD49" s="23" t="str">
        <f>[1]!PVT_encode_string(gamma_gas_,gamma_oil_,gamma_wat_,Rsb_,AC49,Pb_,Tres_,Bob_,muob_)</f>
        <v>{"gamma_gas":0.7,"gamma_oil":0.86,"gamma_wat":1.02,"rsb_m3m3":120,"rp_m3m3":300}</v>
      </c>
      <c r="AE49" s="21">
        <f>[1]!MF_rp_gas_fraction_m3m3(betta_gas1_,AC49,C49,fw_,PVRstr1_,,ksep_)</f>
        <v>238.4033203125</v>
      </c>
      <c r="AF49" s="21">
        <f>[1]!MF_rp_gas_fraction_m3m3(betta_gas2_,AC49,D49,fw_,PVRstr1_,1000,ksep_)</f>
        <v>510.25390625</v>
      </c>
      <c r="AG49" s="21">
        <f>[1]!MF_rp_gas_fraction_m3m3(betta_gas3_,AC49,E49,fw_,PVRstr1_,1000,ksep_)</f>
        <v>1000</v>
      </c>
    </row>
    <row r="50" spans="2:33" x14ac:dyDescent="0.2">
      <c r="B50" s="24">
        <v>320</v>
      </c>
      <c r="C50" s="24">
        <v>80</v>
      </c>
      <c r="D50" s="25">
        <f t="shared" ref="D50" si="20">Q_</f>
        <v>50</v>
      </c>
      <c r="E50" s="21">
        <f>[1]!MF_q_mix_rc_m3day(Q_,fw_,B50,C50,PVRstr1_)</f>
        <v>64.350719238785558</v>
      </c>
      <c r="F50" s="22">
        <f>[1]!MF_gas_fraction_d(B50,C50,fw_,PVRstr1_,ksep_)</f>
        <v>0</v>
      </c>
      <c r="G50" s="22">
        <f>[1]!MF_mu_mix_cP(Q_,fw_,B50,C50,PVRstr1_)</f>
        <v>0.8838010576546742</v>
      </c>
      <c r="H50" s="22" cm="1">
        <f t="array" ref="H50">[1]!PVT_mu_oil_cP(B50,C50,gamma_gas_,gamma_oil_,gamma_wat_,Rsb_,Rp_,Pb_,Tres_,Bob_,muob_)</f>
        <v>0.85598512581169661</v>
      </c>
      <c r="I50" s="22" cm="1">
        <f t="array" ref="I50">[1]!PVT_mu_wat_cP(B50,C50,gamma_gas_,gamma_oil_,gamma_wat_,Rsb_,Rp_,Pb_,Tres_,Bob_,muob_)</f>
        <v>0.48332224766829335</v>
      </c>
      <c r="J50" s="22" cm="1">
        <f t="array" ref="J50">[1]!PVT_mu_gas_cP(B50,C50,gamma_gas_,gamma_oil_,gamma_wat_,Rsb_,Rp_,Pb_,Tres_,Bob_,muob_)</f>
        <v>2.7815931842977631E-2</v>
      </c>
      <c r="P50" s="24">
        <v>900</v>
      </c>
      <c r="Q50" s="23" t="str">
        <f>[1]!PVT_encode_string(gamma_gas_,gamma_oil_,gamma_wat_,Rsb_,P50,Pb_,Tres_,Bob_,muob_)</f>
        <v>{"gamma_gas":0.7,"gamma_oil":0.86,"gamma_wat":1.02,"rsb_m3m3":120,"rp_m3m3":900}</v>
      </c>
      <c r="R50" s="21">
        <f>[1]!MF_p_gas_fraction_atma(betta_gas1_,20,fw_,Q50,ksep_)</f>
        <v>300</v>
      </c>
      <c r="S50" s="21">
        <f>[1]!MF_p_gas_fraction_atma(betta_gas2_,20,fw_,Q50,ksep_)</f>
        <v>300</v>
      </c>
      <c r="T50" s="21">
        <f>[1]!MF_p_gas_fraction_atma(betta_gas3_,20,fw_,Q50,ksep_)</f>
        <v>144.580078125</v>
      </c>
      <c r="AC50" s="25">
        <f t="shared" si="19"/>
        <v>320</v>
      </c>
      <c r="AD50" s="23" t="str">
        <f>[1]!PVT_encode_string(gamma_gas_,gamma_oil_,gamma_wat_,Rsb_,AC50,Pb_,Tres_,Bob_,muob_)</f>
        <v>{"gamma_gas":0.7,"gamma_oil":0.86,"gamma_wat":1.02,"rsb_m3m3":120,"rp_m3m3":320}</v>
      </c>
      <c r="AE50" s="21">
        <f>[1]!MF_rp_gas_fraction_m3m3(betta_gas1_,AC50,C50,fw_,PVRstr1_,,ksep_)</f>
        <v>242.919921875</v>
      </c>
      <c r="AF50" s="21">
        <f>[1]!MF_rp_gas_fraction_m3m3(betta_gas2_,AC50,D50,fw_,PVRstr1_,1000,ksep_)</f>
        <v>523.193359375</v>
      </c>
      <c r="AG50" s="21">
        <f>[1]!MF_rp_gas_fraction_m3m3(betta_gas3_,AC50,E50,fw_,PVRstr1_,1000,ksep_)</f>
        <v>1000</v>
      </c>
    </row>
    <row r="51" spans="2:33" x14ac:dyDescent="0.2">
      <c r="B51" s="24">
        <v>340</v>
      </c>
      <c r="C51" s="24">
        <v>80</v>
      </c>
      <c r="D51" s="25">
        <f t="shared" ref="D51" si="21">Q_</f>
        <v>50</v>
      </c>
      <c r="E51" s="21">
        <f>[1]!MF_q_mix_rc_m3day(Q_,fw_,B51,C51,PVRstr1_)</f>
        <v>64.267988233274508</v>
      </c>
      <c r="F51" s="22">
        <f>[1]!MF_gas_fraction_d(B51,C51,fw_,PVRstr1_,ksep_)</f>
        <v>0</v>
      </c>
      <c r="G51" s="22">
        <f>[1]!MF_mu_mix_cP(Q_,fw_,B51,C51,PVRstr1_)</f>
        <v>0.91577042927750785</v>
      </c>
      <c r="H51" s="22" cm="1">
        <f t="array" ref="H51">[1]!PVT_mu_oil_cP(B51,C51,gamma_gas_,gamma_oil_,gamma_wat_,Rsb_,Rp_,Pb_,Tres_,Bob_,muob_)</f>
        <v>0.88690795833586689</v>
      </c>
      <c r="I51" s="22" cm="1">
        <f t="array" ref="I51">[1]!PVT_mu_wat_cP(B51,C51,gamma_gas_,gamma_oil_,gamma_wat_,Rsb_,Rp_,Pb_,Tres_,Bob_,muob_)</f>
        <v>0.49127738962743184</v>
      </c>
      <c r="J51" s="22" cm="1">
        <f t="array" ref="J51">[1]!PVT_mu_gas_cP(B51,C51,gamma_gas_,gamma_oil_,gamma_wat_,Rsb_,Rp_,Pb_,Tres_,Bob_,muob_)</f>
        <v>2.8862470941640933E-2</v>
      </c>
      <c r="P51" s="24">
        <v>950</v>
      </c>
      <c r="Q51" s="23" t="str">
        <f>[1]!PVT_encode_string(gamma_gas_,gamma_oil_,gamma_wat_,Rsb_,P51,Pb_,Tres_,Bob_,muob_)</f>
        <v>{"gamma_gas":0.7,"gamma_oil":0.86,"gamma_wat":1.02,"rsb_m3m3":120,"rp_m3m3":950}</v>
      </c>
      <c r="R51" s="21">
        <f>[1]!MF_p_gas_fraction_atma(betta_gas1_,20,fw_,Q51,ksep_)</f>
        <v>300</v>
      </c>
      <c r="S51" s="21">
        <f>[1]!MF_p_gas_fraction_atma(betta_gas2_,20,fw_,Q51,ksep_)</f>
        <v>300</v>
      </c>
      <c r="T51" s="21">
        <f>[1]!MF_p_gas_fraction_atma(betta_gas3_,20,fw_,Q51,ksep_)</f>
        <v>151.318359375</v>
      </c>
      <c r="AC51" s="25">
        <f t="shared" si="19"/>
        <v>340</v>
      </c>
      <c r="AD51" s="23" t="str">
        <f>[1]!PVT_encode_string(gamma_gas_,gamma_oil_,gamma_wat_,Rsb_,AC51,Pb_,Tres_,Bob_,muob_)</f>
        <v>{"gamma_gas":0.7,"gamma_oil":0.86,"gamma_wat":1.02,"rsb_m3m3":120,"rp_m3m3":340}</v>
      </c>
      <c r="AE51" s="21">
        <f>[1]!MF_rp_gas_fraction_m3m3(betta_gas1_,AC51,C51,fw_,PVRstr1_,,ksep_)</f>
        <v>247.0703125</v>
      </c>
      <c r="AF51" s="21">
        <f>[1]!MF_rp_gas_fraction_m3m3(betta_gas2_,AC51,D51,fw_,PVRstr1_,1000,ksep_)</f>
        <v>534.912109375</v>
      </c>
      <c r="AG51" s="21">
        <f>[1]!MF_rp_gas_fraction_m3m3(betta_gas3_,AC51,E51,fw_,PVRstr1_,1000,ksep_)</f>
        <v>1000</v>
      </c>
    </row>
    <row r="52" spans="2:33" x14ac:dyDescent="0.2">
      <c r="B52" s="24">
        <v>360</v>
      </c>
      <c r="C52" s="24">
        <v>80</v>
      </c>
      <c r="D52" s="25">
        <f t="shared" ref="D52" si="22">Q_</f>
        <v>50</v>
      </c>
      <c r="E52" s="21">
        <f>[1]!MF_q_mix_rc_m3day(Q_,fw_,B52,C52,PVRstr1_)</f>
        <v>64.194538856840424</v>
      </c>
      <c r="F52" s="22">
        <f>[1]!MF_gas_fraction_d(B52,C52,fw_,PVRstr1_,ksep_)</f>
        <v>0</v>
      </c>
      <c r="G52" s="22">
        <f>[1]!MF_mu_mix_cP(Q_,fw_,B52,C52,PVRstr1_)</f>
        <v>0.94890492534134718</v>
      </c>
      <c r="H52" s="22" cm="1">
        <f t="array" ref="H52">[1]!PVT_mu_oil_cP(B52,C52,gamma_gas_,gamma_oil_,gamma_wat_,Rsb_,Rp_,Pb_,Tres_,Bob_,muob_)</f>
        <v>0.91902569949431867</v>
      </c>
      <c r="I52" s="22" cm="1">
        <f t="array" ref="I52">[1]!PVT_mu_wat_cP(B52,C52,gamma_gas_,gamma_oil_,gamma_wat_,Rsb_,Rp_,Pb_,Tres_,Bob_,muob_)</f>
        <v>0.49943879587090656</v>
      </c>
      <c r="J52" s="22" cm="1">
        <f t="array" ref="J52">[1]!PVT_mu_gas_cP(B52,C52,gamma_gas_,gamma_oil_,gamma_wat_,Rsb_,Rp_,Pb_,Tres_,Bob_,muob_)</f>
        <v>2.987922584702854E-2</v>
      </c>
      <c r="P52" s="24">
        <v>1000</v>
      </c>
      <c r="Q52" s="23" t="str">
        <f>[1]!PVT_encode_string(gamma_gas_,gamma_oil_,gamma_wat_,Rsb_,P52,Pb_,Tres_,Bob_,muob_)</f>
        <v>{"gamma_gas":0.7,"gamma_oil":0.86,"gamma_wat":1.02,"rsb_m3m3":120,"rp_m3m3":1000}</v>
      </c>
      <c r="R52" s="21">
        <f>[1]!MF_p_gas_fraction_atma(betta_gas1_,20,fw_,Q52,ksep_)</f>
        <v>300</v>
      </c>
      <c r="S52" s="21">
        <f>[1]!MF_p_gas_fraction_atma(betta_gas2_,20,fw_,Q52,ksep_)</f>
        <v>300</v>
      </c>
      <c r="T52" s="21">
        <f>[1]!MF_p_gas_fraction_atma(betta_gas3_,20,fw_,Q52,ksep_)</f>
        <v>158.056640625</v>
      </c>
      <c r="AC52" s="25">
        <f t="shared" si="19"/>
        <v>360</v>
      </c>
      <c r="AD52" s="23" t="str">
        <f>[1]!PVT_encode_string(gamma_gas_,gamma_oil_,gamma_wat_,Rsb_,AC52,Pb_,Tres_,Bob_,muob_)</f>
        <v>{"gamma_gas":0.7,"gamma_oil":0.86,"gamma_wat":1.02,"rsb_m3m3":120,"rp_m3m3":360}</v>
      </c>
      <c r="AE52" s="21">
        <f>[1]!MF_rp_gas_fraction_m3m3(betta_gas1_,AC52,C52,fw_,PVRstr1_,,ksep_)</f>
        <v>250.9765625</v>
      </c>
      <c r="AF52" s="21">
        <f>[1]!MF_rp_gas_fraction_m3m3(betta_gas2_,AC52,D52,fw_,PVRstr1_,1000,ksep_)</f>
        <v>545.8984375</v>
      </c>
      <c r="AG52" s="21">
        <f>[1]!MF_rp_gas_fraction_m3m3(betta_gas3_,AC52,E52,fw_,PVRstr1_,1000,ksep_)</f>
        <v>1000</v>
      </c>
    </row>
    <row r="53" spans="2:33" x14ac:dyDescent="0.2">
      <c r="B53" s="24">
        <v>380</v>
      </c>
      <c r="C53" s="24">
        <v>80</v>
      </c>
      <c r="D53" s="25">
        <f t="shared" ref="D53" si="23">Q_</f>
        <v>50</v>
      </c>
      <c r="E53" s="21">
        <f>[1]!MF_q_mix_rc_m3day(Q_,fw_,B53,C53,PVRstr1_)</f>
        <v>64.128892149983784</v>
      </c>
      <c r="F53" s="22">
        <f>[1]!MF_gas_fraction_d(B53,C53,fw_,PVRstr1_,ksep_)</f>
        <v>0</v>
      </c>
      <c r="G53" s="22">
        <f>[1]!MF_mu_mix_cP(Q_,fw_,B53,C53,PVRstr1_)</f>
        <v>0.98310203925829709</v>
      </c>
      <c r="H53" s="22" cm="1">
        <f t="array" ref="H53">[1]!PVT_mu_oil_cP(B53,C53,gamma_gas_,gamma_oil_,gamma_wat_,Rsb_,Rp_,Pb_,Tres_,Bob_,muob_)</f>
        <v>0.95223563820337331</v>
      </c>
      <c r="I53" s="22" cm="1">
        <f t="array" ref="I53">[1]!PVT_mu_wat_cP(B53,C53,gamma_gas_,gamma_oil_,gamma_wat_,Rsb_,Rp_,Pb_,Tres_,Bob_,muob_)</f>
        <v>0.50780646639871752</v>
      </c>
      <c r="J53" s="22" cm="1">
        <f t="array" ref="J53">[1]!PVT_mu_gas_cP(B53,C53,gamma_gas_,gamma_oil_,gamma_wat_,Rsb_,Rp_,Pb_,Tres_,Bob_,muob_)</f>
        <v>3.0866401054923765E-2</v>
      </c>
      <c r="P53" s="24">
        <v>1050</v>
      </c>
      <c r="Q53" s="23" t="str">
        <f>[1]!PVT_encode_string(gamma_gas_,gamma_oil_,gamma_wat_,Rsb_,P53,Pb_,Tres_,Bob_,muob_)</f>
        <v>{"gamma_gas":0.7,"gamma_oil":0.86,"gamma_wat":1.02,"rsb_m3m3":120,"rp_m3m3":1050}</v>
      </c>
      <c r="R53" s="21">
        <f>[1]!MF_p_gas_fraction_atma(betta_gas1_,20,fw_,Q53,ksep_)</f>
        <v>300</v>
      </c>
      <c r="S53" s="21">
        <f>[1]!MF_p_gas_fraction_atma(betta_gas2_,20,fw_,Q53,ksep_)</f>
        <v>300</v>
      </c>
      <c r="T53" s="21">
        <f>[1]!MF_p_gas_fraction_atma(betta_gas3_,20,fw_,Q53,ksep_)</f>
        <v>165.087890625</v>
      </c>
      <c r="AC53" s="25">
        <f t="shared" si="19"/>
        <v>380</v>
      </c>
      <c r="AD53" s="23" t="str">
        <f>[1]!PVT_encode_string(gamma_gas_,gamma_oil_,gamma_wat_,Rsb_,AC53,Pb_,Tres_,Bob_,muob_)</f>
        <v>{"gamma_gas":0.7,"gamma_oil":0.86,"gamma_wat":1.02,"rsb_m3m3":120,"rp_m3m3":380}</v>
      </c>
      <c r="AE53" s="21">
        <f>[1]!MF_rp_gas_fraction_m3m3(betta_gas1_,AC53,C53,fw_,PVRstr1_,,ksep_)</f>
        <v>254.638671875</v>
      </c>
      <c r="AF53" s="21">
        <f>[1]!MF_rp_gas_fraction_m3m3(betta_gas2_,AC53,D53,fw_,PVRstr1_,1000,ksep_)</f>
        <v>555.6640625</v>
      </c>
      <c r="AG53" s="21">
        <f>[1]!MF_rp_gas_fraction_m3m3(betta_gas3_,AC53,E53,fw_,PVRstr1_,1000,ksep_)</f>
        <v>1000</v>
      </c>
    </row>
    <row r="54" spans="2:33" x14ac:dyDescent="0.2">
      <c r="B54" s="24">
        <v>400</v>
      </c>
      <c r="C54" s="24">
        <v>80</v>
      </c>
      <c r="D54" s="25">
        <f t="shared" ref="D54" si="24">Q_</f>
        <v>50</v>
      </c>
      <c r="E54" s="21">
        <f>[1]!MF_q_mix_rc_m3day(Q_,fw_,B54,C54,PVRstr1_)</f>
        <v>64.069867513394669</v>
      </c>
      <c r="F54" s="22">
        <f>[1]!MF_gas_fraction_d(B54,C54,fw_,PVRstr1_,ksep_)</f>
        <v>0</v>
      </c>
      <c r="G54" s="22">
        <f>[1]!MF_mu_mix_cP(Q_,fw_,B54,C54,PVRstr1_)</f>
        <v>1.018259622485576</v>
      </c>
      <c r="H54" s="22" cm="1">
        <f t="array" ref="H54">[1]!PVT_mu_oil_cP(B54,C54,gamma_gas_,gamma_oil_,gamma_wat_,Rsb_,Rp_,Pb_,Tres_,Bob_,muob_)</f>
        <v>0.98643505992002678</v>
      </c>
      <c r="I54" s="22" cm="1">
        <f t="array" ref="I54">[1]!PVT_mu_wat_cP(B54,C54,gamma_gas_,gamma_oil_,gamma_wat_,Rsb_,Rp_,Pb_,Tres_,Bob_,muob_)</f>
        <v>0.51638040121086459</v>
      </c>
      <c r="J54" s="22" cm="1">
        <f t="array" ref="J54">[1]!PVT_mu_gas_cP(B54,C54,gamma_gas_,gamma_oil_,gamma_wat_,Rsb_,Rp_,Pb_,Tres_,Bob_,muob_)</f>
        <v>3.182456256554924E-2</v>
      </c>
      <c r="P54" s="24">
        <v>1100</v>
      </c>
      <c r="Q54" s="23" t="str">
        <f>[1]!PVT_encode_string(gamma_gas_,gamma_oil_,gamma_wat_,Rsb_,P54,Pb_,Tres_,Bob_,muob_)</f>
        <v>{"gamma_gas":0.7,"gamma_oil":0.86,"gamma_wat":1.02,"rsb_m3m3":120,"rp_m3m3":1100}</v>
      </c>
      <c r="R54" s="21">
        <f>[1]!MF_p_gas_fraction_atma(betta_gas1_,20,fw_,Q54,ksep_)</f>
        <v>300</v>
      </c>
      <c r="S54" s="21">
        <f>[1]!MF_p_gas_fraction_atma(betta_gas2_,20,fw_,Q54,ksep_)</f>
        <v>300</v>
      </c>
      <c r="T54" s="21">
        <f>[1]!MF_p_gas_fraction_atma(betta_gas3_,20,fw_,Q54,ksep_)</f>
        <v>176.953125</v>
      </c>
      <c r="AC54" s="25">
        <f t="shared" si="19"/>
        <v>400</v>
      </c>
      <c r="AD54" s="23" t="str">
        <f>[1]!PVT_encode_string(gamma_gas_,gamma_oil_,gamma_wat_,Rsb_,AC54,Pb_,Tres_,Bob_,muob_)</f>
        <v>{"gamma_gas":0.7,"gamma_oil":0.86,"gamma_wat":1.02,"rsb_m3m3":120,"rp_m3m3":400}</v>
      </c>
      <c r="AE54" s="21">
        <f>[1]!MF_rp_gas_fraction_m3m3(betta_gas1_,AC54,C54,fw_,PVRstr1_,,ksep_)</f>
        <v>258.056640625</v>
      </c>
      <c r="AF54" s="21">
        <f>[1]!MF_rp_gas_fraction_m3m3(betta_gas2_,AC54,D54,fw_,PVRstr1_,1000,ksep_)</f>
        <v>564.94140625</v>
      </c>
      <c r="AG54" s="21">
        <f>[1]!MF_rp_gas_fraction_m3m3(betta_gas3_,AC54,E54,fw_,PVRstr1_,1000,ksep_)</f>
        <v>1000</v>
      </c>
    </row>
    <row r="55" spans="2:33" x14ac:dyDescent="0.2">
      <c r="B55" s="24">
        <v>420</v>
      </c>
      <c r="C55" s="24">
        <v>80</v>
      </c>
      <c r="D55" s="25">
        <f t="shared" ref="D55" si="25">Q_</f>
        <v>50</v>
      </c>
      <c r="E55" s="21">
        <f>[1]!MF_q_mix_rc_m3day(Q_,fw_,B55,C55,PVRstr1_)</f>
        <v>64.016511084211885</v>
      </c>
      <c r="F55" s="22">
        <f>[1]!MF_gas_fraction_d(B55,C55,fw_,PVRstr1_,ksep_)</f>
        <v>0</v>
      </c>
      <c r="G55" s="22">
        <f>[1]!MF_mu_mix_cP(Q_,fw_,B55,C55,PVRstr1_)</f>
        <v>1.0542751846643823</v>
      </c>
      <c r="H55" s="22" cm="1">
        <f t="array" ref="H55">[1]!PVT_mu_oil_cP(B55,C55,gamma_gas_,gamma_oil_,gamma_wat_,Rsb_,Rp_,Pb_,Tres_,Bob_,muob_)</f>
        <v>1.0215206079705752</v>
      </c>
      <c r="I55" s="22" cm="1">
        <f t="array" ref="I55">[1]!PVT_mu_wat_cP(B55,C55,gamma_gas_,gamma_oil_,gamma_wat_,Rsb_,Rp_,Pb_,Tres_,Bob_,muob_)</f>
        <v>0.52516060030734801</v>
      </c>
      <c r="J55" s="22" cm="1">
        <f t="array" ref="J55">[1]!PVT_mu_gas_cP(B55,C55,gamma_gas_,gamma_oil_,gamma_wat_,Rsb_,Rp_,Pb_,Tres_,Bob_,muob_)</f>
        <v>3.2754576693807165E-2</v>
      </c>
      <c r="P55" s="24">
        <v>1150</v>
      </c>
      <c r="Q55" s="23" t="str">
        <f>[1]!PVT_encode_string(gamma_gas_,gamma_oil_,gamma_wat_,Rsb_,P55,Pb_,Tres_,Bob_,muob_)</f>
        <v>{"gamma_gas":0.7,"gamma_oil":0.86,"gamma_wat":1.02,"rsb_m3m3":120,"rp_m3m3":1150}</v>
      </c>
      <c r="R55" s="21">
        <f>[1]!MF_p_gas_fraction_atma(betta_gas1_,20,fw_,Q55,ksep_)</f>
        <v>300</v>
      </c>
      <c r="S55" s="21">
        <f>[1]!MF_p_gas_fraction_atma(betta_gas2_,20,fw_,Q55,ksep_)</f>
        <v>300</v>
      </c>
      <c r="T55" s="21">
        <f>[1]!MF_p_gas_fraction_atma(betta_gas3_,20,fw_,Q55,ksep_)</f>
        <v>190.4296875</v>
      </c>
      <c r="AC55" s="25">
        <f t="shared" si="19"/>
        <v>420</v>
      </c>
      <c r="AD55" s="23" t="str">
        <f>[1]!PVT_encode_string(gamma_gas_,gamma_oil_,gamma_wat_,Rsb_,AC55,Pb_,Tres_,Bob_,muob_)</f>
        <v>{"gamma_gas":0.7,"gamma_oil":0.86,"gamma_wat":1.02,"rsb_m3m3":120,"rp_m3m3":420}</v>
      </c>
      <c r="AE55" s="21">
        <f>[1]!MF_rp_gas_fraction_m3m3(betta_gas1_,AC55,C55,fw_,PVRstr1_,,ksep_)</f>
        <v>261.23046875</v>
      </c>
      <c r="AF55" s="21">
        <f>[1]!MF_rp_gas_fraction_m3m3(betta_gas2_,AC55,D55,fw_,PVRstr1_,1000,ksep_)</f>
        <v>573.73046875</v>
      </c>
      <c r="AG55" s="21">
        <f>[1]!MF_rp_gas_fraction_m3m3(betta_gas3_,AC55,E55,fw_,PVRstr1_,1000,ksep_)</f>
        <v>1000</v>
      </c>
    </row>
    <row r="56" spans="2:33" x14ac:dyDescent="0.2">
      <c r="B56" s="24">
        <v>440</v>
      </c>
      <c r="C56" s="24">
        <v>80</v>
      </c>
      <c r="D56" s="25">
        <f t="shared" ref="D56" si="26">Q_</f>
        <v>50</v>
      </c>
      <c r="E56" s="21">
        <f>[1]!MF_q_mix_rc_m3day(Q_,fw_,B56,C56,PVRstr1_)</f>
        <v>63.968043799283095</v>
      </c>
      <c r="F56" s="22">
        <f>[1]!MF_gas_fraction_d(B56,C56,fw_,PVRstr1_,ksep_)</f>
        <v>0</v>
      </c>
      <c r="G56" s="22">
        <f>[1]!MF_mu_mix_cP(Q_,fw_,B56,C56,PVRstr1_)</f>
        <v>1.0910454812411512</v>
      </c>
      <c r="H56" s="22" cm="1">
        <f t="array" ref="H56">[1]!PVT_mu_oil_cP(B56,C56,gamma_gas_,gamma_oil_,gamma_wat_,Rsb_,Rp_,Pb_,Tres_,Bob_,muob_)</f>
        <v>1.0573879119590186</v>
      </c>
      <c r="I56" s="22" cm="1">
        <f t="array" ref="I56">[1]!PVT_mu_wat_cP(B56,C56,gamma_gas_,gamma_oil_,gamma_wat_,Rsb_,Rp_,Pb_,Tres_,Bob_,muob_)</f>
        <v>0.53414706368816756</v>
      </c>
      <c r="J56" s="22" cm="1">
        <f t="array" ref="J56">[1]!PVT_mu_gas_cP(B56,C56,gamma_gas_,gamma_oil_,gamma_wat_,Rsb_,Rp_,Pb_,Tres_,Bob_,muob_)</f>
        <v>3.3657569282132496E-2</v>
      </c>
      <c r="P56" s="24">
        <v>1200</v>
      </c>
      <c r="Q56" s="23" t="str">
        <f>[1]!PVT_encode_string(gamma_gas_,gamma_oil_,gamma_wat_,Rsb_,P56,Pb_,Tres_,Bob_,muob_)</f>
        <v>{"gamma_gas":0.7,"gamma_oil":0.86,"gamma_wat":1.02,"rsb_m3m3":120,"rp_m3m3":1200}</v>
      </c>
      <c r="R56" s="21">
        <f>[1]!MF_p_gas_fraction_atma(betta_gas1_,20,fw_,Q56,ksep_)</f>
        <v>300</v>
      </c>
      <c r="S56" s="21">
        <f>[1]!MF_p_gas_fraction_atma(betta_gas2_,20,fw_,Q56,ksep_)</f>
        <v>300</v>
      </c>
      <c r="T56" s="21">
        <f>[1]!MF_p_gas_fraction_atma(betta_gas3_,20,fw_,Q56,ksep_)</f>
        <v>205.37109375</v>
      </c>
      <c r="AC56" s="25">
        <f t="shared" si="19"/>
        <v>440</v>
      </c>
      <c r="AD56" s="23" t="str">
        <f>[1]!PVT_encode_string(gamma_gas_,gamma_oil_,gamma_wat_,Rsb_,AC56,Pb_,Tres_,Bob_,muob_)</f>
        <v>{"gamma_gas":0.7,"gamma_oil":0.86,"gamma_wat":1.02,"rsb_m3m3":120,"rp_m3m3":440}</v>
      </c>
      <c r="AE56" s="21">
        <f>[1]!MF_rp_gas_fraction_m3m3(betta_gas1_,AC56,C56,fw_,PVRstr1_,,ksep_)</f>
        <v>264.16015625</v>
      </c>
      <c r="AF56" s="21">
        <f>[1]!MF_rp_gas_fraction_m3m3(betta_gas2_,AC56,D56,fw_,PVRstr1_,1000,ksep_)</f>
        <v>581.54296875</v>
      </c>
      <c r="AG56" s="21">
        <f>[1]!MF_rp_gas_fraction_m3m3(betta_gas3_,AC56,E56,fw_,PVRstr1_,1000,ksep_)</f>
        <v>1000</v>
      </c>
    </row>
    <row r="57" spans="2:33" x14ac:dyDescent="0.2">
      <c r="B57" s="24">
        <v>460</v>
      </c>
      <c r="C57" s="24">
        <v>80</v>
      </c>
      <c r="D57" s="25">
        <f t="shared" ref="D57" si="27">Q_</f>
        <v>50</v>
      </c>
      <c r="E57" s="21">
        <f>[1]!MF_q_mix_rc_m3day(Q_,fw_,B57,C57,PVRstr1_)</f>
        <v>63.923823108890986</v>
      </c>
      <c r="F57" s="22">
        <f>[1]!MF_gas_fraction_d(B57,C57,fw_,PVRstr1_,ksep_)</f>
        <v>0</v>
      </c>
      <c r="G57" s="22">
        <f>[1]!MF_mu_mix_cP(Q_,fw_,B57,C57,PVRstr1_)</f>
        <v>1.1284663242224702</v>
      </c>
      <c r="H57" s="22" cm="1">
        <f t="array" ref="H57">[1]!PVT_mu_oil_cP(B57,C57,gamma_gas_,gamma_oil_,gamma_wat_,Rsb_,Rp_,Pb_,Tres_,Bob_,muob_)</f>
        <v>1.0939314288862887</v>
      </c>
      <c r="I57" s="22" cm="1">
        <f t="array" ref="I57">[1]!PVT_mu_wat_cP(B57,C57,gamma_gas_,gamma_oil_,gamma_wat_,Rsb_,Rp_,Pb_,Tres_,Bob_,muob_)</f>
        <v>0.54333979135332333</v>
      </c>
      <c r="J57" s="22" cm="1">
        <f t="array" ref="J57">[1]!PVT_mu_gas_cP(B57,C57,gamma_gas_,gamma_oil_,gamma_wat_,Rsb_,Rp_,Pb_,Tres_,Bob_,muob_)</f>
        <v>3.4534895336181544E-2</v>
      </c>
      <c r="P57" s="24">
        <v>1250</v>
      </c>
      <c r="Q57" s="23" t="str">
        <f>[1]!PVT_encode_string(gamma_gas_,gamma_oil_,gamma_wat_,Rsb_,P57,Pb_,Tres_,Bob_,muob_)</f>
        <v>{"gamma_gas":0.7,"gamma_oil":0.86,"gamma_wat":1.02,"rsb_m3m3":120,"rp_m3m3":1250}</v>
      </c>
      <c r="R57" s="21">
        <f>[1]!MF_p_gas_fraction_atma(betta_gas1_,20,fw_,Q57,ksep_)</f>
        <v>300</v>
      </c>
      <c r="S57" s="21">
        <f>[1]!MF_p_gas_fraction_atma(betta_gas2_,20,fw_,Q57,ksep_)</f>
        <v>300</v>
      </c>
      <c r="T57" s="21">
        <f>[1]!MF_p_gas_fraction_atma(betta_gas3_,20,fw_,Q57,ksep_)</f>
        <v>222.0703125</v>
      </c>
      <c r="AC57" s="25">
        <f t="shared" si="19"/>
        <v>460</v>
      </c>
      <c r="AD57" s="23" t="str">
        <f>[1]!PVT_encode_string(gamma_gas_,gamma_oil_,gamma_wat_,Rsb_,AC57,Pb_,Tres_,Bob_,muob_)</f>
        <v>{"gamma_gas":0.7,"gamma_oil":0.86,"gamma_wat":1.02,"rsb_m3m3":120,"rp_m3m3":460}</v>
      </c>
      <c r="AE57" s="21">
        <f>[1]!MF_rp_gas_fraction_m3m3(betta_gas1_,AC57,C57,fw_,PVRstr1_,,ksep_)</f>
        <v>266.845703125</v>
      </c>
      <c r="AF57" s="21">
        <f>[1]!MF_rp_gas_fraction_m3m3(betta_gas2_,AC57,D57,fw_,PVRstr1_,1000,ksep_)</f>
        <v>588.8671875</v>
      </c>
      <c r="AG57" s="21">
        <f>[1]!MF_rp_gas_fraction_m3m3(betta_gas3_,AC57,E57,fw_,PVRstr1_,1000,ksep_)</f>
        <v>1000</v>
      </c>
    </row>
    <row r="101" spans="3:8" ht="18.75" x14ac:dyDescent="0.35">
      <c r="C101" s="6" t="str">
        <f t="shared" ref="C101:D116" si="28">B31</f>
        <v>P</v>
      </c>
      <c r="D101" s="6" t="str">
        <f t="shared" si="28"/>
        <v>T</v>
      </c>
      <c r="E101" s="17" t="s">
        <v>12</v>
      </c>
      <c r="F101" s="17" t="s">
        <v>16</v>
      </c>
      <c r="G101" s="17" t="s">
        <v>18</v>
      </c>
      <c r="H101" s="17" t="s">
        <v>17</v>
      </c>
    </row>
    <row r="102" spans="3:8" x14ac:dyDescent="0.2">
      <c r="C102" s="20">
        <f t="shared" si="28"/>
        <v>1</v>
      </c>
      <c r="D102" s="20">
        <f t="shared" si="28"/>
        <v>80</v>
      </c>
      <c r="E102" s="4">
        <f>[1]!MF_mu_mix_cP(Q_,fw_,C102,D102,PVRstr1_)</f>
        <v>2.3353229007571238E-2</v>
      </c>
      <c r="F102" s="5">
        <f>[1]!PVT_mu_gas_cP(C102,D102,gamma_gas_,gamma_oil_,gamma_wat_,Rsb_,Rp_,Pb_,Tres_,Bob_,muob_)</f>
        <v>1.2590526775373494E-2</v>
      </c>
      <c r="G102" s="5">
        <f>[1]!PVT_mu_oil_cP(C102,D102,gamma_gas_,gamma_oil_,gamma_wat_,Rsb_,Rp_,Pb_,Tres_,Bob_,muob_)</f>
        <v>2.678900443471357</v>
      </c>
      <c r="H102" s="5">
        <f>[1]!PVT_mu_wat_cP(C102,D102,gamma_gas_,gamma_oil_,gamma_wat_,Rsb_,Rp_,Pb_,Tres_,Bob_,muob_)</f>
        <v>0.38431976588553846</v>
      </c>
    </row>
    <row r="103" spans="3:8" x14ac:dyDescent="0.2">
      <c r="C103" s="20">
        <f t="shared" si="28"/>
        <v>5</v>
      </c>
      <c r="D103" s="20">
        <f t="shared" si="28"/>
        <v>80</v>
      </c>
      <c r="E103" s="4">
        <f>[1]!MF_mu_mix_cP(Q_,fw_,C103,D103,PVRstr1_)</f>
        <v>0.10985311130238989</v>
      </c>
      <c r="F103" s="5">
        <f>[1]!PVT_mu_gas_cP(C103,D103,gamma_gas_,gamma_oil_,gamma_wat_,Rsb_,Rp_,Pb_,Tres_,Bob_,muob_)</f>
        <v>1.2630057144126723E-2</v>
      </c>
      <c r="G103" s="5">
        <f>[1]!PVT_mu_oil_cP(C103,D103,gamma_gas_,gamma_oil_,gamma_wat_,Rsb_,Rp_,Pb_,Tres_,Bob_,muob_)</f>
        <v>2.5579920292474072</v>
      </c>
      <c r="H103" s="5">
        <f>[1]!PVT_mu_wat_cP(C103,D103,gamma_gas_,gamma_oil_,gamma_wat_,Rsb_,Rp_,Pb_,Tres_,Bob_,muob_)</f>
        <v>0.38523631006758674</v>
      </c>
    </row>
    <row r="104" spans="3:8" x14ac:dyDescent="0.2">
      <c r="C104" s="20">
        <f t="shared" si="28"/>
        <v>10</v>
      </c>
      <c r="D104" s="20">
        <f t="shared" si="28"/>
        <v>80</v>
      </c>
      <c r="E104" s="4">
        <f>[1]!MF_mu_mix_cP(Q_,fw_,C104,D104,PVRstr1_)</f>
        <v>0.2027999066099829</v>
      </c>
      <c r="F104" s="5">
        <f>[1]!PVT_mu_gas_cP(C104,D104,gamma_gas_,gamma_oil_,gamma_wat_,Rsb_,Rp_,Pb_,Tres_,Bob_,muob_)</f>
        <v>1.2696606446400435E-2</v>
      </c>
      <c r="G104" s="5">
        <f>[1]!PVT_mu_oil_cP(C104,D104,gamma_gas_,gamma_oil_,gamma_wat_,Rsb_,Rp_,Pb_,Tres_,Bob_,muob_)</f>
        <v>2.3961538690040416</v>
      </c>
      <c r="H104" s="5">
        <f>[1]!PVT_mu_wat_cP(C104,D104,gamma_gas_,gamma_oil_,gamma_wat_,Rsb_,Rp_,Pb_,Tres_,Bob_,muob_)</f>
        <v>0.38639359266114098</v>
      </c>
    </row>
    <row r="105" spans="3:8" x14ac:dyDescent="0.2">
      <c r="C105" s="20">
        <f t="shared" si="28"/>
        <v>20</v>
      </c>
      <c r="D105" s="20">
        <f t="shared" si="28"/>
        <v>80</v>
      </c>
      <c r="E105" s="4">
        <f>[1]!MF_mu_mix_cP(Q_,fw_,C105,D105,PVRstr1_)</f>
        <v>0.34714037496153721</v>
      </c>
      <c r="F105" s="5">
        <f>[1]!PVT_mu_gas_cP(C105,D105,gamma_gas_,gamma_oil_,gamma_wat_,Rsb_,Rp_,Pb_,Tres_,Bob_,muob_)</f>
        <v>1.286525448902627E-2</v>
      </c>
      <c r="G105" s="5">
        <f>[1]!PVT_mu_oil_cP(C105,D105,gamma_gas_,gamma_oil_,gamma_wat_,Rsb_,Rp_,Pb_,Tres_,Bob_,muob_)</f>
        <v>2.0998831295066331</v>
      </c>
      <c r="H105" s="5">
        <f>[1]!PVT_mu_wat_cP(C105,D105,gamma_gas_,gamma_oil_,gamma_wat_,Rsb_,Rp_,Pb_,Tres_,Bob_,muob_)</f>
        <v>0.38874683240156249</v>
      </c>
    </row>
    <row r="106" spans="3:8" x14ac:dyDescent="0.2">
      <c r="C106" s="20">
        <f t="shared" si="28"/>
        <v>40</v>
      </c>
      <c r="D106" s="20">
        <f t="shared" si="28"/>
        <v>80</v>
      </c>
      <c r="E106" s="4">
        <f>[1]!MF_mu_mix_cP(Q_,fw_,C106,D106,PVRstr1_)</f>
        <v>0.52756282619786798</v>
      </c>
      <c r="F106" s="5">
        <f>[1]!PVT_mu_gas_cP(C106,D106,gamma_gas_,gamma_oil_,gamma_wat_,Rsb_,Rp_,Pb_,Tres_,Bob_,muob_)</f>
        <v>1.3312584545353279E-2</v>
      </c>
      <c r="G106" s="5">
        <f>[1]!PVT_mu_oil_cP(C106,D106,gamma_gas_,gamma_oil_,gamma_wat_,Rsb_,Rp_,Pb_,Tres_,Bob_,muob_)</f>
        <v>1.6574394833769039</v>
      </c>
      <c r="H106" s="5">
        <f>[1]!PVT_mu_wat_cP(C106,D106,gamma_gas_,gamma_oil_,gamma_wat_,Rsb_,Rp_,Pb_,Tres_,Bob_,muob_)</f>
        <v>0.39360801009565766</v>
      </c>
    </row>
    <row r="107" spans="3:8" x14ac:dyDescent="0.2">
      <c r="C107" s="20">
        <f t="shared" si="28"/>
        <v>60</v>
      </c>
      <c r="D107" s="20">
        <f t="shared" si="28"/>
        <v>80</v>
      </c>
      <c r="E107" s="4">
        <f>[1]!MF_mu_mix_cP(Q_,fw_,C107,D107,PVRstr1_)</f>
        <v>0.62749683537336265</v>
      </c>
      <c r="F107" s="5">
        <f>[1]!PVT_mu_gas_cP(C107,D107,gamma_gas_,gamma_oil_,gamma_wat_,Rsb_,Rp_,Pb_,Tres_,Bob_,muob_)</f>
        <v>1.3896273441060203E-2</v>
      </c>
      <c r="G107" s="5">
        <f>[1]!PVT_mu_oil_cP(C107,D107,gamma_gas_,gamma_oil_,gamma_wat_,Rsb_,Rp_,Pb_,Tres_,Bob_,muob_)</f>
        <v>1.3627081689849947</v>
      </c>
      <c r="H107" s="5">
        <f>[1]!PVT_mu_wat_cP(C107,D107,gamma_gas_,gamma_oil_,gamma_wat_,Rsb_,Rp_,Pb_,Tres_,Bob_,muob_)</f>
        <v>0.39867545207408905</v>
      </c>
    </row>
    <row r="108" spans="3:8" x14ac:dyDescent="0.2">
      <c r="C108" s="20">
        <f t="shared" si="28"/>
        <v>80</v>
      </c>
      <c r="D108" s="20">
        <f t="shared" si="28"/>
        <v>80</v>
      </c>
      <c r="E108" s="4">
        <f>[1]!MF_mu_mix_cP(Q_,fw_,C108,D108,PVRstr1_)</f>
        <v>0.68278959995356636</v>
      </c>
      <c r="F108" s="5">
        <f>[1]!PVT_mu_gas_cP(C108,D108,gamma_gas_,gamma_oil_,gamma_wat_,Rsb_,Rp_,Pb_,Tres_,Bob_,muob_)</f>
        <v>1.4617207680451744E-2</v>
      </c>
      <c r="G108" s="5">
        <f>[1]!PVT_mu_oil_cP(C108,D108,gamma_gas_,gamma_oil_,gamma_wat_,Rsb_,Rp_,Pb_,Tres_,Bob_,muob_)</f>
        <v>1.1574916574064196</v>
      </c>
      <c r="H108" s="5">
        <f>[1]!PVT_mu_wat_cP(C108,D108,gamma_gas_,gamma_oil_,gamma_wat_,Rsb_,Rp_,Pb_,Tres_,Bob_,muob_)</f>
        <v>0.40394915833685668</v>
      </c>
    </row>
    <row r="109" spans="3:8" x14ac:dyDescent="0.2">
      <c r="C109" s="20">
        <f t="shared" si="28"/>
        <v>100</v>
      </c>
      <c r="D109" s="20">
        <f t="shared" si="28"/>
        <v>80</v>
      </c>
      <c r="E109" s="4">
        <f>[1]!MF_mu_mix_cP(Q_,fw_,C109,D109,PVRstr1_)</f>
        <v>0.71019591575453678</v>
      </c>
      <c r="F109" s="5">
        <f>[1]!PVT_mu_gas_cP(C109,D109,gamma_gas_,gamma_oil_,gamma_wat_,Rsb_,Rp_,Pb_,Tres_,Bob_,muob_)</f>
        <v>1.5470982167466613E-2</v>
      </c>
      <c r="G109" s="5">
        <f>[1]!PVT_mu_oil_cP(C109,D109,gamma_gas_,gamma_oil_,gamma_wat_,Rsb_,Rp_,Pb_,Tres_,Bob_,muob_)</f>
        <v>1.0077433098181237</v>
      </c>
      <c r="H109" s="5">
        <f>[1]!PVT_mu_wat_cP(C109,D109,gamma_gas_,gamma_oil_,gamma_wat_,Rsb_,Rp_,Pb_,Tres_,Bob_,muob_)</f>
        <v>0.40942912888396055</v>
      </c>
    </row>
    <row r="110" spans="3:8" x14ac:dyDescent="0.2">
      <c r="C110" s="20">
        <f t="shared" si="28"/>
        <v>120</v>
      </c>
      <c r="D110" s="20">
        <f t="shared" si="28"/>
        <v>80</v>
      </c>
      <c r="E110" s="4">
        <f>[1]!MF_mu_mix_cP(Q_,fw_,C110,D110,PVRstr1_)</f>
        <v>0.71965080861596931</v>
      </c>
      <c r="F110" s="5">
        <f>[1]!PVT_mu_gas_cP(C110,D110,gamma_gas_,gamma_oil_,gamma_wat_,Rsb_,Rp_,Pb_,Tres_,Bob_,muob_)</f>
        <v>1.6442127418447684E-2</v>
      </c>
      <c r="G110" s="5">
        <f>[1]!PVT_mu_oil_cP(C110,D110,gamma_gas_,gamma_oil_,gamma_wat_,Rsb_,Rp_,Pb_,Tres_,Bob_,muob_)</f>
        <v>0.89408121425305809</v>
      </c>
      <c r="H110" s="5">
        <f>[1]!PVT_mu_wat_cP(C110,D110,gamma_gas_,gamma_oil_,gamma_wat_,Rsb_,Rp_,Pb_,Tres_,Bob_,muob_)</f>
        <v>0.41511536371540059</v>
      </c>
    </row>
    <row r="111" spans="3:8" x14ac:dyDescent="0.2">
      <c r="C111" s="20">
        <f t="shared" si="28"/>
        <v>140</v>
      </c>
      <c r="D111" s="20">
        <f t="shared" si="28"/>
        <v>80</v>
      </c>
      <c r="E111" s="4">
        <f>[1]!MF_mu_mix_cP(Q_,fw_,C111,D111,PVRstr1_)</f>
        <v>0.71794662584479185</v>
      </c>
      <c r="F111" s="5">
        <f>[1]!PVT_mu_gas_cP(C111,D111,gamma_gas_,gamma_oil_,gamma_wat_,Rsb_,Rp_,Pb_,Tres_,Bob_,muob_)</f>
        <v>1.750625651862877E-2</v>
      </c>
      <c r="G111" s="5">
        <f>[1]!PVT_mu_oil_cP(C111,D111,gamma_gas_,gamma_oil_,gamma_wat_,Rsb_,Rp_,Pb_,Tres_,Bob_,muob_)</f>
        <v>0.80500439404039315</v>
      </c>
      <c r="H111" s="5">
        <f>[1]!PVT_mu_wat_cP(C111,D111,gamma_gas_,gamma_oil_,gamma_wat_,Rsb_,Rp_,Pb_,Tres_,Bob_,muob_)</f>
        <v>0.42100786283117692</v>
      </c>
    </row>
    <row r="112" spans="3:8" x14ac:dyDescent="0.2">
      <c r="C112" s="20">
        <f t="shared" si="28"/>
        <v>160</v>
      </c>
      <c r="D112" s="20">
        <f t="shared" si="28"/>
        <v>80</v>
      </c>
      <c r="E112" s="4">
        <f>[1]!MF_mu_mix_cP(Q_,fw_,C112,D112,PVRstr1_)</f>
        <v>0.70977658390111353</v>
      </c>
      <c r="F112" s="5">
        <f>[1]!PVT_mu_gas_cP(C112,D112,gamma_gas_,gamma_oil_,gamma_wat_,Rsb_,Rp_,Pb_,Tres_,Bob_,muob_)</f>
        <v>1.8635475918841078E-2</v>
      </c>
      <c r="G112" s="5">
        <f>[1]!PVT_mu_oil_cP(C112,D112,gamma_gas_,gamma_oil_,gamma_wat_,Rsb_,Rp_,Pb_,Tres_,Bob_,muob_)</f>
        <v>0.73335339365902119</v>
      </c>
      <c r="H112" s="5">
        <f>[1]!PVT_mu_wat_cP(C112,D112,gamma_gas_,gamma_oil_,gamma_wat_,Rsb_,Rp_,Pb_,Tres_,Bob_,muob_)</f>
        <v>0.42710662623128942</v>
      </c>
    </row>
    <row r="113" spans="3:12" x14ac:dyDescent="0.2">
      <c r="C113" s="20">
        <f t="shared" si="28"/>
        <v>180</v>
      </c>
      <c r="D113" s="20">
        <f t="shared" si="28"/>
        <v>80</v>
      </c>
      <c r="E113" s="4">
        <f>[1]!MF_mu_mix_cP(Q_,fw_,C113,D113,PVRstr1_)</f>
        <v>0.70212179798024887</v>
      </c>
      <c r="F113" s="5">
        <f>[1]!PVT_mu_gas_cP(C113,D113,gamma_gas_,gamma_oil_,gamma_wat_,Rsb_,Rp_,Pb_,Tres_,Bob_,muob_)</f>
        <v>1.9803451501950921E-2</v>
      </c>
      <c r="G113" s="5">
        <f>[1]!PVT_mu_oil_cP(C113,D113,gamma_gas_,gamma_oil_,gamma_wat_,Rsb_,Rp_,Pb_,Tres_,Bob_,muob_)</f>
        <v>0.68231834647829792</v>
      </c>
      <c r="H113" s="5">
        <f>[1]!PVT_mu_wat_cP(C113,D113,gamma_gas_,gamma_oil_,gamma_wat_,Rsb_,Rp_,Pb_,Tres_,Bob_,muob_)</f>
        <v>0.4334116539157381</v>
      </c>
    </row>
    <row r="114" spans="3:12" x14ac:dyDescent="0.2">
      <c r="C114" s="20">
        <f t="shared" si="28"/>
        <v>200</v>
      </c>
      <c r="D114" s="20">
        <f t="shared" si="28"/>
        <v>80</v>
      </c>
      <c r="E114" s="4">
        <f>[1]!MF_mu_mix_cP(Q_,fw_,C114,D114,PVRstr1_)</f>
        <v>0.72263777721150246</v>
      </c>
      <c r="F114" s="5">
        <f>[1]!PVT_mu_gas_cP(C114,D114,gamma_gas_,gamma_oil_,gamma_wat_,Rsb_,Rp_,Pb_,Tres_,Bob_,muob_)</f>
        <v>2.0988369712171065E-2</v>
      </c>
      <c r="G114" s="5">
        <f>[1]!PVT_mu_oil_cP(C114,D114,gamma_gas_,gamma_oil_,gamma_wat_,Rsb_,Rp_,Pb_,Tres_,Bob_,muob_)</f>
        <v>0.70164940749933136</v>
      </c>
      <c r="H114" s="5">
        <f>[1]!PVT_mu_wat_cP(C114,D114,gamma_gas_,gamma_oil_,gamma_wat_,Rsb_,Rp_,Pb_,Tres_,Bob_,muob_)</f>
        <v>0.43992294588452308</v>
      </c>
    </row>
    <row r="115" spans="3:12" x14ac:dyDescent="0.2">
      <c r="C115" s="20">
        <f t="shared" si="28"/>
        <v>220</v>
      </c>
      <c r="D115" s="20">
        <f t="shared" si="28"/>
        <v>80</v>
      </c>
      <c r="E115" s="4">
        <f>[1]!MF_mu_mix_cP(Q_,fw_,C115,D115,PVRstr1_)</f>
        <v>0.74522813342494576</v>
      </c>
      <c r="F115" s="5">
        <f>[1]!PVT_mu_gas_cP(C115,D115,gamma_gas_,gamma_oil_,gamma_wat_,Rsb_,Rp_,Pb_,Tres_,Bob_,muob_)</f>
        <v>2.2173776661489064E-2</v>
      </c>
      <c r="G115" s="5">
        <f>[1]!PVT_mu_oil_cP(C115,D115,gamma_gas_,gamma_oil_,gamma_wat_,Rsb_,Rp_,Pb_,Tres_,Bob_,muob_)</f>
        <v>0.72305435676345675</v>
      </c>
      <c r="H115" s="5">
        <f>[1]!PVT_mu_wat_cP(C115,D115,gamma_gas_,gamma_oil_,gamma_wat_,Rsb_,Rp_,Pb_,Tres_,Bob_,muob_)</f>
        <v>0.44664050213764422</v>
      </c>
    </row>
    <row r="116" spans="3:12" x14ac:dyDescent="0.2">
      <c r="C116" s="20">
        <f t="shared" si="28"/>
        <v>240</v>
      </c>
      <c r="D116" s="20">
        <f t="shared" si="28"/>
        <v>80</v>
      </c>
      <c r="E116" s="4">
        <f>[1]!MF_mu_mix_cP(Q_,fw_,C116,D116,PVRstr1_)</f>
        <v>0.76971312335126896</v>
      </c>
      <c r="F116" s="5">
        <f>[1]!PVT_mu_gas_cP(C116,D116,gamma_gas_,gamma_oil_,gamma_wat_,Rsb_,Rp_,Pb_,Tres_,Bob_,muob_)</f>
        <v>2.3348082002231863E-2</v>
      </c>
      <c r="G116" s="5">
        <f>[1]!PVT_mu_oil_cP(C116,D116,gamma_gas_,gamma_oil_,gamma_wat_,Rsb_,Rp_,Pb_,Tres_,Bob_,muob_)</f>
        <v>0.74636504134903714</v>
      </c>
      <c r="H116" s="5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0">
        <f t="shared" ref="C117:D127" si="29">B47</f>
        <v>260</v>
      </c>
      <c r="D117" s="20">
        <f t="shared" si="29"/>
        <v>80</v>
      </c>
      <c r="E117" s="4">
        <f>[1]!MF_mu_mix_cP(Q_,fw_,C117,D117,PVRstr1_)</f>
        <v>0.79594037591921873</v>
      </c>
      <c r="F117" s="5">
        <f>[1]!PVT_mu_gas_cP(C117,D117,gamma_gas_,gamma_oil_,gamma_wat_,Rsb_,Rp_,Pb_,Tres_,Bob_,muob_)</f>
        <v>2.450352975158733E-2</v>
      </c>
      <c r="G117" s="5">
        <f>[1]!PVT_mu_oil_cP(C117,D117,gamma_gas_,gamma_oil_,gamma_wat_,Rsb_,Rp_,Pb_,Tres_,Bob_,muob_)</f>
        <v>0.77143684616763142</v>
      </c>
      <c r="H117" s="5">
        <f>[1]!PVT_mu_wat_cP(C117,D117,gamma_gas_,gamma_oil_,gamma_wat_,Rsb_,Rp_,Pb_,Tres_,Bob_,muob_)</f>
        <v>0.46069440749689522</v>
      </c>
    </row>
    <row r="118" spans="3:12" x14ac:dyDescent="0.2">
      <c r="C118" s="20">
        <f t="shared" si="29"/>
        <v>280</v>
      </c>
      <c r="D118" s="20">
        <f t="shared" si="29"/>
        <v>80</v>
      </c>
      <c r="E118" s="4">
        <f>[1]!MF_mu_mix_cP(Q_,fw_,C118,D118,PVRstr1_)</f>
        <v>0.82377645630028995</v>
      </c>
      <c r="F118" s="5">
        <f>[1]!PVT_mu_gas_cP(C118,D118,gamma_gas_,gamma_oil_,gamma_wat_,Rsb_,Rp_,Pb_,Tres_,Bob_,muob_)</f>
        <v>2.5635143058987443E-2</v>
      </c>
      <c r="G118" s="5">
        <f>[1]!PVT_mu_oil_cP(C118,D118,gamma_gas_,gamma_oil_,gamma_wat_,Rsb_,Rp_,Pb_,Tres_,Bob_,muob_)</f>
        <v>0.79814131324130255</v>
      </c>
      <c r="H118" s="5">
        <f>[1]!PVT_mu_wat_cP(C118,D118,gamma_gas_,gamma_oil_,gamma_wat_,Rsb_,Rp_,Pb_,Tres_,Bob_,muob_)</f>
        <v>0.46803075660302507</v>
      </c>
    </row>
    <row r="119" spans="3:12" x14ac:dyDescent="0.2">
      <c r="C119" s="20">
        <f t="shared" si="29"/>
        <v>300</v>
      </c>
      <c r="D119" s="20">
        <f t="shared" si="29"/>
        <v>80</v>
      </c>
      <c r="E119" s="4">
        <f>[1]!MF_mu_mix_cP(Q_,fw_,C119,D119,PVRstr1_)</f>
        <v>0.85310075066382096</v>
      </c>
      <c r="F119" s="5">
        <f>[1]!PVT_mu_gas_cP(C119,D119,gamma_gas_,gamma_oil_,gamma_wat_,Rsb_,Rp_,Pb_,Tres_,Bob_,muob_)</f>
        <v>2.6739863779070137E-2</v>
      </c>
      <c r="G119" s="5">
        <f>[1]!PVT_mu_oil_cP(C119,D119,gamma_gas_,gamma_oil_,gamma_wat_,Rsb_,Rp_,Pb_,Tres_,Bob_,muob_)</f>
        <v>0.82636088688475084</v>
      </c>
      <c r="H119" s="5">
        <f>[1]!PVT_mu_wat_cP(C119,D119,gamma_gas_,gamma_oil_,gamma_wat_,Rsb_,Rp_,Pb_,Tres_,Bob_,muob_)</f>
        <v>0.47557336999349109</v>
      </c>
    </row>
    <row r="120" spans="3:12" x14ac:dyDescent="0.2">
      <c r="C120" s="20">
        <f t="shared" si="29"/>
        <v>320</v>
      </c>
      <c r="D120" s="20">
        <f t="shared" si="29"/>
        <v>80</v>
      </c>
      <c r="E120" s="4">
        <f>[1]!MF_mu_mix_cP(Q_,fw_,C120,D120,PVRstr1_)</f>
        <v>0.8838010576546742</v>
      </c>
      <c r="F120" s="5">
        <f>[1]!PVT_mu_gas_cP(C120,D120,gamma_gas_,gamma_oil_,gamma_wat_,Rsb_,Rp_,Pb_,Tres_,Bob_,muob_)</f>
        <v>2.7815931842977631E-2</v>
      </c>
      <c r="G120" s="5">
        <f>[1]!PVT_mu_oil_cP(C120,D120,gamma_gas_,gamma_oil_,gamma_wat_,Rsb_,Rp_,Pb_,Tres_,Bob_,muob_)</f>
        <v>0.85598512581169661</v>
      </c>
      <c r="H120" s="5">
        <f>[1]!PVT_mu_wat_cP(C120,D120,gamma_gas_,gamma_oil_,gamma_wat_,Rsb_,Rp_,Pb_,Tres_,Bob_,muob_)</f>
        <v>0.48332224766829335</v>
      </c>
    </row>
    <row r="121" spans="3:12" x14ac:dyDescent="0.2">
      <c r="C121" s="20">
        <f t="shared" si="29"/>
        <v>340</v>
      </c>
      <c r="D121" s="20">
        <f t="shared" si="29"/>
        <v>80</v>
      </c>
      <c r="E121" s="4">
        <f>[1]!MF_mu_mix_cP(Q_,fw_,C121,D121,PVRstr1_)</f>
        <v>0.91577042927750785</v>
      </c>
      <c r="F121" s="5">
        <f>[1]!PVT_mu_gas_cP(C121,D121,gamma_gas_,gamma_oil_,gamma_wat_,Rsb_,Rp_,Pb_,Tres_,Bob_,muob_)</f>
        <v>2.8862470941640933E-2</v>
      </c>
      <c r="G121" s="5">
        <f>[1]!PVT_mu_oil_cP(C121,D121,gamma_gas_,gamma_oil_,gamma_wat_,Rsb_,Rp_,Pb_,Tres_,Bob_,muob_)</f>
        <v>0.88690795833586689</v>
      </c>
      <c r="H121" s="5">
        <f>[1]!PVT_mu_wat_cP(C121,D121,gamma_gas_,gamma_oil_,gamma_wat_,Rsb_,Rp_,Pb_,Tres_,Bob_,muob_)</f>
        <v>0.49127738962743184</v>
      </c>
    </row>
    <row r="122" spans="3:12" x14ac:dyDescent="0.2">
      <c r="C122" s="20">
        <f t="shared" si="29"/>
        <v>360</v>
      </c>
      <c r="D122" s="20">
        <f t="shared" si="29"/>
        <v>80</v>
      </c>
      <c r="E122" s="4">
        <f>[1]!MF_mu_mix_cP(Q_,fw_,C122,D122,PVRstr1_)</f>
        <v>0.94890492534134718</v>
      </c>
      <c r="F122" s="5">
        <f>[1]!PVT_mu_gas_cP(C122,D122,gamma_gas_,gamma_oil_,gamma_wat_,Rsb_,Rp_,Pb_,Tres_,Bob_,muob_)</f>
        <v>2.987922584702854E-2</v>
      </c>
      <c r="G122" s="5">
        <f>[1]!PVT_mu_oil_cP(C122,D122,gamma_gas_,gamma_oil_,gamma_wat_,Rsb_,Rp_,Pb_,Tres_,Bob_,muob_)</f>
        <v>0.91902569949431867</v>
      </c>
      <c r="H122" s="5">
        <f>[1]!PVT_mu_wat_cP(C122,D122,gamma_gas_,gamma_oil_,gamma_wat_,Rsb_,Rp_,Pb_,Tres_,Bob_,muob_)</f>
        <v>0.49943879587090656</v>
      </c>
    </row>
    <row r="123" spans="3:12" x14ac:dyDescent="0.2">
      <c r="C123" s="20">
        <f t="shared" si="29"/>
        <v>380</v>
      </c>
      <c r="D123" s="20">
        <f t="shared" si="29"/>
        <v>80</v>
      </c>
      <c r="E123" s="4">
        <f>[1]!MF_mu_mix_cP(Q_,fw_,C123,D123,PVRstr1_)</f>
        <v>0.98310203925829709</v>
      </c>
      <c r="F123" s="5">
        <f>[1]!PVT_mu_gas_cP(C123,D123,gamma_gas_,gamma_oil_,gamma_wat_,Rsb_,Rp_,Pb_,Tres_,Bob_,muob_)</f>
        <v>3.0866401054923765E-2</v>
      </c>
      <c r="G123" s="5">
        <f>[1]!PVT_mu_oil_cP(C123,D123,gamma_gas_,gamma_oil_,gamma_wat_,Rsb_,Rp_,Pb_,Tres_,Bob_,muob_)</f>
        <v>0.95223563820337331</v>
      </c>
      <c r="H123" s="5">
        <f>[1]!PVT_mu_wat_cP(C123,D123,gamma_gas_,gamma_oil_,gamma_wat_,Rsb_,Rp_,Pb_,Tres_,Bob_,muob_)</f>
        <v>0.50780646639871752</v>
      </c>
    </row>
    <row r="124" spans="3:12" x14ac:dyDescent="0.2">
      <c r="C124" s="20">
        <f t="shared" si="29"/>
        <v>400</v>
      </c>
      <c r="D124" s="20">
        <f t="shared" si="29"/>
        <v>80</v>
      </c>
      <c r="E124" s="4">
        <f>[1]!MF_mu_mix_cP(Q_,fw_,C124,D124,PVRstr1_)</f>
        <v>1.018259622485576</v>
      </c>
      <c r="F124" s="5">
        <f>[1]!PVT_mu_gas_cP(C124,D124,gamma_gas_,gamma_oil_,gamma_wat_,Rsb_,Rp_,Pb_,Tres_,Bob_,muob_)</f>
        <v>3.182456256554924E-2</v>
      </c>
      <c r="G124" s="5">
        <f>[1]!PVT_mu_oil_cP(C124,D124,gamma_gas_,gamma_oil_,gamma_wat_,Rsb_,Rp_,Pb_,Tres_,Bob_,muob_)</f>
        <v>0.98643505992002678</v>
      </c>
      <c r="H124" s="5">
        <f>[1]!PVT_mu_wat_cP(C124,D124,gamma_gas_,gamma_oil_,gamma_wat_,Rsb_,Rp_,Pb_,Tres_,Bob_,muob_)</f>
        <v>0.51638040121086459</v>
      </c>
    </row>
    <row r="125" spans="3:12" x14ac:dyDescent="0.2">
      <c r="C125" s="20">
        <f t="shared" si="29"/>
        <v>420</v>
      </c>
      <c r="D125" s="20">
        <f t="shared" si="29"/>
        <v>80</v>
      </c>
      <c r="E125" s="4">
        <f>[1]!MF_mu_mix_cP(Q_,fw_,C125,D125,PVRstr1_)</f>
        <v>1.0542751846643823</v>
      </c>
      <c r="F125" s="5">
        <f>[1]!PVT_mu_gas_cP(C125,D125,gamma_gas_,gamma_oil_,gamma_wat_,Rsb_,Rp_,Pb_,Tres_,Bob_,muob_)</f>
        <v>3.2754576693807165E-2</v>
      </c>
      <c r="G125" s="5">
        <f>[1]!PVT_mu_oil_cP(C125,D125,gamma_gas_,gamma_oil_,gamma_wat_,Rsb_,Rp_,Pb_,Tres_,Bob_,muob_)</f>
        <v>1.0215206079705752</v>
      </c>
      <c r="H125" s="5">
        <f>[1]!PVT_mu_wat_cP(C125,D125,gamma_gas_,gamma_oil_,gamma_wat_,Rsb_,Rp_,Pb_,Tres_,Bob_,muob_)</f>
        <v>0.52516060030734801</v>
      </c>
    </row>
    <row r="126" spans="3:12" x14ac:dyDescent="0.2">
      <c r="C126" s="20">
        <f t="shared" si="29"/>
        <v>440</v>
      </c>
      <c r="D126" s="20">
        <f t="shared" si="29"/>
        <v>80</v>
      </c>
      <c r="E126" s="4">
        <f>[1]!MF_mu_mix_cP(Q_,fw_,C126,D126,PVRstr1_)</f>
        <v>1.0910454812411512</v>
      </c>
      <c r="F126" s="5">
        <f>[1]!PVT_mu_gas_cP(C126,D126,gamma_gas_,gamma_oil_,gamma_wat_,Rsb_,Rp_,Pb_,Tres_,Bob_,muob_)</f>
        <v>3.3657569282132496E-2</v>
      </c>
      <c r="G126" s="5">
        <f>[1]!PVT_mu_oil_cP(C126,D126,gamma_gas_,gamma_oil_,gamma_wat_,Rsb_,Rp_,Pb_,Tres_,Bob_,muob_)</f>
        <v>1.0573879119590186</v>
      </c>
      <c r="H126" s="5">
        <f>[1]!PVT_mu_wat_cP(C126,D126,gamma_gas_,gamma_oil_,gamma_wat_,Rsb_,Rp_,Pb_,Tres_,Bob_,muob_)</f>
        <v>0.53414706368816756</v>
      </c>
    </row>
    <row r="127" spans="3:12" x14ac:dyDescent="0.2">
      <c r="C127" s="20">
        <f t="shared" si="29"/>
        <v>460</v>
      </c>
      <c r="D127" s="20">
        <f t="shared" si="29"/>
        <v>80</v>
      </c>
      <c r="E127" s="4">
        <f>[1]!MF_mu_mix_cP(Q_,fw_,C127,D127,PVRstr1_)</f>
        <v>1.1284663242224702</v>
      </c>
      <c r="F127" s="5">
        <f>[1]!PVT_mu_gas_cP(C127,D127,gamma_gas_,gamma_oil_,gamma_wat_,Rsb_,Rp_,Pb_,Tres_,Bob_,muob_)</f>
        <v>3.4534895336181544E-2</v>
      </c>
      <c r="G127" s="5">
        <f>[1]!PVT_mu_oil_cP(C127,D127,gamma_gas_,gamma_oil_,gamma_wat_,Rsb_,Rp_,Pb_,Tres_,Bob_,muob_)</f>
        <v>1.0939314288862887</v>
      </c>
      <c r="H127" s="5">
        <f>[1]!PVT_mu_wat_cP(C127,D127,gamma_gas_,gamma_oil_,gamma_wat_,Rsb_,Rp_,Pb_,Tres_,Bob_,muob_)</f>
        <v>0.54333979135332333</v>
      </c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35</vt:i4>
      </vt:variant>
    </vt:vector>
  </HeadingPairs>
  <TitlesOfParts>
    <vt:vector size="36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2020-06-02T10:09:15Z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