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B4CAB33C-6043-434F-A479-09A729A576F3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120" l="1"/>
  <c r="D33" i="120"/>
  <c r="D34" i="120"/>
  <c r="D35" i="120"/>
  <c r="D36" i="120"/>
  <c r="D37" i="120"/>
  <c r="D38" i="120"/>
  <c r="D39" i="120"/>
  <c r="D40" i="120"/>
  <c r="D41" i="120"/>
  <c r="D42" i="120"/>
  <c r="D43" i="120"/>
  <c r="D44" i="120"/>
  <c r="D45" i="120"/>
  <c r="D46" i="120"/>
  <c r="D47" i="120"/>
  <c r="D48" i="120"/>
  <c r="D49" i="120"/>
  <c r="D50" i="120"/>
  <c r="D51" i="120"/>
  <c r="D52" i="120"/>
  <c r="D53" i="120"/>
  <c r="D54" i="120"/>
  <c r="D55" i="120"/>
  <c r="D56" i="120"/>
  <c r="D57" i="120"/>
  <c r="AG31" i="120" l="1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G1" i="120"/>
  <c r="C24" i="120" a="1"/>
  <c r="C24" i="120" l="1"/>
  <c r="J47" i="120" a="1"/>
  <c r="R46" i="120" a="1"/>
  <c r="H53" i="120" a="1"/>
  <c r="H55" i="120" a="1"/>
  <c r="J55" i="120" a="1"/>
  <c r="S54" i="120" a="1"/>
  <c r="I36" i="120" a="1"/>
  <c r="H49" i="120" a="1"/>
  <c r="H38" i="120" a="1"/>
  <c r="I37" i="120" a="1"/>
  <c r="J37" i="120" a="1"/>
  <c r="H48" i="120" a="1"/>
  <c r="S55" i="120" a="1"/>
  <c r="R40" i="120" a="1"/>
  <c r="J36" i="120" a="1"/>
  <c r="I42" i="120" a="1"/>
  <c r="J54" i="120" a="1"/>
  <c r="J51" i="120" a="1"/>
  <c r="H39" i="120" a="1"/>
  <c r="I45" i="120" a="1"/>
  <c r="R39" i="120" a="1"/>
  <c r="I32" i="120" a="1"/>
  <c r="H34" i="120" a="1"/>
  <c r="S57" i="120" a="1"/>
  <c r="R57" i="120" a="1"/>
  <c r="I44" i="120" a="1"/>
  <c r="S45" i="120" a="1"/>
  <c r="J43" i="120" a="1"/>
  <c r="S56" i="120" a="1"/>
  <c r="H33" i="120" a="1"/>
  <c r="J41" i="120" a="1"/>
  <c r="H36" i="120" a="1"/>
  <c r="I33" i="120" a="1"/>
  <c r="I40" i="120" a="1"/>
  <c r="R43" i="120" a="1"/>
  <c r="J33" i="120" a="1"/>
  <c r="H52" i="120" a="1"/>
  <c r="H57" i="120" a="1"/>
  <c r="S47" i="120" a="1"/>
  <c r="R45" i="120" a="1"/>
  <c r="R36" i="120" a="1"/>
  <c r="R32" i="120" a="1"/>
  <c r="J44" i="120" a="1"/>
  <c r="R51" i="120" a="1"/>
  <c r="H35" i="120" a="1"/>
  <c r="S48" i="120" a="1"/>
  <c r="J57" i="120" a="1"/>
  <c r="H42" i="120" a="1"/>
  <c r="J52" i="120" a="1"/>
  <c r="R35" i="120" a="1"/>
  <c r="J46" i="120" a="1"/>
  <c r="I56" i="120" a="1"/>
  <c r="I47" i="120" a="1"/>
  <c r="H47" i="120" a="1"/>
  <c r="H32" i="120" a="1"/>
  <c r="I39" i="120" a="1"/>
  <c r="S49" i="120" a="1"/>
  <c r="R37" i="120" a="1"/>
  <c r="S37" i="120" a="1"/>
  <c r="R48" i="120" a="1"/>
  <c r="S38" i="120" a="1"/>
  <c r="S34" i="120" a="1"/>
  <c r="J40" i="120" a="1"/>
  <c r="R47" i="120" a="1"/>
  <c r="S52" i="120" a="1"/>
  <c r="S33" i="120" a="1"/>
  <c r="S32" i="120" a="1"/>
  <c r="H46" i="120" a="1"/>
  <c r="I55" i="120" a="1"/>
  <c r="I51" i="120" a="1"/>
  <c r="H56" i="120" a="1"/>
  <c r="J38" i="120" a="1"/>
  <c r="J35" i="120" a="1"/>
  <c r="I34" i="120" a="1"/>
  <c r="I43" i="120" a="1"/>
  <c r="J56" i="120" a="1"/>
  <c r="J32" i="120" a="1"/>
  <c r="C25" i="120" a="1"/>
  <c r="I38" i="120" a="1"/>
  <c r="S40" i="120" a="1"/>
  <c r="I49" i="120" a="1"/>
  <c r="H51" i="120" a="1"/>
  <c r="R55" i="120" a="1"/>
  <c r="H50" i="120" a="1"/>
  <c r="S42" i="120" a="1"/>
  <c r="I53" i="120" a="1"/>
  <c r="S51" i="120" a="1"/>
  <c r="J34" i="120" a="1"/>
  <c r="J42" i="120" a="1"/>
  <c r="S35" i="120" a="1"/>
  <c r="J49" i="120" a="1"/>
  <c r="R54" i="120" a="1"/>
  <c r="S41" i="120" a="1"/>
  <c r="H44" i="120" a="1"/>
  <c r="R44" i="120" a="1"/>
  <c r="R41" i="120" a="1"/>
  <c r="R33" i="120" a="1"/>
  <c r="I35" i="120" a="1"/>
  <c r="S39" i="120" a="1"/>
  <c r="I48" i="120" a="1"/>
  <c r="R50" i="120" a="1"/>
  <c r="J53" i="120" a="1"/>
  <c r="R49" i="120" a="1"/>
  <c r="R42" i="120" a="1"/>
  <c r="H40" i="120" a="1"/>
  <c r="S53" i="120" a="1"/>
  <c r="I54" i="120" a="1"/>
  <c r="R34" i="120" a="1"/>
  <c r="J50" i="120" a="1"/>
  <c r="H45" i="120" a="1"/>
  <c r="J45" i="120" a="1"/>
  <c r="S50" i="120" a="1"/>
  <c r="I41" i="120" a="1"/>
  <c r="H54" i="120" a="1"/>
  <c r="I57" i="120" a="1"/>
  <c r="H41" i="120" a="1"/>
  <c r="J48" i="120" a="1"/>
  <c r="R56" i="120" a="1"/>
  <c r="I52" i="120" a="1"/>
  <c r="S46" i="120" a="1"/>
  <c r="R38" i="120" a="1"/>
  <c r="I46" i="120" a="1"/>
  <c r="J39" i="120" a="1"/>
  <c r="R53" i="120" a="1"/>
  <c r="H43" i="120" a="1"/>
  <c r="S44" i="120" a="1"/>
  <c r="S36" i="120" a="1"/>
  <c r="I50" i="120" a="1"/>
  <c r="R52" i="120" a="1"/>
  <c r="H37" i="120" a="1"/>
  <c r="S43" i="120" a="1"/>
  <c r="R47" i="120" l="1"/>
  <c r="S35" i="120"/>
  <c r="R36" i="120"/>
  <c r="R53" i="120"/>
  <c r="H54" i="120"/>
  <c r="I53" i="120"/>
  <c r="J39" i="120"/>
  <c r="H36" i="120"/>
  <c r="J42" i="120"/>
  <c r="H53" i="120"/>
  <c r="I57" i="120"/>
  <c r="H48" i="120"/>
  <c r="R49" i="120"/>
  <c r="S37" i="120"/>
  <c r="S44" i="120"/>
  <c r="R38" i="120"/>
  <c r="S34" i="120"/>
  <c r="J44" i="120"/>
  <c r="I55" i="120"/>
  <c r="J41" i="120"/>
  <c r="H42" i="120"/>
  <c r="I52" i="120"/>
  <c r="J50" i="120"/>
  <c r="H55" i="120"/>
  <c r="I33" i="120"/>
  <c r="J38" i="120"/>
  <c r="R51" i="120"/>
  <c r="S39" i="120"/>
  <c r="R55" i="120"/>
  <c r="S36" i="120"/>
  <c r="J43" i="120"/>
  <c r="H33" i="120"/>
  <c r="S41" i="120"/>
  <c r="S43" i="120"/>
  <c r="S50" i="120"/>
  <c r="R44" i="120"/>
  <c r="S38" i="120"/>
  <c r="I35" i="120"/>
  <c r="J57" i="120"/>
  <c r="J45" i="120"/>
  <c r="H56" i="120"/>
  <c r="J54" i="120"/>
  <c r="H35" i="120"/>
  <c r="I32" i="120"/>
  <c r="S47" i="120"/>
  <c r="S45" i="120"/>
  <c r="R42" i="120"/>
  <c r="R46" i="120"/>
  <c r="S48" i="120"/>
  <c r="I37" i="120"/>
  <c r="I54" i="120"/>
  <c r="J47" i="120"/>
  <c r="I50" i="120"/>
  <c r="I34" i="120"/>
  <c r="H37" i="120"/>
  <c r="H32" i="120"/>
  <c r="S51" i="120"/>
  <c r="R50" i="120"/>
  <c r="R33" i="120"/>
  <c r="S49" i="120"/>
  <c r="R48" i="120"/>
  <c r="I39" i="120"/>
  <c r="J36" i="120"/>
  <c r="J49" i="120"/>
  <c r="J34" i="120"/>
  <c r="I36" i="120"/>
  <c r="H39" i="120"/>
  <c r="R35" i="120"/>
  <c r="S55" i="120"/>
  <c r="S53" i="120"/>
  <c r="R54" i="120"/>
  <c r="R52" i="120"/>
  <c r="I41" i="120"/>
  <c r="J52" i="120"/>
  <c r="J51" i="120"/>
  <c r="J48" i="120"/>
  <c r="I38" i="120"/>
  <c r="H41" i="120"/>
  <c r="H38" i="120"/>
  <c r="R32" i="120"/>
  <c r="R37" i="120"/>
  <c r="S57" i="120"/>
  <c r="S42" i="120"/>
  <c r="R56" i="120"/>
  <c r="R57" i="120"/>
  <c r="I43" i="120"/>
  <c r="H52" i="120"/>
  <c r="J53" i="120"/>
  <c r="H34" i="120"/>
  <c r="I40" i="120"/>
  <c r="H43" i="120"/>
  <c r="I42" i="120"/>
  <c r="H47" i="120"/>
  <c r="R39" i="120"/>
  <c r="S52" i="120"/>
  <c r="S46" i="120"/>
  <c r="I45" i="120"/>
  <c r="J46" i="120"/>
  <c r="J55" i="120"/>
  <c r="H45" i="120"/>
  <c r="J35" i="120"/>
  <c r="H44" i="120"/>
  <c r="R41" i="120"/>
  <c r="S54" i="120"/>
  <c r="S32" i="120"/>
  <c r="I47" i="120"/>
  <c r="J33" i="120"/>
  <c r="I56" i="120"/>
  <c r="H40" i="120"/>
  <c r="I44" i="120"/>
  <c r="H49" i="120"/>
  <c r="R43" i="120"/>
  <c r="S40" i="120"/>
  <c r="I49" i="120"/>
  <c r="J40" i="120"/>
  <c r="I46" i="120"/>
  <c r="R45" i="120"/>
  <c r="S33" i="120"/>
  <c r="S56" i="120"/>
  <c r="R34" i="120"/>
  <c r="J32" i="120"/>
  <c r="I51" i="120"/>
  <c r="J37" i="120"/>
  <c r="J56" i="120"/>
  <c r="H46" i="120"/>
  <c r="I48" i="120"/>
  <c r="H51" i="120"/>
  <c r="H50" i="120"/>
  <c r="R40" i="120"/>
  <c r="H57" i="120"/>
  <c r="C25" i="120"/>
  <c r="F37" i="120" a="1"/>
  <c r="E32" i="120" a="1"/>
  <c r="F52" i="120" a="1"/>
  <c r="AE56" i="120"/>
  <c r="F32" i="120" a="1"/>
  <c r="AG54" i="120"/>
  <c r="E33" i="120" a="1"/>
  <c r="F50" i="120" a="1"/>
  <c r="AF52" i="120"/>
  <c r="AG56" i="120"/>
  <c r="E46" i="120" a="1"/>
  <c r="W25" i="120" a="1"/>
  <c r="G45" i="120" a="1"/>
  <c r="G39" i="120" a="1"/>
  <c r="E37" i="120" a="1"/>
  <c r="AF33" i="120"/>
  <c r="AE42" i="120"/>
  <c r="AG48" i="120"/>
  <c r="E50" i="120" a="1"/>
  <c r="AE37" i="120"/>
  <c r="AE52" i="120"/>
  <c r="F49" i="120" a="1"/>
  <c r="E49" i="120" a="1"/>
  <c r="F43" i="120" a="1"/>
  <c r="AE48" i="120"/>
  <c r="AG38" i="120"/>
  <c r="AE49" i="120"/>
  <c r="E34" i="120" a="1"/>
  <c r="G41" i="120" a="1"/>
  <c r="G54" i="120" a="1"/>
  <c r="E53" i="120" a="1"/>
  <c r="G35" i="120" a="1"/>
  <c r="AG52" i="120"/>
  <c r="AF37" i="120"/>
  <c r="AF34" i="120"/>
  <c r="G57" i="120" a="1"/>
  <c r="E44" i="120" a="1"/>
  <c r="AG34" i="120"/>
  <c r="AE50" i="120"/>
  <c r="AG33" i="120"/>
  <c r="AF50" i="120"/>
  <c r="E42" i="120" a="1"/>
  <c r="AG42" i="120"/>
  <c r="E57" i="120" a="1"/>
  <c r="F35" i="120" a="1"/>
  <c r="AF57" i="120"/>
  <c r="AE32" i="120"/>
  <c r="AE43" i="120"/>
  <c r="AF55" i="120"/>
  <c r="G38" i="120" a="1"/>
  <c r="F48" i="120" a="1"/>
  <c r="F56" i="120" a="1"/>
  <c r="F54" i="120" a="1"/>
  <c r="E56" i="120" a="1"/>
  <c r="G48" i="120" a="1"/>
  <c r="AF42" i="120"/>
  <c r="AE35" i="120"/>
  <c r="AF41" i="120"/>
  <c r="AG41" i="120"/>
  <c r="AG57" i="120"/>
  <c r="G53" i="120" a="1"/>
  <c r="AE47" i="120"/>
  <c r="E35" i="120" a="1"/>
  <c r="G51" i="120" a="1"/>
  <c r="AE36" i="120"/>
  <c r="AG45" i="120"/>
  <c r="E55" i="120" a="1"/>
  <c r="F34" i="120" a="1"/>
  <c r="G55" i="120" a="1"/>
  <c r="AF47" i="120"/>
  <c r="F51" i="120" a="1"/>
  <c r="AE44" i="120"/>
  <c r="F38" i="120" a="1"/>
  <c r="AF40" i="120"/>
  <c r="G32" i="120" a="1"/>
  <c r="AG51" i="120"/>
  <c r="E45" i="120" a="1"/>
  <c r="G52" i="120" a="1"/>
  <c r="AG49" i="120"/>
  <c r="AF49" i="120"/>
  <c r="AE46" i="120"/>
  <c r="AG40" i="120"/>
  <c r="F53" i="120" a="1"/>
  <c r="F47" i="120" a="1"/>
  <c r="E54" i="120" a="1"/>
  <c r="F57" i="120" a="1"/>
  <c r="G42" i="120" a="1"/>
  <c r="AE41" i="120"/>
  <c r="G49" i="120" a="1"/>
  <c r="G44" i="120" a="1"/>
  <c r="AG50" i="120"/>
  <c r="F45" i="120" a="1"/>
  <c r="E51" i="120" a="1"/>
  <c r="F40" i="120" a="1"/>
  <c r="AG44" i="120"/>
  <c r="E52" i="120" a="1"/>
  <c r="AF46" i="120"/>
  <c r="F41" i="120" a="1"/>
  <c r="AE57" i="120"/>
  <c r="F42" i="120" a="1"/>
  <c r="G37" i="120" a="1"/>
  <c r="AG39" i="120"/>
  <c r="AG37" i="120"/>
  <c r="AG32" i="120"/>
  <c r="E38" i="120" a="1"/>
  <c r="AF51" i="120"/>
  <c r="G40" i="120" a="1"/>
  <c r="AF54" i="120"/>
  <c r="E43" i="120" a="1"/>
  <c r="AG46" i="120"/>
  <c r="E47" i="120" a="1"/>
  <c r="AF53" i="120"/>
  <c r="AF44" i="120"/>
  <c r="AF35" i="120"/>
  <c r="G50" i="120" a="1"/>
  <c r="AG43" i="120"/>
  <c r="AE39" i="120"/>
  <c r="AF48" i="120"/>
  <c r="F44" i="120" a="1"/>
  <c r="AG35" i="120"/>
  <c r="F39" i="120" a="1"/>
  <c r="E41" i="120" a="1"/>
  <c r="AG36" i="120"/>
  <c r="F33" i="120" a="1"/>
  <c r="G43" i="120" a="1"/>
  <c r="AE38" i="120"/>
  <c r="AE34" i="120"/>
  <c r="G47" i="120" a="1"/>
  <c r="AF36" i="120"/>
  <c r="AE33" i="120"/>
  <c r="AF56" i="120"/>
  <c r="AF43" i="120"/>
  <c r="G56" i="120" a="1"/>
  <c r="AF39" i="120"/>
  <c r="E39" i="120" a="1"/>
  <c r="AG53" i="120"/>
  <c r="AE53" i="120"/>
  <c r="F46" i="120" a="1"/>
  <c r="F36" i="120" a="1"/>
  <c r="F55" i="120" a="1"/>
  <c r="G33" i="120" a="1"/>
  <c r="E36" i="120" a="1"/>
  <c r="AF32" i="120"/>
  <c r="AE54" i="120"/>
  <c r="G34" i="120" a="1"/>
  <c r="AE45" i="120"/>
  <c r="G46" i="120" a="1"/>
  <c r="E40" i="120" a="1"/>
  <c r="AE40" i="120"/>
  <c r="G36" i="120" a="1"/>
  <c r="AE55" i="120"/>
  <c r="AF45" i="120"/>
  <c r="AE51" i="120"/>
  <c r="E48" i="120" a="1"/>
  <c r="AG47" i="120"/>
  <c r="AG55" i="120"/>
  <c r="AF38" i="120"/>
  <c r="G39" i="120" l="1"/>
  <c r="F33" i="120"/>
  <c r="E44" i="120"/>
  <c r="F42" i="120"/>
  <c r="E50" i="120"/>
  <c r="G49" i="120"/>
  <c r="E42" i="120"/>
  <c r="F57" i="120"/>
  <c r="F40" i="120"/>
  <c r="G45" i="120"/>
  <c r="E36" i="120"/>
  <c r="G51" i="120"/>
  <c r="E56" i="120"/>
  <c r="F54" i="120"/>
  <c r="F48" i="120"/>
  <c r="G57" i="120"/>
  <c r="G46" i="120"/>
  <c r="G34" i="120"/>
  <c r="F43" i="120"/>
  <c r="F34" i="120"/>
  <c r="E54" i="120"/>
  <c r="E39" i="120"/>
  <c r="G40" i="120"/>
  <c r="G52" i="120"/>
  <c r="G35" i="120"/>
  <c r="G43" i="120"/>
  <c r="G32" i="120"/>
  <c r="F38" i="120"/>
  <c r="F46" i="120"/>
  <c r="E43" i="120"/>
  <c r="E51" i="120"/>
  <c r="F35" i="120"/>
  <c r="E55" i="120"/>
  <c r="G50" i="120"/>
  <c r="E40" i="120"/>
  <c r="G36" i="120"/>
  <c r="E46" i="120"/>
  <c r="G37" i="120"/>
  <c r="G41" i="120"/>
  <c r="G38" i="120"/>
  <c r="F39" i="120"/>
  <c r="F44" i="120"/>
  <c r="F52" i="120"/>
  <c r="E49" i="120"/>
  <c r="E57" i="120"/>
  <c r="G44" i="120"/>
  <c r="F32" i="120"/>
  <c r="E35" i="120"/>
  <c r="F47" i="120"/>
  <c r="G47" i="120"/>
  <c r="F56" i="120"/>
  <c r="E34" i="120"/>
  <c r="F41" i="120"/>
  <c r="E52" i="120"/>
  <c r="G56" i="120"/>
  <c r="E32" i="120"/>
  <c r="F49" i="120"/>
  <c r="G53" i="120"/>
  <c r="F55" i="120"/>
  <c r="E41" i="120"/>
  <c r="E48" i="120"/>
  <c r="E45" i="120"/>
  <c r="F50" i="120"/>
  <c r="E33" i="120"/>
  <c r="E37" i="120"/>
  <c r="G42" i="120"/>
  <c r="G33" i="120"/>
  <c r="F53" i="120"/>
  <c r="F37" i="120"/>
  <c r="E47" i="120"/>
  <c r="E38" i="120"/>
  <c r="G48" i="120"/>
  <c r="F36" i="120"/>
  <c r="E53" i="120"/>
  <c r="G54" i="120"/>
  <c r="F45" i="120"/>
  <c r="F51" i="120"/>
  <c r="G55" i="120"/>
  <c r="W25" i="120"/>
  <c r="T38" i="120" a="1"/>
  <c r="T51" i="120" a="1"/>
  <c r="T41" i="120" a="1"/>
  <c r="T43" i="120" a="1"/>
  <c r="T53" i="120" a="1"/>
  <c r="T47" i="120" a="1"/>
  <c r="T52" i="120" a="1"/>
  <c r="T37" i="120" a="1"/>
  <c r="T55" i="120" a="1"/>
  <c r="T49" i="120" a="1"/>
  <c r="T50" i="120" a="1"/>
  <c r="T33" i="120" a="1"/>
  <c r="T54" i="120" a="1"/>
  <c r="T57" i="120" a="1"/>
  <c r="T45" i="120" a="1"/>
  <c r="T39" i="120" a="1"/>
  <c r="T42" i="120" a="1"/>
  <c r="T35" i="120" a="1"/>
  <c r="T46" i="120" a="1"/>
  <c r="T32" i="120" a="1"/>
  <c r="T56" i="120" a="1"/>
  <c r="T36" i="120" a="1"/>
  <c r="T48" i="120" a="1"/>
  <c r="T44" i="120" a="1"/>
  <c r="T34" i="120" a="1"/>
  <c r="T40" i="120" a="1"/>
  <c r="T41" i="120" l="1"/>
  <c r="T35" i="120"/>
  <c r="T47" i="120"/>
  <c r="T39" i="120"/>
  <c r="T38" i="120"/>
  <c r="T57" i="120"/>
  <c r="T55" i="120"/>
  <c r="T54" i="120"/>
  <c r="T32" i="120"/>
  <c r="T49" i="120"/>
  <c r="T51" i="120"/>
  <c r="T42" i="120"/>
  <c r="T40" i="120"/>
  <c r="T52" i="120"/>
  <c r="T43" i="120"/>
  <c r="T37" i="120"/>
  <c r="T50" i="120"/>
  <c r="T33" i="120"/>
  <c r="T34" i="120"/>
  <c r="T44" i="120"/>
  <c r="T36" i="120"/>
  <c r="T53" i="120"/>
  <c r="T45" i="120"/>
  <c r="T48" i="120"/>
  <c r="T46" i="120"/>
  <c r="T56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<sst xmlns="http://schemas.openxmlformats.org/spreadsheetml/2006/main" count="62" uniqueCount="53">
  <si>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</si>
  <si>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</si>
  <si>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</si>
  <si>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</si>
  <si>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</si>
  <si>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</si>
  <si>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</si>
  <si>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</si>
  <si>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</si>
  <si>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</si>
  <si>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</si>
  <si>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</si>
  <si>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</si>
  <si>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</si>
  <si>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</si>
  <si>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</si>
  <si>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</si>
  <si>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</si>
  <si>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</si>
  <si>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</si>
  <si>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</si>
  <si>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</si>
  <si>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</si>
  <si>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</si>
  <si>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</si>
  <si>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</si>
  <si>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</si>
  <si>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</si>
  <si>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</si>
  <si>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</si>
  <si>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</si>
  <si>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</si>
  <si>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</si>
  <si>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</si>
  <si>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</si>
  <si>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</si>
  <si>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</si>
  <si>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</si>
  <si>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</si>
  <si>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</si>
  <si>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</si>
  <si>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</si>
  <si>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</si>
  <si>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</si>
  <si>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</si>
  <si>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</si>
  <si>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</si>
  <si>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</si>
  <si>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</si>
  <si>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</si>
  <si>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</si>
  <si>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</si>
  <si>
    <t>РГУ ИРДН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</si>
</sst>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3.2327283366508218E-2</c:v>
                </c:pt>
                <c:pt idx="1">
                  <c:v>0.10544812396768768</c:v>
                </c:pt>
                <c:pt idx="2">
                  <c:v>0.18404061092605076</c:v>
                </c:pt>
                <c:pt idx="3">
                  <c:v>0.30642557453145791</c:v>
                </c:pt>
                <c:pt idx="4">
                  <c:v>0.46125736133695544</c:v>
                </c:pt>
                <c:pt idx="5">
                  <c:v>0.54905565859684113</c:v>
                </c:pt>
                <c:pt idx="6">
                  <c:v>0.5988206771578477</c:v>
                </c:pt>
                <c:pt idx="7">
                  <c:v>0.62404797368922582</c:v>
                </c:pt>
                <c:pt idx="8">
                  <c:v>0.63296992212083925</c:v>
                </c:pt>
                <c:pt idx="9">
                  <c:v>0.63143172214355725</c:v>
                </c:pt>
                <c:pt idx="10">
                  <c:v>0.62359645044603085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0.59141744429072807</c:v>
                </c:pt>
                <c:pt idx="12">
                  <c:v>0.5613993519054653</c:v>
                </c:pt>
                <c:pt idx="13">
                  <c:v>0.57721673365262405</c:v>
                </c:pt>
                <c:pt idx="14">
                  <c:v>0.59452880029267252</c:v>
                </c:pt>
                <c:pt idx="15">
                  <c:v>0.61321635775112326</c:v>
                </c:pt>
                <c:pt idx="16">
                  <c:v>0.63317437484679218</c:v>
                </c:pt>
                <c:pt idx="17">
                  <c:v>0.65430763705655981</c:v>
                </c:pt>
                <c:pt idx="18">
                  <c:v>0.67652760319829675</c:v>
                </c:pt>
                <c:pt idx="19">
                  <c:v>0.69975011625037176</c:v>
                </c:pt>
                <c:pt idx="20">
                  <c:v>0.72389373658113965</c:v>
                </c:pt>
                <c:pt idx="21">
                  <c:v>0.74887853932198056</c:v>
                </c:pt>
                <c:pt idx="22">
                  <c:v>0.77462526495312012</c:v>
                </c:pt>
                <c:pt idx="23">
                  <c:v>0.80105474337161542</c:v>
                </c:pt>
                <c:pt idx="24">
                  <c:v>0.82808753268648549</c:v>
                </c:pt>
                <c:pt idx="25">
                  <c:v>0.85564372834109736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encode_feed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feed_q_mix_rc_m3day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PVT_mu_oil_cP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PVT_mu_wat_cP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PVT_mu_gas_cP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="55" zoomScaleNormal="55" workbookViewId="0">
      <selection activeCell="F21" sqref="F21"/>
    </sheetView>
  </sheetViews>
  <sheetFormatPr defaultRowHeight="13.2" x14ac:dyDescent="0.25"/>
  <cols>
    <col min="2" max="2" width="13.44140625" customWidth="1"/>
    <col min="3" max="3" width="12.3320312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3.88671875" customWidth="1"/>
    <col min="11" max="11" width="11.33203125" customWidth="1"/>
    <col min="12" max="13" width="10.109375" customWidth="1"/>
    <col min="23" max="26" width="9.109375" customWidth="1"/>
    <col min="27" max="27" width="5.88671875" customWidth="1"/>
    <col min="28" max="28" width="9.109375" hidden="1" customWidth="1"/>
    <col min="29" max="33" width="9.109375" customWidth="1"/>
  </cols>
  <sheetData>
    <row r="1" spans="1:12" x14ac:dyDescent="0.25">
      <c r="A1" s="1" t="s">
        <v>16</v>
      </c>
      <c r="F1" t="s">
        <v>17</v>
      </c>
      <c r="G1" t="str">
        <f>[1]!unf_Version()</f>
        <v>7.31</v>
      </c>
      <c r="H1" t="s">
        <v>46</v>
      </c>
      <c r="I1" s="25">
        <v>44411</v>
      </c>
      <c r="J1" s="26"/>
      <c r="K1" s="26"/>
      <c r="L1" s="26"/>
    </row>
    <row r="2" spans="1:12" x14ac:dyDescent="0.25">
      <c r="A2" t="s">
        <v>12</v>
      </c>
      <c r="H2" t="s">
        <v>47</v>
      </c>
      <c r="I2" s="27">
        <v>7.31</v>
      </c>
      <c r="J2" s="26"/>
      <c r="K2" s="26"/>
      <c r="L2" s="26"/>
    </row>
    <row r="3" spans="1:12" ht="14.4" x14ac:dyDescent="0.3">
      <c r="A3" s="21" t="s">
        <v>38</v>
      </c>
      <c r="B3" s="32" t="s">
        <v>52</v>
      </c>
      <c r="C3" s="33"/>
      <c r="D3" s="33"/>
      <c r="E3" s="34"/>
      <c r="H3" t="s">
        <v>45</v>
      </c>
      <c r="I3" s="22" t="s">
        <v>52</v>
      </c>
      <c r="J3" s="22"/>
      <c r="K3" s="22"/>
      <c r="L3" s="22"/>
    </row>
    <row r="4" spans="1:12" ht="14.4" x14ac:dyDescent="0.3">
      <c r="A4" s="21" t="s">
        <v>39</v>
      </c>
      <c r="B4" s="32" t="s">
        <v>40</v>
      </c>
      <c r="C4" s="33"/>
      <c r="D4" s="33"/>
      <c r="E4" s="34"/>
      <c r="H4" t="s">
        <v>50</v>
      </c>
      <c r="I4" s="22" t="s">
        <v>40</v>
      </c>
      <c r="J4" s="22"/>
      <c r="K4" s="22"/>
      <c r="L4" s="22"/>
    </row>
    <row r="5" spans="1:12" ht="14.4" x14ac:dyDescent="0.3">
      <c r="A5" s="21" t="s">
        <v>41</v>
      </c>
      <c r="B5" s="32" t="s">
        <v>42</v>
      </c>
      <c r="C5" s="33"/>
      <c r="D5" s="33"/>
      <c r="E5" s="34"/>
      <c r="H5" t="s">
        <v>49</v>
      </c>
      <c r="I5" s="22" t="s">
        <v>42</v>
      </c>
      <c r="J5" s="22"/>
      <c r="K5" s="22"/>
      <c r="L5" s="22"/>
    </row>
    <row r="6" spans="1:12" x14ac:dyDescent="0.25">
      <c r="A6" s="29" t="s">
        <v>43</v>
      </c>
      <c r="B6" s="35" t="s">
        <v>44</v>
      </c>
      <c r="C6" s="36"/>
      <c r="D6" s="36"/>
      <c r="E6" s="37"/>
      <c r="H6" s="28" t="s">
        <v>48</v>
      </c>
      <c r="I6" s="23" t="s">
        <v>44</v>
      </c>
      <c r="J6" s="23"/>
      <c r="K6" s="23"/>
      <c r="L6" s="23"/>
    </row>
    <row r="7" spans="1:12" x14ac:dyDescent="0.25">
      <c r="A7" s="30"/>
      <c r="B7" s="38"/>
      <c r="C7" s="39"/>
      <c r="D7" s="39"/>
      <c r="E7" s="40"/>
      <c r="H7" s="28"/>
      <c r="I7" s="23"/>
      <c r="J7" s="23"/>
      <c r="K7" s="23"/>
      <c r="L7" s="23"/>
    </row>
    <row r="8" spans="1:12" x14ac:dyDescent="0.25">
      <c r="A8" s="31"/>
      <c r="B8" s="41"/>
      <c r="C8" s="42"/>
      <c r="D8" s="42"/>
      <c r="E8" s="43"/>
      <c r="H8" s="28"/>
      <c r="I8" s="23"/>
      <c r="J8" s="23"/>
      <c r="K8" s="23"/>
      <c r="L8" s="23"/>
    </row>
    <row r="9" spans="1:12" x14ac:dyDescent="0.25">
      <c r="H9" s="24"/>
      <c r="I9" s="24"/>
      <c r="J9" s="24"/>
      <c r="K9" s="24"/>
      <c r="L9" s="24"/>
    </row>
    <row r="10" spans="1:12" x14ac:dyDescent="0.25">
      <c r="A10" s="1" t="s">
        <v>1</v>
      </c>
    </row>
    <row r="11" spans="1:12" ht="16.8" x14ac:dyDescent="0.35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6.8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6.8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6.8" x14ac:dyDescent="0.35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6.8" x14ac:dyDescent="0.35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5.6" x14ac:dyDescent="0.35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5.6" x14ac:dyDescent="0.35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6.8" x14ac:dyDescent="0.35">
      <c r="B18" s="10" t="s">
        <v>26</v>
      </c>
      <c r="C18" s="2"/>
      <c r="D18" s="7" t="s">
        <v>18</v>
      </c>
    </row>
    <row r="19" spans="1:33" ht="15.6" x14ac:dyDescent="0.35">
      <c r="B19" s="11" t="s">
        <v>27</v>
      </c>
      <c r="C19" s="2"/>
      <c r="D19" s="4" t="s">
        <v>6</v>
      </c>
    </row>
    <row r="20" spans="1:33" x14ac:dyDescent="0.25">
      <c r="A20" s="1" t="s">
        <v>14</v>
      </c>
    </row>
    <row r="21" spans="1:33" ht="16.8" x14ac:dyDescent="0.35">
      <c r="B21" s="11" t="s">
        <v>28</v>
      </c>
      <c r="C21" s="2">
        <v>50</v>
      </c>
      <c r="D21" s="7" t="s">
        <v>29</v>
      </c>
    </row>
    <row r="22" spans="1:33" ht="15.6" x14ac:dyDescent="0.35">
      <c r="B22" s="11" t="s">
        <v>32</v>
      </c>
      <c r="C22" s="2">
        <v>0</v>
      </c>
      <c r="D22" s="4" t="s">
        <v>3</v>
      </c>
    </row>
    <row r="24" spans="1:33" x14ac:dyDescent="0.25">
      <c r="B24" s="15" t="s">
        <v>15</v>
      </c>
      <c r="C24" s="20" t="str" cm="1">
        <f t="array" ref="C24">[1]!encode_PVT(gamma_gas_,gamma_oil_,gamma_wat_,Rsb_,Pb_,Tres_,Bob_,muob_)</f>
        <v>{"gamma_gas":0.7,"gamma_oil":0.85,"gamma_wat":1.02,"rsb_m3m3":120,"t_res_C":0}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</row>
    <row r="25" spans="1:33" x14ac:dyDescent="0.25">
      <c r="B25" s="15" t="s">
        <v>51</v>
      </c>
      <c r="C25" s="20" t="str" cm="1">
        <f t="array" ref="C25">[1]!encode_feed(Q_,fw_,Rp_,,PVRstr1_)</f>
        <v>{"gamma_gas":0.7,"gamma_oil":0.85,"gamma_wat":1.02,"rsb_m3m3":120,"t_res_C":0,"q_liq_sm3day":50,"fw_perc":0,"rp_m3m3":100}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W25" cm="1">
        <f t="array" ref="W25">[1]!feed_q_mix_rc_m3day(B32,C32,feed)</f>
        <v>6079.9480449406001</v>
      </c>
    </row>
    <row r="30" spans="1:33" x14ac:dyDescent="0.25">
      <c r="R30" s="2">
        <v>0.25</v>
      </c>
      <c r="S30" s="2">
        <v>0.5</v>
      </c>
      <c r="T30" s="2">
        <v>0.75</v>
      </c>
      <c r="AE30" s="19">
        <f>betta_gas1_</f>
        <v>0.25</v>
      </c>
      <c r="AF30" s="19">
        <f>betta_gas2_</f>
        <v>0.5</v>
      </c>
      <c r="AG30" s="19">
        <f>betta_gas3_</f>
        <v>0.75</v>
      </c>
    </row>
    <row r="31" spans="1:33" ht="32.1" customHeight="1" x14ac:dyDescent="0.4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Q31" s="12" t="s">
        <v>13</v>
      </c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25">
      <c r="B32" s="18">
        <v>1</v>
      </c>
      <c r="C32" s="18">
        <v>80</v>
      </c>
      <c r="D32" s="19">
        <f t="shared" ref="D32" si="0">Q_</f>
        <v>50</v>
      </c>
      <c r="E32" s="16" cm="1">
        <f t="array" ref="E32">[1]!feed_q_mix_rc_m3day(B32,C32,feed)</f>
        <v>6079.9480449406001</v>
      </c>
      <c r="F32" s="17" cm="1">
        <f t="array" ref="F32">[1]!feed_gas_fraction_d(B32,C32,feed)</f>
        <v>0.99132187349661405</v>
      </c>
      <c r="G32" s="17" cm="1">
        <f t="array" ref="G32">[1]!feed_mu_mix_cP(B32,C32,feed)</f>
        <v>3.2327283366508218E-2</v>
      </c>
      <c r="H32" s="17" cm="1">
        <f t="array" ref="H32">[1]!PVT_mu_oil_cP(B32,C32,PVRstr1_)</f>
        <v>2.2869012992023503</v>
      </c>
      <c r="I32" s="17" cm="1">
        <f t="array" ref="I32">[1]!PVT_mu_wat_cP(B32,C32,PVRstr1_)</f>
        <v>0.38431976588553846</v>
      </c>
      <c r="J32" s="17" cm="1">
        <f t="array" ref="J32">[1]!PVT_mu_gas_cP(B32,C32,PVRstr1_)</f>
        <v>1.2590526775373494E-2</v>
      </c>
      <c r="Q32" s="18">
        <v>10</v>
      </c>
      <c r="R32" s="16" cm="1">
        <f t="array" ref="R32">[1]!feed_p_gas_fraction_atma(betta_gas1_,C32,[1]!encode_feed(Q_,fw_,Q32,,PVRstr1_))</f>
        <v>15.069580078125</v>
      </c>
      <c r="S32" s="16" cm="1">
        <f t="array" ref="S32">[1]!feed_p_gas_fraction_atma(betta_gas2_,D32,[1]!encode_feed(Q_,fw_,Q32,,PVRstr1_))</f>
        <v>7.64007568359375</v>
      </c>
      <c r="T32" s="16" cm="1">
        <f t="array" ref="T32">[1]!feed_p_gas_fraction_atma(betta_gas3_,E32,[1]!encode_feed(Q_,fw_,Q32,,PVRstr1_))</f>
        <v>6.23016357421875</v>
      </c>
      <c r="AE32" s="16">
        <f>[1]!feed_rp_gas_fraction_m3m3(betta_gas1_,B32,C32,feed)</f>
        <v>0.499725341796875</v>
      </c>
      <c r="AF32" s="16">
        <f>[1]!feed_rp_gas_fraction_m3m3(betta_gas2_,B32,C32,feed)</f>
        <v>1.0824203491210938</v>
      </c>
      <c r="AG32" s="16">
        <f>[1]!feed_rp_gas_fraction_m3m3(betta_gas3_,B32,C32,feed)</f>
        <v>2.83050537109375</v>
      </c>
    </row>
    <row r="33" spans="2:33" x14ac:dyDescent="0.25">
      <c r="B33" s="18">
        <v>5</v>
      </c>
      <c r="C33" s="18">
        <v>80</v>
      </c>
      <c r="D33" s="19">
        <f t="shared" ref="D33" si="1">Q_</f>
        <v>50</v>
      </c>
      <c r="E33" s="16" cm="1">
        <f t="array" ref="E33">[1]!feed_q_mix_rc_m3day(B33,C33,feed)</f>
        <v>1236.5748842422799</v>
      </c>
      <c r="F33" s="17" cm="1">
        <f t="array" ref="F33">[1]!feed_gas_fraction_d(B33,C33,feed)</f>
        <v>0.95721795021548728</v>
      </c>
      <c r="G33" s="17" cm="1">
        <f t="array" ref="G33">[1]!feed_mu_mix_cP(B33,C33,feed)</f>
        <v>0.10544812396768768</v>
      </c>
      <c r="H33" s="17" cm="1">
        <f t="array" ref="H33">[1]!PVT_mu_oil_cP(B33,C33,PVRstr1_)</f>
        <v>2.1821863848814078</v>
      </c>
      <c r="I33" s="17" cm="1">
        <f t="array" ref="I33">[1]!PVT_mu_wat_cP(B33,C33,PVRstr1_)</f>
        <v>0.38523631006758674</v>
      </c>
      <c r="J33" s="17" cm="1">
        <f t="array" ref="J33">[1]!PVT_mu_gas_cP(B33,C33,PVRstr1_)</f>
        <v>1.2630057144126723E-2</v>
      </c>
      <c r="Q33" s="18">
        <v>50</v>
      </c>
      <c r="R33" s="16" cm="1">
        <f t="array" ref="R33">[1]!feed_p_gas_fraction_atma(betta_gas1_,C33,[1]!encode_feed(Q_,fw_,Q33,,PVRstr1_))</f>
        <v>60.662841796875</v>
      </c>
      <c r="S33" s="16" cm="1">
        <f t="array" ref="S33">[1]!feed_p_gas_fraction_atma(betta_gas2_,D33,[1]!encode_feed(Q_,fw_,Q33,,PVRstr1_))</f>
        <v>32.940673828125</v>
      </c>
      <c r="T33" s="16" cm="1">
        <f t="array" ref="T33">[1]!feed_p_gas_fraction_atma(betta_gas3_,E33,[1]!encode_feed(Q_,fw_,Q33,,PVRstr1_))</f>
        <v>32.84912109375</v>
      </c>
      <c r="AE33" s="16">
        <f>[1]!feed_rp_gas_fraction_m3m3(betta_gas1_,B33,C33,feed)</f>
        <v>2.9172897338867188</v>
      </c>
      <c r="AF33" s="16">
        <f>[1]!feed_rp_gas_fraction_m3m3(betta_gas2_,B33,C33,feed)</f>
        <v>5.8536529541015625</v>
      </c>
      <c r="AG33" s="16">
        <f>[1]!feed_rp_gas_fraction_m3m3(betta_gas3_,B33,C33,feed)</f>
        <v>14.6636962890625</v>
      </c>
    </row>
    <row r="34" spans="2:33" x14ac:dyDescent="0.25">
      <c r="B34" s="18">
        <v>10</v>
      </c>
      <c r="C34" s="18">
        <v>80</v>
      </c>
      <c r="D34" s="19">
        <f t="shared" ref="D34" si="2">Q_</f>
        <v>50</v>
      </c>
      <c r="E34" s="16" cm="1">
        <f t="array" ref="E34">[1]!feed_q_mix_rc_m3day(B34,C34,feed)</f>
        <v>629.35920550244941</v>
      </c>
      <c r="F34" s="17" cm="1">
        <f t="array" ref="F34">[1]!feed_gas_fraction_d(B34,C34,feed)</f>
        <v>0.91559866672297929</v>
      </c>
      <c r="G34" s="17" cm="1">
        <f t="array" ref="G34">[1]!feed_mu_mix_cP(B34,C34,feed)</f>
        <v>0.18404061092605076</v>
      </c>
      <c r="H34" s="17" cm="1">
        <f t="array" ref="H34">[1]!PVT_mu_oil_cP(B34,C34,PVRstr1_)</f>
        <v>2.0428067697215204</v>
      </c>
      <c r="I34" s="17" cm="1">
        <f t="array" ref="I34">[1]!PVT_mu_wat_cP(B34,C34,PVRstr1_)</f>
        <v>0.38639359266114098</v>
      </c>
      <c r="J34" s="17" cm="1">
        <f t="array" ref="J34">[1]!PVT_mu_gas_cP(B34,C34,PVRstr1_)</f>
        <v>1.2696606446400435E-2</v>
      </c>
      <c r="Q34" s="18">
        <v>100</v>
      </c>
      <c r="R34" s="16" cm="1">
        <f t="array" ref="R34">[1]!feed_p_gas_fraction_atma(betta_gas1_,C34,[1]!encode_feed(Q_,fw_,Q34,,PVRstr1_))</f>
        <v>107.4462890625</v>
      </c>
      <c r="S34" s="16" cm="1">
        <f t="array" ref="S34">[1]!feed_p_gas_fraction_atma(betta_gas2_,D34,[1]!encode_feed(Q_,fw_,Q34,,PVRstr1_))</f>
        <v>59.088134765625</v>
      </c>
      <c r="T34" s="16" cm="1">
        <f t="array" ref="T34">[1]!feed_p_gas_fraction_atma(betta_gas3_,E34,[1]!encode_feed(Q_,fw_,Q34,,PVRstr1_))</f>
        <v>58.2275390625</v>
      </c>
      <c r="AE34" s="16">
        <f>[1]!feed_rp_gas_fraction_m3m3(betta_gas1_,B34,C34,feed)</f>
        <v>6.30950927734375</v>
      </c>
      <c r="AF34" s="16">
        <f>[1]!feed_rp_gas_fraction_m3m3(betta_gas2_,B34,C34,feed)</f>
        <v>12.24517822265625</v>
      </c>
      <c r="AG34" s="16">
        <f>[1]!feed_rp_gas_fraction_m3m3(betta_gas3_,B34,C34,feed)</f>
        <v>30.059814453125</v>
      </c>
    </row>
    <row r="35" spans="2:33" x14ac:dyDescent="0.25">
      <c r="B35" s="18">
        <v>20</v>
      </c>
      <c r="C35" s="18">
        <v>80</v>
      </c>
      <c r="D35" s="19">
        <f t="shared" ref="D35" si="3">Q_</f>
        <v>50</v>
      </c>
      <c r="E35" s="16" cm="1">
        <f t="array" ref="E35">[1]!feed_q_mix_rc_m3day(B35,C35,feed)</f>
        <v>324.5618108133803</v>
      </c>
      <c r="F35" s="17" cm="1">
        <f t="array" ref="F35">[1]!feed_gas_fraction_d(B35,C35,feed)</f>
        <v>0.83478919353630976</v>
      </c>
      <c r="G35" s="17" cm="1">
        <f t="array" ref="G35">[1]!feed_mu_mix_cP(B35,C35,feed)</f>
        <v>0.30642557453145791</v>
      </c>
      <c r="H35" s="17" cm="1">
        <f t="array" ref="H35">[1]!PVT_mu_oil_cP(B35,C35,PVRstr1_)</f>
        <v>1.7897485366788621</v>
      </c>
      <c r="I35" s="17" cm="1">
        <f t="array" ref="I35">[1]!PVT_mu_wat_cP(B35,C35,PVRstr1_)</f>
        <v>0.38874683240156249</v>
      </c>
      <c r="J35" s="17" cm="1">
        <f t="array" ref="J35">[1]!PVT_mu_gas_cP(B35,C35,PVRstr1_)</f>
        <v>1.286525448902627E-2</v>
      </c>
      <c r="Q35" s="18">
        <v>150</v>
      </c>
      <c r="R35" s="16" cm="1">
        <f t="array" ref="R35">[1]!feed_p_gas_fraction_atma(betta_gas1_,C35,[1]!encode_feed(Q_,fw_,Q35,,PVRstr1_))</f>
        <v>149.6337890625</v>
      </c>
      <c r="S35" s="16" cm="1">
        <f t="array" ref="S35">[1]!feed_p_gas_fraction_atma(betta_gas2_,D35,[1]!encode_feed(Q_,fw_,Q35,,PVRstr1_))</f>
        <v>81.62841796875</v>
      </c>
      <c r="T35" s="16" cm="1">
        <f t="array" ref="T35">[1]!feed_p_gas_fraction_atma(betta_gas3_,E35,[1]!encode_feed(Q_,fw_,Q35,,PVRstr1_))</f>
        <v>68.994140625</v>
      </c>
      <c r="AE35" s="16">
        <f>[1]!feed_rp_gas_fraction_m3m3(betta_gas1_,B35,C35,feed)</f>
        <v>13.7786865234375</v>
      </c>
      <c r="AF35" s="16">
        <f>[1]!feed_rp_gas_fraction_m3m3(betta_gas2_,B35,C35,feed)</f>
        <v>25.9552001953125</v>
      </c>
      <c r="AG35" s="16">
        <f>[1]!feed_rp_gas_fraction_m3m3(betta_gas3_,B35,C35,feed)</f>
        <v>62.5</v>
      </c>
    </row>
    <row r="36" spans="2:33" x14ac:dyDescent="0.25">
      <c r="B36" s="18">
        <v>40</v>
      </c>
      <c r="C36" s="18">
        <v>80</v>
      </c>
      <c r="D36" s="19">
        <f t="shared" ref="D36" si="4">Q_</f>
        <v>50</v>
      </c>
      <c r="E36" s="16" cm="1">
        <f t="array" ref="E36">[1]!feed_q_mix_rc_m3day(B36,C36,feed)</f>
        <v>171.61286716226454</v>
      </c>
      <c r="F36" s="17" cm="1">
        <f t="array" ref="F36">[1]!feed_gas_fraction_d(B36,C36,feed)</f>
        <v>0.680638240732377</v>
      </c>
      <c r="G36" s="17" cm="1">
        <f t="array" ref="G36">[1]!feed_mu_mix_cP(B36,C36,feed)</f>
        <v>0.46125736133695544</v>
      </c>
      <c r="H36" s="17" cm="1">
        <f t="array" ref="H36">[1]!PVT_mu_oil_cP(B36,C36,PVRstr1_)</f>
        <v>1.415937550724311</v>
      </c>
      <c r="I36" s="17" cm="1">
        <f t="array" ref="I36">[1]!PVT_mu_wat_cP(B36,C36,PVRstr1_)</f>
        <v>0.39360801009565766</v>
      </c>
      <c r="J36" s="17" cm="1">
        <f t="array" ref="J36">[1]!PVT_mu_gas_cP(B36,C36,PVRstr1_)</f>
        <v>1.3312584545353279E-2</v>
      </c>
      <c r="Q36" s="18">
        <v>200</v>
      </c>
      <c r="R36" s="16" cm="1">
        <f t="array" ref="R36">[1]!feed_p_gas_fraction_atma(betta_gas1_,C36,[1]!encode_feed(Q_,fw_,Q36,,PVRstr1_))</f>
        <v>189.990234375</v>
      </c>
      <c r="S36" s="16" cm="1">
        <f t="array" ref="S36">[1]!feed_p_gas_fraction_atma(betta_gas2_,D36,[1]!encode_feed(Q_,fw_,Q36,,PVRstr1_))</f>
        <v>102.099609375</v>
      </c>
      <c r="T36" s="16" cm="1">
        <f t="array" ref="T36">[1]!feed_p_gas_fraction_atma(betta_gas3_,E36,[1]!encode_feed(Q_,fw_,Q36,,PVRstr1_))</f>
        <v>70.9716796875</v>
      </c>
      <c r="AE36" s="16">
        <f>[1]!feed_rp_gas_fraction_m3m3(betta_gas1_,B36,C36,feed)</f>
        <v>30.58624267578125</v>
      </c>
      <c r="AF36" s="16">
        <f>[1]!feed_rp_gas_fraction_m3m3(betta_gas2_,B36,C36,feed)</f>
        <v>56.33544921875</v>
      </c>
      <c r="AG36" s="16">
        <f>[1]!feed_rp_gas_fraction_m3m3(betta_gas3_,B36,C36,feed)</f>
        <v>133.544921875</v>
      </c>
    </row>
    <row r="37" spans="2:33" x14ac:dyDescent="0.25">
      <c r="B37" s="18">
        <v>60</v>
      </c>
      <c r="C37" s="18">
        <v>80</v>
      </c>
      <c r="D37" s="19">
        <f t="shared" ref="D37" si="5">Q_</f>
        <v>50</v>
      </c>
      <c r="E37" s="16" cm="1">
        <f t="array" ref="E37">[1]!feed_q_mix_rc_m3day(B37,C37,feed)</f>
        <v>121.20488158792509</v>
      </c>
      <c r="F37" s="17" cm="1">
        <f t="array" ref="F37">[1]!feed_gas_fraction_d(B37,C37,feed)</f>
        <v>0.53660547311790074</v>
      </c>
      <c r="G37" s="17" cm="1">
        <f t="array" ref="G37">[1]!feed_mu_mix_cP(B37,C37,feed)</f>
        <v>0.54905565859684113</v>
      </c>
      <c r="H37" s="17" cm="1">
        <f t="array" ref="H37">[1]!PVT_mu_oil_cP(B37,C37,PVRstr1_)</f>
        <v>1.1687640030116788</v>
      </c>
      <c r="I37" s="17" cm="1">
        <f t="array" ref="I37">[1]!PVT_mu_wat_cP(B37,C37,PVRstr1_)</f>
        <v>0.39867545207408905</v>
      </c>
      <c r="J37" s="17" cm="1">
        <f t="array" ref="J37">[1]!PVT_mu_gas_cP(B37,C37,PVRstr1_)</f>
        <v>1.3896273441060203E-2</v>
      </c>
      <c r="Q37" s="18">
        <v>250</v>
      </c>
      <c r="R37" s="16" cm="1">
        <f t="array" ref="R37">[1]!feed_p_gas_fraction_atma(betta_gas1_,C37,[1]!encode_feed(Q_,fw_,Q37,,PVRstr1_))</f>
        <v>300</v>
      </c>
      <c r="S37" s="16" cm="1">
        <f t="array" ref="S37">[1]!feed_p_gas_fraction_atma(betta_gas2_,D37,[1]!encode_feed(Q_,fw_,Q37,,PVRstr1_))</f>
        <v>121.5087890625</v>
      </c>
      <c r="T37" s="16" cm="1">
        <f t="array" ref="T37">[1]!feed_p_gas_fraction_atma(betta_gas3_,E37,[1]!encode_feed(Q_,fw_,Q37,,PVRstr1_))</f>
        <v>76.9775390625</v>
      </c>
      <c r="AE37" s="16">
        <f>[1]!feed_rp_gas_fraction_m3m3(betta_gas1_,B37,C37,feed)</f>
        <v>49.346923828125</v>
      </c>
      <c r="AF37" s="16">
        <f>[1]!feed_rp_gas_fraction_m3m3(betta_gas2_,B37,C37,feed)</f>
        <v>90.27099609375</v>
      </c>
      <c r="AG37" s="16">
        <f>[1]!feed_rp_gas_fraction_m3m3(betta_gas3_,B37,C37,feed)</f>
        <v>213.134765625</v>
      </c>
    </row>
    <row r="38" spans="2:33" x14ac:dyDescent="0.25">
      <c r="B38" s="18">
        <v>80</v>
      </c>
      <c r="C38" s="18">
        <v>80</v>
      </c>
      <c r="D38" s="19">
        <f t="shared" ref="D38" si="6">Q_</f>
        <v>50</v>
      </c>
      <c r="E38" s="16" cm="1">
        <f t="array" ref="E38">[1]!feed_q_mix_rc_m3day(B38,C38,feed)</f>
        <v>96.968833634422225</v>
      </c>
      <c r="F38" s="17" cm="1">
        <f t="array" ref="F38">[1]!feed_gas_fraction_d(B38,C38,feed)</f>
        <v>0.40533820910655183</v>
      </c>
      <c r="G38" s="17" cm="1">
        <f t="array" ref="G38">[1]!feed_mu_mix_cP(B38,C38,feed)</f>
        <v>0.5988206771578477</v>
      </c>
      <c r="H38" s="17" cm="1">
        <f t="array" ref="H38">[1]!PVT_mu_oil_cP(B38,C38,PVRstr1_)</f>
        <v>0.99703020011378241</v>
      </c>
      <c r="I38" s="17" cm="1">
        <f t="array" ref="I38">[1]!PVT_mu_wat_cP(B38,C38,PVRstr1_)</f>
        <v>0.40394915833685668</v>
      </c>
      <c r="J38" s="17" cm="1">
        <f t="array" ref="J38">[1]!PVT_mu_gas_cP(B38,C38,PVRstr1_)</f>
        <v>1.4617207680451744E-2</v>
      </c>
      <c r="Q38" s="18">
        <v>300</v>
      </c>
      <c r="R38" s="16" cm="1">
        <f t="array" ref="R38">[1]!feed_p_gas_fraction_atma(betta_gas1_,C38,[1]!encode_feed(Q_,fw_,Q38,,PVRstr1_))</f>
        <v>300</v>
      </c>
      <c r="S38" s="16" cm="1">
        <f t="array" ref="S38">[1]!feed_p_gas_fraction_atma(betta_gas2_,D38,[1]!encode_feed(Q_,fw_,Q38,,PVRstr1_))</f>
        <v>140.33203125</v>
      </c>
      <c r="T38" s="16" cm="1">
        <f t="array" ref="T38">[1]!feed_p_gas_fraction_atma(betta_gas3_,E38,[1]!encode_feed(Q_,fw_,Q38,,PVRstr1_))</f>
        <v>84.0087890625</v>
      </c>
      <c r="AE38" s="16">
        <f>[1]!feed_rp_gas_fraction_m3m3(betta_gas1_,B38,C38,feed)</f>
        <v>69.76318359375</v>
      </c>
      <c r="AF38" s="16">
        <f>[1]!feed_rp_gas_fraction_m3m3(betta_gas2_,B38,C38,feed)</f>
        <v>127.62451171875</v>
      </c>
      <c r="AG38" s="16">
        <f>[1]!feed_rp_gas_fraction_m3m3(betta_gas3_,B38,C38,feed)</f>
        <v>301.26953125</v>
      </c>
    </row>
    <row r="39" spans="2:33" x14ac:dyDescent="0.25">
      <c r="B39" s="18">
        <v>100</v>
      </c>
      <c r="C39" s="18">
        <v>80</v>
      </c>
      <c r="D39" s="19">
        <f t="shared" ref="D39" si="7">Q_</f>
        <v>50</v>
      </c>
      <c r="E39" s="16" cm="1">
        <f t="array" ref="E39">[1]!feed_q_mix_rc_m3day(B39,C39,feed)</f>
        <v>83.402270421714761</v>
      </c>
      <c r="F39" s="17" cm="1">
        <f t="array" ref="F39">[1]!feed_gas_fraction_d(B39,C39,feed)</f>
        <v>0.28920737725897322</v>
      </c>
      <c r="G39" s="17" cm="1">
        <f t="array" ref="G39">[1]!feed_mu_mix_cP(B39,C39,feed)</f>
        <v>0.62404797368922582</v>
      </c>
      <c r="H39" s="17" cm="1">
        <f t="array" ref="H39">[1]!PVT_mu_oil_cP(B39,C39,PVRstr1_)</f>
        <v>0.8716658441440952</v>
      </c>
      <c r="I39" s="17" cm="1">
        <f t="array" ref="I39">[1]!PVT_mu_wat_cP(B39,C39,PVRstr1_)</f>
        <v>0.40942912888396055</v>
      </c>
      <c r="J39" s="17" cm="1">
        <f t="array" ref="J39">[1]!PVT_mu_gas_cP(B39,C39,PVRstr1_)</f>
        <v>1.5470982167466613E-2</v>
      </c>
      <c r="Q39" s="18">
        <v>350</v>
      </c>
      <c r="R39" s="16" cm="1">
        <f t="array" ref="R39">[1]!feed_p_gas_fraction_atma(betta_gas1_,C39,[1]!encode_feed(Q_,fw_,Q39,,PVRstr1_))</f>
        <v>300</v>
      </c>
      <c r="S39" s="16" cm="1">
        <f t="array" ref="S39">[1]!feed_p_gas_fraction_atma(betta_gas2_,D39,[1]!encode_feed(Q_,fw_,Q39,,PVRstr1_))</f>
        <v>159.08203125</v>
      </c>
      <c r="T39" s="16" cm="1">
        <f t="array" ref="T39">[1]!feed_p_gas_fraction_atma(betta_gas3_,E39,[1]!encode_feed(Q_,fw_,Q39,,PVRstr1_))</f>
        <v>91.40625</v>
      </c>
      <c r="AE39" s="16">
        <f>[1]!feed_rp_gas_fraction_m3m3(betta_gas1_,B39,C39,feed)</f>
        <v>91.583251953125</v>
      </c>
      <c r="AF39" s="16">
        <f>[1]!feed_rp_gas_fraction_m3m3(betta_gas2_,B39,C39,feed)</f>
        <v>167.96875</v>
      </c>
      <c r="AG39" s="16">
        <f>[1]!feed_rp_gas_fraction_m3m3(betta_gas3_,B39,C39,feed)</f>
        <v>396.97265625</v>
      </c>
    </row>
    <row r="40" spans="2:33" x14ac:dyDescent="0.25">
      <c r="B40" s="18">
        <v>120</v>
      </c>
      <c r="C40" s="18">
        <v>80</v>
      </c>
      <c r="D40" s="19">
        <f t="shared" ref="D40" si="8">Q_</f>
        <v>50</v>
      </c>
      <c r="E40" s="16" cm="1">
        <f t="array" ref="E40">[1]!feed_q_mix_rc_m3day(B40,C40,feed)</f>
        <v>75.196124131450659</v>
      </c>
      <c r="F40" s="17" cm="1">
        <f t="array" ref="F40">[1]!feed_gas_fraction_d(B40,C40,feed)</f>
        <v>0.18868991805046276</v>
      </c>
      <c r="G40" s="17" cm="1">
        <f t="array" ref="G40">[1]!feed_mu_mix_cP(B40,C40,feed)</f>
        <v>0.63296992212083925</v>
      </c>
      <c r="H40" s="17" cm="1">
        <f t="array" ref="H40">[1]!PVT_mu_oil_cP(B40,C40,PVRstr1_)</f>
        <v>0.77635847558080051</v>
      </c>
      <c r="I40" s="17" cm="1">
        <f t="array" ref="I40">[1]!PVT_mu_wat_cP(B40,C40,PVRstr1_)</f>
        <v>0.41511536371540059</v>
      </c>
      <c r="J40" s="17" cm="1">
        <f t="array" ref="J40">[1]!PVT_mu_gas_cP(B40,C40,PVRstr1_)</f>
        <v>1.6442127418447684E-2</v>
      </c>
      <c r="Q40" s="18">
        <v>400</v>
      </c>
      <c r="R40" s="16" cm="1">
        <f t="array" ref="R40">[1]!feed_p_gas_fraction_atma(betta_gas1_,C40,[1]!encode_feed(Q_,fw_,Q40,,PVRstr1_))</f>
        <v>300</v>
      </c>
      <c r="S40" s="16" cm="1">
        <f t="array" ref="S40">[1]!feed_p_gas_fraction_atma(betta_gas2_,D40,[1]!encode_feed(Q_,fw_,Q40,,PVRstr1_))</f>
        <v>180.908203125</v>
      </c>
      <c r="T40" s="16" cm="1">
        <f t="array" ref="T40">[1]!feed_p_gas_fraction_atma(betta_gas3_,E40,[1]!encode_feed(Q_,fw_,Q40,,PVRstr1_))</f>
        <v>98.876953125</v>
      </c>
      <c r="AE40" s="16">
        <f>[1]!feed_rp_gas_fraction_m3m3(betta_gas1_,B40,C40,feed)</f>
        <v>114.501953125</v>
      </c>
      <c r="AF40" s="16">
        <f>[1]!feed_rp_gas_fraction_m3m3(betta_gas2_,B40,C40,feed)</f>
        <v>210.5712890625</v>
      </c>
      <c r="AG40" s="16">
        <f>[1]!feed_rp_gas_fraction_m3m3(betta_gas3_,B40,C40,feed)</f>
        <v>498.53515625</v>
      </c>
    </row>
    <row r="41" spans="2:33" x14ac:dyDescent="0.25">
      <c r="B41" s="18">
        <v>140</v>
      </c>
      <c r="C41" s="18">
        <v>80</v>
      </c>
      <c r="D41" s="19">
        <f t="shared" ref="D41" si="9">Q_</f>
        <v>50</v>
      </c>
      <c r="E41" s="16" cm="1">
        <f t="array" ref="E41">[1]!feed_q_mix_rc_m3day(B41,C41,feed)</f>
        <v>70.002787349720805</v>
      </c>
      <c r="F41" s="17" cm="1">
        <f t="array" ref="F41">[1]!feed_gas_fraction_d(B41,C41,feed)</f>
        <v>0.10244357806010677</v>
      </c>
      <c r="G41" s="17" cm="1">
        <f t="array" ref="G41">[1]!feed_mu_mix_cP(B41,C41,feed)</f>
        <v>0.63143172214355725</v>
      </c>
      <c r="H41" s="17" cm="1">
        <f t="array" ref="H41">[1]!PVT_mu_oil_cP(B41,C41,PVRstr1_)</f>
        <v>0.70150277263518479</v>
      </c>
      <c r="I41" s="17" cm="1">
        <f t="array" ref="I41">[1]!PVT_mu_wat_cP(B41,C41,PVRstr1_)</f>
        <v>0.42100786283117692</v>
      </c>
      <c r="J41" s="17" cm="1">
        <f t="array" ref="J41">[1]!PVT_mu_gas_cP(B41,C41,PVRstr1_)</f>
        <v>1.750625651862877E-2</v>
      </c>
      <c r="Q41" s="18">
        <v>450</v>
      </c>
      <c r="R41" s="16" cm="1">
        <f t="array" ref="R41">[1]!feed_p_gas_fraction_atma(betta_gas1_,C41,[1]!encode_feed(Q_,fw_,Q41,,PVRstr1_))</f>
        <v>300</v>
      </c>
      <c r="S41" s="16" cm="1">
        <f t="array" ref="S41">[1]!feed_p_gas_fraction_atma(betta_gas2_,D41,[1]!encode_feed(Q_,fw_,Q41,,PVRstr1_))</f>
        <v>225.5859375</v>
      </c>
      <c r="T41" s="16" cm="1">
        <f t="array" ref="T41">[1]!feed_p_gas_fraction_atma(betta_gas3_,E41,[1]!encode_feed(Q_,fw_,Q41,,PVRstr1_))</f>
        <v>106.494140625</v>
      </c>
      <c r="AE41" s="16">
        <f>[1]!feed_rp_gas_fraction_m3m3(betta_gas1_,B41,C41,feed)</f>
        <v>138.3056640625</v>
      </c>
      <c r="AF41" s="16">
        <f>[1]!feed_rp_gas_fraction_m3m3(betta_gas2_,B41,C41,feed)</f>
        <v>254.7607421875</v>
      </c>
      <c r="AG41" s="16">
        <f>[1]!feed_rp_gas_fraction_m3m3(betta_gas3_,B41,C41,feed)</f>
        <v>500</v>
      </c>
    </row>
    <row r="42" spans="2:33" x14ac:dyDescent="0.25">
      <c r="B42" s="18">
        <v>160</v>
      </c>
      <c r="C42" s="18">
        <v>80</v>
      </c>
      <c r="D42" s="19">
        <f t="shared" ref="D42" si="10">Q_</f>
        <v>50</v>
      </c>
      <c r="E42" s="16" cm="1">
        <f t="array" ref="E42">[1]!feed_q_mix_rc_m3day(B42,C42,feed)</f>
        <v>66.624840679084699</v>
      </c>
      <c r="F42" s="17" cm="1">
        <f t="array" ref="F42">[1]!feed_gas_fraction_d(B42,C42,feed)</f>
        <v>2.8188538912020347E-2</v>
      </c>
      <c r="G42" s="17" cm="1">
        <f t="array" ref="G42">[1]!feed_mu_mix_cP(B42,C42,feed)</f>
        <v>0.62359645044603085</v>
      </c>
      <c r="H42" s="17" cm="1">
        <f t="array" ref="H42">[1]!PVT_mu_oil_cP(B42,C42,PVRstr1_)</f>
        <v>0.64114405783030881</v>
      </c>
      <c r="I42" s="17" cm="1">
        <f t="array" ref="I42">[1]!PVT_mu_wat_cP(B42,C42,PVRstr1_)</f>
        <v>0.42710662623128942</v>
      </c>
      <c r="J42" s="17" cm="1">
        <f t="array" ref="J42">[1]!PVT_mu_gas_cP(B42,C42,PVRstr1_)</f>
        <v>1.8635475918841078E-2</v>
      </c>
      <c r="Q42" s="18">
        <v>500</v>
      </c>
      <c r="R42" s="16" cm="1">
        <f t="array" ref="R42">[1]!feed_p_gas_fraction_atma(betta_gas1_,C42,[1]!encode_feed(Q_,fw_,Q42,,PVRstr1_))</f>
        <v>300</v>
      </c>
      <c r="S42" s="16" cm="1">
        <f t="array" ref="S42">[1]!feed_p_gas_fraction_atma(betta_gas2_,D42,[1]!encode_feed(Q_,fw_,Q42,,PVRstr1_))</f>
        <v>285.05859375</v>
      </c>
      <c r="T42" s="16" cm="1">
        <f t="array" ref="T42">[1]!feed_p_gas_fraction_atma(betta_gas3_,E42,[1]!encode_feed(Q_,fw_,Q42,,PVRstr1_))</f>
        <v>114.111328125</v>
      </c>
      <c r="AE42" s="16">
        <f>[1]!feed_rp_gas_fraction_m3m3(betta_gas1_,B42,C42,feed)</f>
        <v>162.65869140625</v>
      </c>
      <c r="AF42" s="16">
        <f>[1]!feed_rp_gas_fraction_m3m3(betta_gas2_,B42,C42,feed)</f>
        <v>299.9267578125</v>
      </c>
      <c r="AG42" s="16">
        <f>[1]!feed_rp_gas_fraction_m3m3(betta_gas3_,B42,C42,feed)</f>
        <v>500</v>
      </c>
    </row>
    <row r="43" spans="2:33" x14ac:dyDescent="0.25">
      <c r="B43" s="18">
        <v>180</v>
      </c>
      <c r="C43" s="18">
        <v>80</v>
      </c>
      <c r="D43" s="19">
        <f t="shared" ref="D43" si="11">Q_</f>
        <v>50</v>
      </c>
      <c r="E43" s="16" cm="1">
        <f t="array" ref="E43">[1]!feed_q_mix_rc_m3day(B43,C43,feed)</f>
        <v>65.39686202133224</v>
      </c>
      <c r="F43" s="17" cm="1">
        <f t="array" ref="F43">[1]!feed_gas_fraction_d(B43,C43,feed)</f>
        <v>0</v>
      </c>
      <c r="G43" s="17" cm="1">
        <f t="array" ref="G43">[1]!feed_mu_mix_cP(B43,C43,feed)</f>
        <v>0.62973571803364115</v>
      </c>
      <c r="H43" s="17" cm="1">
        <f t="array" ref="H43">[1]!PVT_mu_oil_cP(B43,C43,PVRstr1_)</f>
        <v>0.59141744429072807</v>
      </c>
      <c r="I43" s="17" cm="1">
        <f t="array" ref="I43">[1]!PVT_mu_wat_cP(B43,C43,PVRstr1_)</f>
        <v>0.4334116539157381</v>
      </c>
      <c r="J43" s="17" cm="1">
        <f t="array" ref="J43">[1]!PVT_mu_gas_cP(B43,C43,PVRstr1_)</f>
        <v>1.9803451501950921E-2</v>
      </c>
      <c r="Q43" s="18">
        <v>550</v>
      </c>
      <c r="R43" s="16" cm="1">
        <f t="array" ref="R43">[1]!feed_p_gas_fraction_atma(betta_gas1_,C43,[1]!encode_feed(Q_,fw_,Q43,,PVRstr1_))</f>
        <v>300</v>
      </c>
      <c r="S43" s="16" cm="1">
        <f t="array" ref="S43">[1]!feed_p_gas_fraction_atma(betta_gas2_,D43,[1]!encode_feed(Q_,fw_,Q43,,PVRstr1_))</f>
        <v>300</v>
      </c>
      <c r="T43" s="16" cm="1">
        <f t="array" ref="T43">[1]!feed_p_gas_fraction_atma(betta_gas3_,E43,[1]!encode_feed(Q_,fw_,Q43,,PVRstr1_))</f>
        <v>122.3876953125</v>
      </c>
      <c r="AE43" s="16">
        <f>[1]!feed_rp_gas_fraction_m3m3(betta_gas1_,B43,C43,feed)</f>
        <v>187.5</v>
      </c>
      <c r="AF43" s="16">
        <f>[1]!feed_rp_gas_fraction_m3m3(betta_gas2_,B43,C43,feed)</f>
        <v>345.703125</v>
      </c>
      <c r="AG43" s="16">
        <f>[1]!feed_rp_gas_fraction_m3m3(betta_gas3_,B43,C43,feed)</f>
        <v>500</v>
      </c>
    </row>
    <row r="44" spans="2:33" x14ac:dyDescent="0.25">
      <c r="B44" s="18">
        <v>200</v>
      </c>
      <c r="C44" s="18">
        <v>80</v>
      </c>
      <c r="D44" s="19">
        <f t="shared" ref="D44" si="12">Q_</f>
        <v>50</v>
      </c>
      <c r="E44" s="16" cm="1">
        <f t="array" ref="E44">[1]!feed_q_mix_rc_m3day(B44,C44,feed)</f>
        <v>65.1553440353361</v>
      </c>
      <c r="F44" s="17" cm="1">
        <f t="array" ref="F44">[1]!feed_gas_fraction_d(B44,C44,feed)</f>
        <v>0</v>
      </c>
      <c r="G44" s="17" cm="1">
        <f t="array" ref="G44">[1]!feed_mu_mix_cP(B44,C44,feed)</f>
        <v>0.64846415757620579</v>
      </c>
      <c r="H44" s="17" cm="1">
        <f t="array" ref="H44">[1]!PVT_mu_oil_cP(B44,C44,PVRstr1_)</f>
        <v>0.5613993519054653</v>
      </c>
      <c r="I44" s="17" cm="1">
        <f t="array" ref="I44">[1]!PVT_mu_wat_cP(B44,C44,PVRstr1_)</f>
        <v>0.43992294588452308</v>
      </c>
      <c r="J44" s="17" cm="1">
        <f t="array" ref="J44">[1]!PVT_mu_gas_cP(B44,C44,PVRstr1_)</f>
        <v>2.0988369712171065E-2</v>
      </c>
      <c r="Q44" s="18">
        <v>600</v>
      </c>
      <c r="R44" s="16" cm="1">
        <f t="array" ref="R44">[1]!feed_p_gas_fraction_atma(betta_gas1_,C44,[1]!encode_feed(Q_,fw_,Q44,,PVRstr1_))</f>
        <v>300</v>
      </c>
      <c r="S44" s="16" cm="1">
        <f t="array" ref="S44">[1]!feed_p_gas_fraction_atma(betta_gas2_,D44,[1]!encode_feed(Q_,fw_,Q44,,PVRstr1_))</f>
        <v>300</v>
      </c>
      <c r="T44" s="16" cm="1">
        <f t="array" ref="T44">[1]!feed_p_gas_fraction_atma(betta_gas3_,E44,[1]!encode_feed(Q_,fw_,Q44,,PVRstr1_))</f>
        <v>130.95703125</v>
      </c>
      <c r="AE44" s="16">
        <f>[1]!feed_rp_gas_fraction_m3m3(betta_gas1_,B44,C44,feed)</f>
        <v>208.92333984375</v>
      </c>
      <c r="AF44" s="16">
        <f>[1]!feed_rp_gas_fraction_m3m3(betta_gas2_,B44,C44,feed)</f>
        <v>386.71875</v>
      </c>
      <c r="AG44" s="16">
        <f>[1]!feed_rp_gas_fraction_m3m3(betta_gas3_,B44,C44,feed)</f>
        <v>500</v>
      </c>
    </row>
    <row r="45" spans="2:33" x14ac:dyDescent="0.25">
      <c r="B45" s="18">
        <v>220</v>
      </c>
      <c r="C45" s="18">
        <v>80</v>
      </c>
      <c r="D45" s="19">
        <f t="shared" ref="D45" si="13">Q_</f>
        <v>50</v>
      </c>
      <c r="E45" s="16" cm="1">
        <f t="array" ref="E45">[1]!feed_q_mix_rc_m3day(B45,C45,feed)</f>
        <v>64.958401995318795</v>
      </c>
      <c r="F45" s="17" cm="1">
        <f t="array" ref="F45">[1]!feed_gas_fraction_d(B45,C45,feed)</f>
        <v>0</v>
      </c>
      <c r="G45" s="17" cm="1">
        <f t="array" ref="G45">[1]!feed_mu_mix_cP(B45,C45,feed)</f>
        <v>0.66912944526170581</v>
      </c>
      <c r="H45" s="17" cm="1">
        <f t="array" ref="H45">[1]!PVT_mu_oil_cP(B45,C45,PVRstr1_)</f>
        <v>0.57721673365262405</v>
      </c>
      <c r="I45" s="17" cm="1">
        <f t="array" ref="I45">[1]!PVT_mu_wat_cP(B45,C45,PVRstr1_)</f>
        <v>0.44664050213764422</v>
      </c>
      <c r="J45" s="17" cm="1">
        <f t="array" ref="J45">[1]!PVT_mu_gas_cP(B45,C45,PVRstr1_)</f>
        <v>2.2173776661489064E-2</v>
      </c>
      <c r="Q45" s="18">
        <v>650</v>
      </c>
      <c r="R45" s="16" cm="1">
        <f t="array" ref="R45">[1]!feed_p_gas_fraction_atma(betta_gas1_,C45,[1]!encode_feed(Q_,fw_,Q45,,PVRstr1_))</f>
        <v>300</v>
      </c>
      <c r="S45" s="16" cm="1">
        <f t="array" ref="S45">[1]!feed_p_gas_fraction_atma(betta_gas2_,D45,[1]!encode_feed(Q_,fw_,Q45,,PVRstr1_))</f>
        <v>300</v>
      </c>
      <c r="T45" s="16" cm="1">
        <f t="array" ref="T45">[1]!feed_p_gas_fraction_atma(betta_gas3_,E45,[1]!encode_feed(Q_,fw_,Q45,,PVRstr1_))</f>
        <v>139.453125</v>
      </c>
      <c r="AE45" s="16">
        <f>[1]!feed_rp_gas_fraction_m3m3(betta_gas1_,B45,C45,feed)</f>
        <v>215.8203125</v>
      </c>
      <c r="AF45" s="16">
        <f>[1]!feed_rp_gas_fraction_m3m3(betta_gas2_,B45,C45,feed)</f>
        <v>407.5927734375</v>
      </c>
      <c r="AG45" s="16">
        <f>[1]!feed_rp_gas_fraction_m3m3(betta_gas3_,B45,C45,feed)</f>
        <v>500</v>
      </c>
    </row>
    <row r="46" spans="2:33" x14ac:dyDescent="0.25">
      <c r="B46" s="18">
        <v>240</v>
      </c>
      <c r="C46" s="18">
        <v>80</v>
      </c>
      <c r="D46" s="19">
        <f t="shared" ref="D46" si="14">Q_</f>
        <v>50</v>
      </c>
      <c r="E46" s="16" cm="1">
        <f t="array" ref="E46">[1]!feed_q_mix_rc_m3day(B46,C46,feed)</f>
        <v>64.794738438635008</v>
      </c>
      <c r="F46" s="17" cm="1">
        <f t="array" ref="F46">[1]!feed_gas_fraction_d(B46,C46,feed)</f>
        <v>0</v>
      </c>
      <c r="G46" s="17" cm="1">
        <f t="array" ref="G46">[1]!feed_mu_mix_cP(B46,C46,feed)</f>
        <v>0.69157940891904091</v>
      </c>
      <c r="H46" s="17" cm="1">
        <f t="array" ref="H46">[1]!PVT_mu_oil_cP(B46,C46,PVRstr1_)</f>
        <v>0.59452880029267252</v>
      </c>
      <c r="I46" s="17" cm="1">
        <f t="array" ref="I46">[1]!PVT_mu_wat_cP(B46,C46,PVRstr1_)</f>
        <v>0.45356432267510161</v>
      </c>
      <c r="J46" s="17" cm="1">
        <f t="array" ref="J46">[1]!PVT_mu_gas_cP(B46,C46,PVRstr1_)</f>
        <v>2.3348082002231863E-2</v>
      </c>
      <c r="Q46" s="18">
        <v>700</v>
      </c>
      <c r="R46" s="16" cm="1">
        <f t="array" ref="R46">[1]!feed_p_gas_fraction_atma(betta_gas1_,C46,[1]!encode_feed(Q_,fw_,Q46,,PVRstr1_))</f>
        <v>300</v>
      </c>
      <c r="S46" s="16" cm="1">
        <f t="array" ref="S46">[1]!feed_p_gas_fraction_atma(betta_gas2_,D46,[1]!encode_feed(Q_,fw_,Q46,,PVRstr1_))</f>
        <v>300</v>
      </c>
      <c r="T46" s="16" cm="1">
        <f t="array" ref="T46">[1]!feed_p_gas_fraction_atma(betta_gas3_,E46,[1]!encode_feed(Q_,fw_,Q46,,PVRstr1_))</f>
        <v>147.802734375</v>
      </c>
      <c r="AE46" s="16">
        <f>[1]!feed_rp_gas_fraction_m3m3(betta_gas1_,B46,C46,feed)</f>
        <v>222.22900390625</v>
      </c>
      <c r="AF46" s="16">
        <f>[1]!feed_rp_gas_fraction_m3m3(betta_gas2_,B46,C46,feed)</f>
        <v>426.7578125</v>
      </c>
      <c r="AG46" s="16">
        <f>[1]!feed_rp_gas_fraction_m3m3(betta_gas3_,B46,C46,feed)</f>
        <v>500</v>
      </c>
    </row>
    <row r="47" spans="2:33" x14ac:dyDescent="0.25">
      <c r="B47" s="18">
        <v>260</v>
      </c>
      <c r="C47" s="18">
        <v>80</v>
      </c>
      <c r="D47" s="19">
        <f t="shared" ref="D47" si="15">Q_</f>
        <v>50</v>
      </c>
      <c r="E47" s="16" cm="1">
        <f t="array" ref="E47">[1]!feed_q_mix_rc_m3day(B47,C47,feed)</f>
        <v>64.656576006461876</v>
      </c>
      <c r="F47" s="17" cm="1">
        <f t="array" ref="F47">[1]!feed_gas_fraction_d(B47,C47,feed)</f>
        <v>0</v>
      </c>
      <c r="G47" s="17" cm="1">
        <f t="array" ref="G47">[1]!feed_mu_mix_cP(B47,C47,feed)</f>
        <v>0.71568267788928064</v>
      </c>
      <c r="H47" s="17" cm="1">
        <f t="array" ref="H47">[1]!PVT_mu_oil_cP(B47,C47,PVRstr1_)</f>
        <v>0.61321635775112326</v>
      </c>
      <c r="I47" s="17" cm="1">
        <f t="array" ref="I47">[1]!PVT_mu_wat_cP(B47,C47,PVRstr1_)</f>
        <v>0.46069440749689522</v>
      </c>
      <c r="J47" s="17" cm="1">
        <f t="array" ref="J47">[1]!PVT_mu_gas_cP(B47,C47,PVRstr1_)</f>
        <v>2.450352975158733E-2</v>
      </c>
      <c r="Q47" s="18">
        <v>750</v>
      </c>
      <c r="R47" s="16" cm="1">
        <f t="array" ref="R47">[1]!feed_p_gas_fraction_atma(betta_gas1_,C47,[1]!encode_feed(Q_,fw_,Q47,,PVRstr1_))</f>
        <v>300</v>
      </c>
      <c r="S47" s="16" cm="1">
        <f t="array" ref="S47">[1]!feed_p_gas_fraction_atma(betta_gas2_,D47,[1]!encode_feed(Q_,fw_,Q47,,PVRstr1_))</f>
        <v>300</v>
      </c>
      <c r="T47" s="16" cm="1">
        <f t="array" ref="T47">[1]!feed_p_gas_fraction_atma(betta_gas3_,E47,[1]!encode_feed(Q_,fw_,Q47,,PVRstr1_))</f>
        <v>156.298828125</v>
      </c>
      <c r="AE47" s="16">
        <f>[1]!feed_rp_gas_fraction_m3m3(betta_gas1_,B47,C47,feed)</f>
        <v>228.02734375</v>
      </c>
      <c r="AF47" s="16">
        <f>[1]!feed_rp_gas_fraction_m3m3(betta_gas2_,B47,C47,feed)</f>
        <v>444.091796875</v>
      </c>
      <c r="AG47" s="16">
        <f>[1]!feed_rp_gas_fraction_m3m3(betta_gas3_,B47,C47,feed)</f>
        <v>500</v>
      </c>
    </row>
    <row r="48" spans="2:33" x14ac:dyDescent="0.25">
      <c r="B48" s="18">
        <v>280</v>
      </c>
      <c r="C48" s="18">
        <v>80</v>
      </c>
      <c r="D48" s="19">
        <f t="shared" ref="D48" si="16">Q_</f>
        <v>50</v>
      </c>
      <c r="E48" s="16" cm="1">
        <f t="array" ref="E48">[1]!feed_q_mix_rc_m3day(B48,C48,feed)</f>
        <v>64.538385569999264</v>
      </c>
      <c r="F48" s="17" cm="1">
        <f t="array" ref="F48">[1]!feed_gas_fraction_d(B48,C48,feed)</f>
        <v>0</v>
      </c>
      <c r="G48" s="17" cm="1">
        <f t="array" ref="G48">[1]!feed_mu_mix_cP(B48,C48,feed)</f>
        <v>0.74132197999196348</v>
      </c>
      <c r="H48" s="17" cm="1">
        <f t="array" ref="H48">[1]!PVT_mu_oil_cP(B48,C48,PVRstr1_)</f>
        <v>0.63317437484679218</v>
      </c>
      <c r="I48" s="17" cm="1">
        <f t="array" ref="I48">[1]!PVT_mu_wat_cP(B48,C48,PVRstr1_)</f>
        <v>0.46803075660302507</v>
      </c>
      <c r="J48" s="17" cm="1">
        <f t="array" ref="J48">[1]!PVT_mu_gas_cP(B48,C48,PVRstr1_)</f>
        <v>2.5635143058987443E-2</v>
      </c>
      <c r="Q48" s="18">
        <v>800</v>
      </c>
      <c r="R48" s="16" cm="1">
        <f t="array" ref="R48">[1]!feed_p_gas_fraction_atma(betta_gas1_,C48,[1]!encode_feed(Q_,fw_,Q48,,PVRstr1_))</f>
        <v>300</v>
      </c>
      <c r="S48" s="16" cm="1">
        <f t="array" ref="S48">[1]!feed_p_gas_fraction_atma(betta_gas2_,D48,[1]!encode_feed(Q_,fw_,Q48,,PVRstr1_))</f>
        <v>300</v>
      </c>
      <c r="T48" s="16" cm="1">
        <f t="array" ref="T48">[1]!feed_p_gas_fraction_atma(betta_gas3_,E48,[1]!encode_feed(Q_,fw_,Q48,,PVRstr1_))</f>
        <v>164.6484375</v>
      </c>
      <c r="AE48" s="16">
        <f>[1]!feed_rp_gas_fraction_m3m3(betta_gas1_,B48,C48,feed)</f>
        <v>233.3984375</v>
      </c>
      <c r="AF48" s="16">
        <f>[1]!feed_rp_gas_fraction_m3m3(betta_gas2_,B48,C48,feed)</f>
        <v>460.205078125</v>
      </c>
      <c r="AG48" s="16">
        <f>[1]!feed_rp_gas_fraction_m3m3(betta_gas3_,B48,C48,feed)</f>
        <v>500</v>
      </c>
    </row>
    <row r="49" spans="2:33" x14ac:dyDescent="0.25">
      <c r="B49" s="18">
        <v>300</v>
      </c>
      <c r="C49" s="18">
        <v>80</v>
      </c>
      <c r="D49" s="19">
        <f t="shared" ref="D49" si="17">Q_</f>
        <v>50</v>
      </c>
      <c r="E49" s="16" cm="1">
        <f t="array" ref="E49">[1]!feed_q_mix_rc_m3day(B49,C49,feed)</f>
        <v>64.436128632122688</v>
      </c>
      <c r="F49" s="17" cm="1">
        <f t="array" ref="F49">[1]!feed_gas_fraction_d(B49,C49,feed)</f>
        <v>0</v>
      </c>
      <c r="G49" s="17" cm="1">
        <f t="array" ref="G49">[1]!feed_mu_mix_cP(B49,C49,feed)</f>
        <v>0.76838937544430497</v>
      </c>
      <c r="H49" s="17" cm="1">
        <f t="array" ref="H49">[1]!PVT_mu_oil_cP(B49,C49,PVRstr1_)</f>
        <v>0.65430763705655981</v>
      </c>
      <c r="I49" s="17" cm="1">
        <f t="array" ref="I49">[1]!PVT_mu_wat_cP(B49,C49,PVRstr1_)</f>
        <v>0.47557336999349109</v>
      </c>
      <c r="J49" s="17" cm="1">
        <f t="array" ref="J49">[1]!PVT_mu_gas_cP(B49,C49,PVRstr1_)</f>
        <v>2.6739863779070137E-2</v>
      </c>
      <c r="Q49" s="18">
        <v>850</v>
      </c>
      <c r="R49" s="16" cm="1">
        <f t="array" ref="R49">[1]!feed_p_gas_fraction_atma(betta_gas1_,C49,[1]!encode_feed(Q_,fw_,Q49,,PVRstr1_))</f>
        <v>300</v>
      </c>
      <c r="S49" s="16" cm="1">
        <f t="array" ref="S49">[1]!feed_p_gas_fraction_atma(betta_gas2_,D49,[1]!encode_feed(Q_,fw_,Q49,,PVRstr1_))</f>
        <v>300</v>
      </c>
      <c r="T49" s="16" cm="1">
        <f t="array" ref="T49">[1]!feed_p_gas_fraction_atma(betta_gas3_,E49,[1]!encode_feed(Q_,fw_,Q49,,PVRstr1_))</f>
        <v>172.998046875</v>
      </c>
      <c r="AE49" s="16">
        <f>[1]!feed_rp_gas_fraction_m3m3(betta_gas1_,B49,C49,feed)</f>
        <v>238.4033203125</v>
      </c>
      <c r="AF49" s="16">
        <f>[1]!feed_rp_gas_fraction_m3m3(betta_gas2_,B49,C49,feed)</f>
        <v>475.09765625</v>
      </c>
      <c r="AG49" s="16">
        <f>[1]!feed_rp_gas_fraction_m3m3(betta_gas3_,B49,C49,feed)</f>
        <v>500</v>
      </c>
    </row>
    <row r="50" spans="2:33" x14ac:dyDescent="0.25">
      <c r="B50" s="18">
        <v>320</v>
      </c>
      <c r="C50" s="18">
        <v>80</v>
      </c>
      <c r="D50" s="19">
        <f t="shared" ref="D50" si="18">Q_</f>
        <v>50</v>
      </c>
      <c r="E50" s="16" cm="1">
        <f t="array" ref="E50">[1]!feed_q_mix_rc_m3day(B50,C50,feed)</f>
        <v>64.346786726935662</v>
      </c>
      <c r="F50" s="17" cm="1">
        <f t="array" ref="F50">[1]!feed_gas_fraction_d(B50,C50,feed)</f>
        <v>0</v>
      </c>
      <c r="G50" s="17" cm="1">
        <f t="array" ref="G50">[1]!feed_mu_mix_cP(B50,C50,feed)</f>
        <v>0.79678282793793775</v>
      </c>
      <c r="H50" s="17" cm="1">
        <f t="array" ref="H50">[1]!PVT_mu_oil_cP(B50,C50,PVRstr1_)</f>
        <v>0.67652760319829675</v>
      </c>
      <c r="I50" s="17" cm="1">
        <f t="array" ref="I50">[1]!PVT_mu_wat_cP(B50,C50,PVRstr1_)</f>
        <v>0.48332224766829335</v>
      </c>
      <c r="J50" s="17" cm="1">
        <f t="array" ref="J50">[1]!PVT_mu_gas_cP(B50,C50,PVRstr1_)</f>
        <v>2.7815931842977631E-2</v>
      </c>
      <c r="Q50" s="18">
        <v>900</v>
      </c>
      <c r="R50" s="16" cm="1">
        <f t="array" ref="R50">[1]!feed_p_gas_fraction_atma(betta_gas1_,C50,[1]!encode_feed(Q_,fw_,Q50,,PVRstr1_))</f>
        <v>300</v>
      </c>
      <c r="S50" s="16" cm="1">
        <f t="array" ref="S50">[1]!feed_p_gas_fraction_atma(betta_gas2_,D50,[1]!encode_feed(Q_,fw_,Q50,,PVRstr1_))</f>
        <v>300</v>
      </c>
      <c r="T50" s="16" cm="1">
        <f t="array" ref="T50">[1]!feed_p_gas_fraction_atma(betta_gas3_,E50,[1]!encode_feed(Q_,fw_,Q50,,PVRstr1_))</f>
        <v>181.494140625</v>
      </c>
      <c r="AE50" s="16">
        <f>[1]!feed_rp_gas_fraction_m3m3(betta_gas1_,B50,C50,feed)</f>
        <v>242.919921875</v>
      </c>
      <c r="AF50" s="16">
        <f>[1]!feed_rp_gas_fraction_m3m3(betta_gas2_,B50,C50,feed)</f>
        <v>488.76953125</v>
      </c>
      <c r="AG50" s="16">
        <f>[1]!feed_rp_gas_fraction_m3m3(betta_gas3_,B50,C50,feed)</f>
        <v>500</v>
      </c>
    </row>
    <row r="51" spans="2:33" x14ac:dyDescent="0.25">
      <c r="B51" s="18">
        <v>340</v>
      </c>
      <c r="C51" s="18">
        <v>80</v>
      </c>
      <c r="D51" s="19">
        <f t="shared" ref="D51" si="19">Q_</f>
        <v>50</v>
      </c>
      <c r="E51" s="16" cm="1">
        <f t="array" ref="E51">[1]!feed_q_mix_rc_m3day(B51,C51,feed)</f>
        <v>64.268058511054704</v>
      </c>
      <c r="F51" s="17" cm="1">
        <f t="array" ref="F51">[1]!feed_gas_fraction_d(B51,C51,feed)</f>
        <v>0</v>
      </c>
      <c r="G51" s="17" cm="1">
        <f t="array" ref="G51">[1]!feed_mu_mix_cP(B51,C51,feed)</f>
        <v>0.82640372754807823</v>
      </c>
      <c r="H51" s="17" cm="1">
        <f t="array" ref="H51">[1]!PVT_mu_oil_cP(B51,C51,PVRstr1_)</f>
        <v>0.69975011625037176</v>
      </c>
      <c r="I51" s="17" cm="1">
        <f t="array" ref="I51">[1]!PVT_mu_wat_cP(B51,C51,PVRstr1_)</f>
        <v>0.49127738962743184</v>
      </c>
      <c r="J51" s="17" cm="1">
        <f t="array" ref="J51">[1]!PVT_mu_gas_cP(B51,C51,PVRstr1_)</f>
        <v>2.8862470941640933E-2</v>
      </c>
      <c r="Q51" s="18">
        <v>950</v>
      </c>
      <c r="R51" s="16" cm="1">
        <f t="array" ref="R51">[1]!feed_p_gas_fraction_atma(betta_gas1_,C51,[1]!encode_feed(Q_,fw_,Q51,,PVRstr1_))</f>
        <v>300</v>
      </c>
      <c r="S51" s="16" cm="1">
        <f t="array" ref="S51">[1]!feed_p_gas_fraction_atma(betta_gas2_,D51,[1]!encode_feed(Q_,fw_,Q51,,PVRstr1_))</f>
        <v>300</v>
      </c>
      <c r="T51" s="16" cm="1">
        <f t="array" ref="T51">[1]!feed_p_gas_fraction_atma(betta_gas3_,E51,[1]!encode_feed(Q_,fw_,Q51,,PVRstr1_))</f>
        <v>193.359375</v>
      </c>
      <c r="AE51" s="16">
        <f>[1]!feed_rp_gas_fraction_m3m3(betta_gas1_,B51,C51,feed)</f>
        <v>247.0703125</v>
      </c>
      <c r="AF51" s="16">
        <f>[1]!feed_rp_gas_fraction_m3m3(betta_gas2_,B51,C51,feed)</f>
        <v>500</v>
      </c>
      <c r="AG51" s="16">
        <f>[1]!feed_rp_gas_fraction_m3m3(betta_gas3_,B51,C51,feed)</f>
        <v>500</v>
      </c>
    </row>
    <row r="52" spans="2:33" x14ac:dyDescent="0.25">
      <c r="B52" s="18">
        <v>360</v>
      </c>
      <c r="C52" s="18">
        <v>80</v>
      </c>
      <c r="D52" s="19">
        <f t="shared" ref="D52" si="20">Q_</f>
        <v>50</v>
      </c>
      <c r="E52" s="16" cm="1">
        <f t="array" ref="E52">[1]!feed_q_mix_rc_m3day(B52,C52,feed)</f>
        <v>64.198158742871087</v>
      </c>
      <c r="F52" s="17" cm="1">
        <f t="array" ref="F52">[1]!feed_gas_fraction_d(B52,C52,feed)</f>
        <v>0</v>
      </c>
      <c r="G52" s="17" cm="1">
        <f t="array" ref="G52">[1]!feed_mu_mix_cP(B52,C52,feed)</f>
        <v>0.85715511006009637</v>
      </c>
      <c r="H52" s="17" cm="1">
        <f t="array" ref="H52">[1]!PVT_mu_oil_cP(B52,C52,PVRstr1_)</f>
        <v>0.72389373658113965</v>
      </c>
      <c r="I52" s="17" cm="1">
        <f t="array" ref="I52">[1]!PVT_mu_wat_cP(B52,C52,PVRstr1_)</f>
        <v>0.49943879587090656</v>
      </c>
      <c r="J52" s="17" cm="1">
        <f t="array" ref="J52">[1]!PVT_mu_gas_cP(B52,C52,PVRstr1_)</f>
        <v>2.987922584702854E-2</v>
      </c>
      <c r="Q52" s="18">
        <v>1000</v>
      </c>
      <c r="R52" s="16" cm="1">
        <f t="array" ref="R52">[1]!feed_p_gas_fraction_atma(betta_gas1_,C52,[1]!encode_feed(Q_,fw_,Q52,,PVRstr1_))</f>
        <v>300</v>
      </c>
      <c r="S52" s="16" cm="1">
        <f t="array" ref="S52">[1]!feed_p_gas_fraction_atma(betta_gas2_,D52,[1]!encode_feed(Q_,fw_,Q52,,PVRstr1_))</f>
        <v>300</v>
      </c>
      <c r="T52" s="16" cm="1">
        <f t="array" ref="T52">[1]!feed_p_gas_fraction_atma(betta_gas3_,E52,[1]!encode_feed(Q_,fw_,Q52,,PVRstr1_))</f>
        <v>208.30078125</v>
      </c>
      <c r="AE52" s="16">
        <f>[1]!feed_rp_gas_fraction_m3m3(betta_gas1_,B52,C52,feed)</f>
        <v>250.9765625</v>
      </c>
      <c r="AF52" s="16">
        <f>[1]!feed_rp_gas_fraction_m3m3(betta_gas2_,B52,C52,feed)</f>
        <v>500</v>
      </c>
      <c r="AG52" s="16">
        <f>[1]!feed_rp_gas_fraction_m3m3(betta_gas3_,B52,C52,feed)</f>
        <v>500</v>
      </c>
    </row>
    <row r="53" spans="2:33" x14ac:dyDescent="0.25">
      <c r="B53" s="18">
        <v>380</v>
      </c>
      <c r="C53" s="18">
        <v>80</v>
      </c>
      <c r="D53" s="19">
        <f t="shared" ref="D53" si="21">Q_</f>
        <v>50</v>
      </c>
      <c r="E53" s="16" cm="1">
        <f t="array" ref="E53">[1]!feed_q_mix_rc_m3day(B53,C53,feed)</f>
        <v>64.135681289705829</v>
      </c>
      <c r="F53" s="17" cm="1">
        <f t="array" ref="F53">[1]!feed_gas_fraction_d(B53,C53,feed)</f>
        <v>0</v>
      </c>
      <c r="G53" s="17" cm="1">
        <f t="array" ref="G53">[1]!feed_mu_mix_cP(B53,C53,feed)</f>
        <v>0.88894039846956352</v>
      </c>
      <c r="H53" s="17" cm="1">
        <f t="array" ref="H53">[1]!PVT_mu_oil_cP(B53,C53,PVRstr1_)</f>
        <v>0.74887853932198056</v>
      </c>
      <c r="I53" s="17" cm="1">
        <f t="array" ref="I53">[1]!PVT_mu_wat_cP(B53,C53,PVRstr1_)</f>
        <v>0.50780646639871752</v>
      </c>
      <c r="J53" s="17" cm="1">
        <f t="array" ref="J53">[1]!PVT_mu_gas_cP(B53,C53,PVRstr1_)</f>
        <v>3.0866401054923765E-2</v>
      </c>
      <c r="Q53" s="18">
        <v>1050</v>
      </c>
      <c r="R53" s="16" cm="1">
        <f t="array" ref="R53">[1]!feed_p_gas_fraction_atma(betta_gas1_,C53,[1]!encode_feed(Q_,fw_,Q53,,PVRstr1_))</f>
        <v>300</v>
      </c>
      <c r="S53" s="16" cm="1">
        <f t="array" ref="S53">[1]!feed_p_gas_fraction_atma(betta_gas2_,D53,[1]!encode_feed(Q_,fw_,Q53,,PVRstr1_))</f>
        <v>300</v>
      </c>
      <c r="T53" s="16" cm="1">
        <f t="array" ref="T53">[1]!feed_p_gas_fraction_atma(betta_gas3_,E53,[1]!encode_feed(Q_,fw_,Q53,,PVRstr1_))</f>
        <v>224.4140625</v>
      </c>
      <c r="AE53" s="16">
        <f>[1]!feed_rp_gas_fraction_m3m3(betta_gas1_,B53,C53,feed)</f>
        <v>254.638671875</v>
      </c>
      <c r="AF53" s="16">
        <f>[1]!feed_rp_gas_fraction_m3m3(betta_gas2_,B53,C53,feed)</f>
        <v>500</v>
      </c>
      <c r="AG53" s="16">
        <f>[1]!feed_rp_gas_fraction_m3m3(betta_gas3_,B53,C53,feed)</f>
        <v>500</v>
      </c>
    </row>
    <row r="54" spans="2:33" x14ac:dyDescent="0.25">
      <c r="B54" s="18">
        <v>400</v>
      </c>
      <c r="C54" s="18">
        <v>80</v>
      </c>
      <c r="D54" s="19">
        <f t="shared" ref="D54" si="22">Q_</f>
        <v>50</v>
      </c>
      <c r="E54" s="16" cm="1">
        <f t="array" ref="E54">[1]!feed_q_mix_rc_m3day(B54,C54,feed)</f>
        <v>64.079503569995893</v>
      </c>
      <c r="F54" s="17" cm="1">
        <f t="array" ref="F54">[1]!feed_gas_fraction_d(B54,C54,feed)</f>
        <v>0</v>
      </c>
      <c r="G54" s="17" cm="1">
        <f t="array" ref="G54">[1]!feed_mu_mix_cP(B54,C54,feed)</f>
        <v>0.9216625444694726</v>
      </c>
      <c r="H54" s="17" cm="1">
        <f t="array" ref="H54">[1]!PVT_mu_oil_cP(B54,C54,PVRstr1_)</f>
        <v>0.77462526495312012</v>
      </c>
      <c r="I54" s="17" cm="1">
        <f t="array" ref="I54">[1]!PVT_mu_wat_cP(B54,C54,PVRstr1_)</f>
        <v>0.51638040121086459</v>
      </c>
      <c r="J54" s="17" cm="1">
        <f t="array" ref="J54">[1]!PVT_mu_gas_cP(B54,C54,PVRstr1_)</f>
        <v>3.182456256554924E-2</v>
      </c>
      <c r="Q54" s="18">
        <v>1100</v>
      </c>
      <c r="R54" s="16" cm="1">
        <f t="array" ref="R54">[1]!feed_p_gas_fraction_atma(betta_gas1_,C54,[1]!encode_feed(Q_,fw_,Q54,,PVRstr1_))</f>
        <v>300</v>
      </c>
      <c r="S54" s="16" cm="1">
        <f t="array" ref="S54">[1]!feed_p_gas_fraction_atma(betta_gas2_,D54,[1]!encode_feed(Q_,fw_,Q54,,PVRstr1_))</f>
        <v>300</v>
      </c>
      <c r="T54" s="16" cm="1">
        <f t="array" ref="T54">[1]!feed_p_gas_fraction_atma(betta_gas3_,E54,[1]!encode_feed(Q_,fw_,Q54,,PVRstr1_))</f>
        <v>241.9921875</v>
      </c>
      <c r="AE54" s="16">
        <f>[1]!feed_rp_gas_fraction_m3m3(betta_gas1_,B54,C54,feed)</f>
        <v>258.056640625</v>
      </c>
      <c r="AF54" s="16">
        <f>[1]!feed_rp_gas_fraction_m3m3(betta_gas2_,B54,C54,feed)</f>
        <v>500</v>
      </c>
      <c r="AG54" s="16">
        <f>[1]!feed_rp_gas_fraction_m3m3(betta_gas3_,B54,C54,feed)</f>
        <v>500</v>
      </c>
    </row>
    <row r="55" spans="2:33" x14ac:dyDescent="0.25">
      <c r="B55" s="18">
        <v>420</v>
      </c>
      <c r="C55" s="18">
        <v>80</v>
      </c>
      <c r="D55" s="19">
        <f t="shared" ref="D55" si="23">Q_</f>
        <v>50</v>
      </c>
      <c r="E55" s="16" cm="1">
        <f t="array" ref="E55">[1]!feed_q_mix_rc_m3day(B55,C55,feed)</f>
        <v>64.028718511232327</v>
      </c>
      <c r="F55" s="17" cm="1">
        <f t="array" ref="F55">[1]!feed_gas_fraction_d(B55,C55,feed)</f>
        <v>0</v>
      </c>
      <c r="G55" s="17" cm="1">
        <f t="array" ref="G55">[1]!feed_mu_mix_cP(B55,C55,feed)</f>
        <v>0.95522348187386208</v>
      </c>
      <c r="H55" s="17" cm="1">
        <f t="array" ref="H55">[1]!PVT_mu_oil_cP(B55,C55,PVRstr1_)</f>
        <v>0.80105474337161542</v>
      </c>
      <c r="I55" s="17" cm="1">
        <f t="array" ref="I55">[1]!PVT_mu_wat_cP(B55,C55,PVRstr1_)</f>
        <v>0.52516060030734801</v>
      </c>
      <c r="J55" s="17" cm="1">
        <f t="array" ref="J55">[1]!PVT_mu_gas_cP(B55,C55,PVRstr1_)</f>
        <v>3.2754576693807165E-2</v>
      </c>
      <c r="Q55" s="18">
        <v>1150</v>
      </c>
      <c r="R55" s="16" cm="1">
        <f t="array" ref="R55">[1]!feed_p_gas_fraction_atma(betta_gas1_,C55,[1]!encode_feed(Q_,fw_,Q55,,PVRstr1_))</f>
        <v>300</v>
      </c>
      <c r="S55" s="16" cm="1">
        <f t="array" ref="S55">[1]!feed_p_gas_fraction_atma(betta_gas2_,D55,[1]!encode_feed(Q_,fw_,Q55,,PVRstr1_))</f>
        <v>300</v>
      </c>
      <c r="T55" s="16" cm="1">
        <f t="array" ref="T55">[1]!feed_p_gas_fraction_atma(betta_gas3_,E55,[1]!encode_feed(Q_,fw_,Q55,,PVRstr1_))</f>
        <v>261.03515625</v>
      </c>
      <c r="AE55" s="16">
        <f>[1]!feed_rp_gas_fraction_m3m3(betta_gas1_,B55,C55,feed)</f>
        <v>261.23046875</v>
      </c>
      <c r="AF55" s="16">
        <f>[1]!feed_rp_gas_fraction_m3m3(betta_gas2_,B55,C55,feed)</f>
        <v>500</v>
      </c>
      <c r="AG55" s="16">
        <f>[1]!feed_rp_gas_fraction_m3m3(betta_gas3_,B55,C55,feed)</f>
        <v>500</v>
      </c>
    </row>
    <row r="56" spans="2:33" x14ac:dyDescent="0.25">
      <c r="B56" s="18">
        <v>440</v>
      </c>
      <c r="C56" s="18">
        <v>80</v>
      </c>
      <c r="D56" s="19">
        <f t="shared" ref="D56" si="24">Q_</f>
        <v>50</v>
      </c>
      <c r="E56" s="16" cm="1">
        <f t="array" ref="E56">[1]!feed_q_mix_rc_m3day(B56,C56,feed)</f>
        <v>63.982585203463756</v>
      </c>
      <c r="F56" s="17" cm="1">
        <f t="array" ref="F56">[1]!feed_gas_fraction_d(B56,C56,feed)</f>
        <v>0</v>
      </c>
      <c r="G56" s="17" cm="1">
        <f t="array" ref="G56">[1]!feed_mu_mix_cP(B56,C56,feed)</f>
        <v>0.98952382674731054</v>
      </c>
      <c r="H56" s="17" cm="1">
        <f t="array" ref="H56">[1]!PVT_mu_oil_cP(B56,C56,PVRstr1_)</f>
        <v>0.82808753268648549</v>
      </c>
      <c r="I56" s="17" cm="1">
        <f t="array" ref="I56">[1]!PVT_mu_wat_cP(B56,C56,PVRstr1_)</f>
        <v>0.53414706368816756</v>
      </c>
      <c r="J56" s="17" cm="1">
        <f t="array" ref="J56">[1]!PVT_mu_gas_cP(B56,C56,PVRstr1_)</f>
        <v>3.3657569282132496E-2</v>
      </c>
      <c r="Q56" s="18">
        <v>1200</v>
      </c>
      <c r="R56" s="16" cm="1">
        <f t="array" ref="R56">[1]!feed_p_gas_fraction_atma(betta_gas1_,C56,[1]!encode_feed(Q_,fw_,Q56,,PVRstr1_))</f>
        <v>300</v>
      </c>
      <c r="S56" s="16" cm="1">
        <f t="array" ref="S56">[1]!feed_p_gas_fraction_atma(betta_gas2_,D56,[1]!encode_feed(Q_,fw_,Q56,,PVRstr1_))</f>
        <v>300</v>
      </c>
      <c r="T56" s="16" cm="1">
        <f t="array" ref="T56">[1]!feed_p_gas_fraction_atma(betta_gas3_,E56,[1]!encode_feed(Q_,fw_,Q56,,PVRstr1_))</f>
        <v>281.8359375</v>
      </c>
      <c r="AE56" s="16">
        <f>[1]!feed_rp_gas_fraction_m3m3(betta_gas1_,B56,C56,feed)</f>
        <v>264.16015625</v>
      </c>
      <c r="AF56" s="16">
        <f>[1]!feed_rp_gas_fraction_m3m3(betta_gas2_,B56,C56,feed)</f>
        <v>500</v>
      </c>
      <c r="AG56" s="16">
        <f>[1]!feed_rp_gas_fraction_m3m3(betta_gas3_,B56,C56,feed)</f>
        <v>500</v>
      </c>
    </row>
    <row r="57" spans="2:33" x14ac:dyDescent="0.25">
      <c r="B57" s="18">
        <v>460</v>
      </c>
      <c r="C57" s="18">
        <v>80</v>
      </c>
      <c r="D57" s="19">
        <f t="shared" ref="D57" si="25">Q_</f>
        <v>50</v>
      </c>
      <c r="E57" s="16" cm="1">
        <f t="array" ref="E57">[1]!feed_q_mix_rc_m3day(B57,C57,feed)</f>
        <v>63.940492517856804</v>
      </c>
      <c r="F57" s="17" cm="1">
        <f t="array" ref="F57">[1]!feed_gas_fraction_d(B57,C57,feed)</f>
        <v>0</v>
      </c>
      <c r="G57" s="17" cm="1">
        <f t="array" ref="G57">[1]!feed_mu_mix_cP(B57,C57,feed)</f>
        <v>1.0244627745346373</v>
      </c>
      <c r="H57" s="17" cm="1">
        <f t="array" ref="H57">[1]!PVT_mu_oil_cP(B57,C57,PVRstr1_)</f>
        <v>0.85564372834109736</v>
      </c>
      <c r="I57" s="17" cm="1">
        <f t="array" ref="I57">[1]!PVT_mu_wat_cP(B57,C57,PVRstr1_)</f>
        <v>0.54333979135332333</v>
      </c>
      <c r="J57" s="17" cm="1">
        <f t="array" ref="J57">[1]!PVT_mu_gas_cP(B57,C57,PVRstr1_)</f>
        <v>3.4534895336181544E-2</v>
      </c>
      <c r="Q57" s="18">
        <v>1250</v>
      </c>
      <c r="R57" s="16" cm="1">
        <f t="array" ref="R57">[1]!feed_p_gas_fraction_atma(betta_gas1_,C57,[1]!encode_feed(Q_,fw_,Q57,,PVRstr1_))</f>
        <v>300</v>
      </c>
      <c r="S57" s="16" cm="1">
        <f t="array" ref="S57">[1]!feed_p_gas_fraction_atma(betta_gas2_,D57,[1]!encode_feed(Q_,fw_,Q57,,PVRstr1_))</f>
        <v>300</v>
      </c>
      <c r="T57" s="16" cm="1">
        <f t="array" ref="T57">[1]!feed_p_gas_fraction_atma(betta_gas3_,E57,[1]!encode_feed(Q_,fw_,Q57,,PVRstr1_))</f>
        <v>300</v>
      </c>
      <c r="AE57" s="16">
        <f>[1]!feed_rp_gas_fraction_m3m3(betta_gas1_,B57,C57,feed)</f>
        <v>266.9677734375</v>
      </c>
      <c r="AF57" s="16">
        <f>[1]!feed_rp_gas_fraction_m3m3(betta_gas2_,B57,C57,feed)</f>
        <v>500</v>
      </c>
      <c r="AG57" s="16">
        <f>[1]!feed_rp_gas_fraction_m3m3(betta_gas3_,B57,C57,feed)</f>
        <v>500</v>
      </c>
    </row>
    <row r="116" spans="12:12" x14ac:dyDescent="0.25">
      <c r="L116" t="s">
        <v>5</v>
      </c>
    </row>
    <row r="127" spans="12:12" x14ac:dyDescent="0.25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2021-08-03T16:42:40Z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